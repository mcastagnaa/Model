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05" windowWidth="17235" windowHeight="10545" activeTab="1"/>
  </bookViews>
  <sheets>
    <sheet name="Sheet1" sheetId="1" r:id="rId1"/>
    <sheet name="Sheet2" sheetId="2" r:id="rId2"/>
  </sheets>
  <functionGroups builtInGroupCount="17"/>
  <calcPr calcId="145621"/>
  <pivotCaches>
    <pivotCache cacheId="1" r:id="rId3"/>
  </pivotCaches>
</workbook>
</file>

<file path=xl/calcChain.xml><?xml version="1.0" encoding="utf-8"?>
<calcChain xmlns="http://schemas.openxmlformats.org/spreadsheetml/2006/main">
  <c r="L1" i="2" l="1" a="1"/>
  <c r="M3" i="2"/>
  <c r="K5" i="2"/>
  <c r="K6" i="2" s="1"/>
  <c r="K7" i="2" s="1"/>
  <c r="K8" i="2" s="1"/>
  <c r="K9" i="2" s="1"/>
  <c r="K10" i="2" s="1"/>
  <c r="K11" i="2" s="1"/>
  <c r="K12" i="2" s="1"/>
  <c r="K13" i="2" s="1"/>
  <c r="K14" i="2" s="1"/>
  <c r="K15" i="2" s="1"/>
  <c r="K16" i="2" s="1"/>
  <c r="K17" i="2" s="1"/>
  <c r="K18" i="2" s="1"/>
  <c r="K19" i="2" s="1"/>
  <c r="K20" i="2" s="1"/>
  <c r="K21" i="2" s="1"/>
  <c r="K22" i="2" s="1"/>
  <c r="K23" i="2" s="1"/>
  <c r="K24" i="2" s="1"/>
  <c r="K25" i="2" s="1"/>
  <c r="K26" i="2" s="1"/>
  <c r="K27" i="2" s="1"/>
  <c r="K28" i="2" s="1"/>
  <c r="K29" i="2" s="1"/>
  <c r="K30" i="2" s="1"/>
  <c r="K31" i="2" s="1"/>
  <c r="K32" i="2" s="1"/>
  <c r="K33" i="2" s="1"/>
  <c r="K34" i="2" s="1"/>
  <c r="K35" i="2" s="1"/>
  <c r="K36" i="2" s="1"/>
  <c r="K37" i="2" s="1"/>
  <c r="K38" i="2" s="1"/>
  <c r="K39" i="2" s="1"/>
  <c r="K40" i="2" s="1"/>
  <c r="K41" i="2" s="1"/>
  <c r="K42" i="2" s="1"/>
  <c r="K43" i="2" s="1"/>
  <c r="K44" i="2" s="1"/>
  <c r="K45" i="2" s="1"/>
  <c r="K46" i="2" s="1"/>
  <c r="K47" i="2" s="1"/>
  <c r="K48" i="2" s="1"/>
  <c r="K49" i="2" s="1"/>
  <c r="K50" i="2" s="1"/>
  <c r="K51" i="2" s="1"/>
  <c r="K52" i="2" s="1"/>
  <c r="K53" i="2" s="1"/>
  <c r="K54" i="2" s="1"/>
  <c r="K55" i="2" s="1"/>
  <c r="K56" i="2" s="1"/>
  <c r="K57" i="2" s="1"/>
  <c r="K58" i="2" s="1"/>
  <c r="K59" i="2" s="1"/>
  <c r="K60" i="2" s="1"/>
  <c r="K61" i="2" s="1"/>
  <c r="K62" i="2" s="1"/>
  <c r="K63" i="2" s="1"/>
  <c r="K64" i="2" s="1"/>
  <c r="K65" i="2" s="1"/>
  <c r="K66" i="2" s="1"/>
  <c r="K67" i="2" s="1"/>
  <c r="K68" i="2" s="1"/>
  <c r="K69" i="2" s="1"/>
  <c r="K70" i="2" s="1"/>
  <c r="K71" i="2" s="1"/>
  <c r="K72" i="2" s="1"/>
  <c r="K73" i="2" s="1"/>
  <c r="K74" i="2" s="1"/>
  <c r="K75" i="2" s="1"/>
  <c r="K76" i="2" s="1"/>
  <c r="K77" i="2" s="1"/>
  <c r="K78" i="2" s="1"/>
  <c r="K79" i="2" s="1"/>
  <c r="K80" i="2" s="1"/>
  <c r="K81" i="2" s="1"/>
  <c r="K82" i="2" s="1"/>
  <c r="K83" i="2" s="1"/>
  <c r="K84" i="2" s="1"/>
  <c r="K85" i="2" s="1"/>
  <c r="K86" i="2" s="1"/>
  <c r="K87" i="2" s="1"/>
  <c r="K88" i="2" s="1"/>
  <c r="K89" i="2" s="1"/>
  <c r="K90" i="2" s="1"/>
  <c r="K91" i="2" s="1"/>
  <c r="K92" i="2" s="1"/>
  <c r="K93" i="2" s="1"/>
  <c r="K94" i="2" s="1"/>
  <c r="K95" i="2" s="1"/>
  <c r="K96" i="2" s="1"/>
  <c r="K97" i="2" s="1"/>
  <c r="K98" i="2" s="1"/>
  <c r="K99" i="2" s="1"/>
  <c r="K100" i="2" s="1"/>
  <c r="K101" i="2" s="1"/>
  <c r="K102" i="2" s="1"/>
  <c r="K103" i="2" s="1"/>
  <c r="K104" i="2" s="1"/>
  <c r="K105" i="2" s="1"/>
  <c r="K106" i="2" s="1"/>
  <c r="K107" i="2" s="1"/>
  <c r="K108" i="2" s="1"/>
  <c r="K109" i="2" s="1"/>
  <c r="K110" i="2" s="1"/>
  <c r="K111" i="2" s="1"/>
  <c r="K112" i="2" s="1"/>
  <c r="K113" i="2" s="1"/>
  <c r="K114" i="2" s="1"/>
  <c r="K115" i="2" s="1"/>
  <c r="K116" i="2" s="1"/>
  <c r="K117" i="2" s="1"/>
  <c r="K118" i="2" s="1"/>
  <c r="K119" i="2" s="1"/>
  <c r="K120" i="2" s="1"/>
  <c r="K121" i="2" s="1"/>
  <c r="K122" i="2" s="1"/>
  <c r="K123" i="2" s="1"/>
  <c r="K124" i="2" s="1"/>
  <c r="K125" i="2" s="1"/>
  <c r="K126" i="2" s="1"/>
  <c r="K127" i="2" s="1"/>
  <c r="K128" i="2" s="1"/>
  <c r="K129" i="2" s="1"/>
  <c r="K130" i="2" s="1"/>
  <c r="K131" i="2" s="1"/>
  <c r="K132" i="2" s="1"/>
  <c r="K133" i="2" s="1"/>
  <c r="K134" i="2" s="1"/>
  <c r="K135" i="2" s="1"/>
  <c r="K136" i="2" s="1"/>
  <c r="K137" i="2" s="1"/>
  <c r="K138" i="2" s="1"/>
  <c r="K139" i="2" s="1"/>
  <c r="K140" i="2" s="1"/>
  <c r="K141" i="2" s="1"/>
  <c r="K142" i="2" s="1"/>
  <c r="K143" i="2" s="1"/>
  <c r="K144" i="2" s="1"/>
  <c r="K145" i="2" s="1"/>
  <c r="K146" i="2" s="1"/>
  <c r="K147" i="2" s="1"/>
  <c r="K148" i="2" s="1"/>
  <c r="K149" i="2" s="1"/>
  <c r="K150" i="2" s="1"/>
  <c r="K151" i="2" s="1"/>
  <c r="K152" i="2" s="1"/>
  <c r="K153" i="2" s="1"/>
  <c r="K154" i="2" s="1"/>
  <c r="K155" i="2" s="1"/>
  <c r="K156" i="2" s="1"/>
  <c r="K157" i="2" s="1"/>
  <c r="K158" i="2" s="1"/>
  <c r="K159" i="2" s="1"/>
  <c r="K160" i="2" s="1"/>
  <c r="K161" i="2" s="1"/>
  <c r="K162" i="2" s="1"/>
  <c r="K163" i="2" s="1"/>
  <c r="K164" i="2" s="1"/>
  <c r="K165" i="2" s="1"/>
  <c r="K166" i="2" s="1"/>
  <c r="K167" i="2" s="1"/>
  <c r="K168" i="2" s="1"/>
  <c r="K169" i="2" s="1"/>
  <c r="K170" i="2" s="1"/>
  <c r="K171" i="2" s="1"/>
  <c r="K172" i="2" s="1"/>
  <c r="K173" i="2" s="1"/>
  <c r="K174" i="2" s="1"/>
  <c r="K175" i="2" s="1"/>
  <c r="K176" i="2" s="1"/>
  <c r="K177" i="2" s="1"/>
  <c r="K178" i="2" s="1"/>
  <c r="K179" i="2" s="1"/>
  <c r="K180" i="2" s="1"/>
  <c r="K181" i="2" s="1"/>
  <c r="K182" i="2" s="1"/>
  <c r="K183" i="2" s="1"/>
  <c r="K184" i="2" s="1"/>
  <c r="K185" i="2" s="1"/>
  <c r="K186" i="2" s="1"/>
  <c r="K187" i="2" s="1"/>
  <c r="K188" i="2" s="1"/>
  <c r="K189" i="2" s="1"/>
  <c r="K190" i="2" s="1"/>
  <c r="K191" i="2" s="1"/>
  <c r="K192" i="2" s="1"/>
  <c r="K193" i="2" s="1"/>
  <c r="K194" i="2" s="1"/>
  <c r="K195" i="2" s="1"/>
  <c r="K196" i="2" s="1"/>
  <c r="K197" i="2" s="1"/>
  <c r="K198" i="2" s="1"/>
  <c r="K199" i="2" s="1"/>
  <c r="K200" i="2" s="1"/>
  <c r="K201" i="2" s="1"/>
  <c r="K202" i="2" s="1"/>
  <c r="K203" i="2" s="1"/>
  <c r="K204" i="2" s="1"/>
  <c r="K205" i="2" s="1"/>
  <c r="K206" i="2" s="1"/>
  <c r="K207" i="2" s="1"/>
  <c r="K208" i="2" s="1"/>
  <c r="K209" i="2" s="1"/>
  <c r="K210" i="2" s="1"/>
  <c r="K211" i="2" s="1"/>
  <c r="K212" i="2" s="1"/>
  <c r="K213" i="2" s="1"/>
  <c r="K214" i="2" s="1"/>
  <c r="K215" i="2" s="1"/>
  <c r="K216" i="2" s="1"/>
  <c r="K217" i="2" s="1"/>
  <c r="K218" i="2" s="1"/>
  <c r="K219" i="2" s="1"/>
  <c r="K220" i="2" s="1"/>
  <c r="K221" i="2" s="1"/>
  <c r="K222" i="2" s="1"/>
  <c r="K223" i="2" s="1"/>
  <c r="K224" i="2" s="1"/>
  <c r="K225" i="2" s="1"/>
  <c r="K226" i="2" s="1"/>
  <c r="K227" i="2" s="1"/>
  <c r="K228" i="2" s="1"/>
  <c r="K229" i="2" s="1"/>
  <c r="K230" i="2" s="1"/>
  <c r="K231" i="2" s="1"/>
  <c r="K232" i="2" s="1"/>
  <c r="K233" i="2" s="1"/>
  <c r="K234" i="2" s="1"/>
  <c r="K235" i="2" s="1"/>
  <c r="K236" i="2" s="1"/>
  <c r="K237" i="2" s="1"/>
  <c r="K238" i="2" s="1"/>
  <c r="K239" i="2" s="1"/>
  <c r="K240" i="2" s="1"/>
  <c r="K241" i="2" s="1"/>
  <c r="K242" i="2" s="1"/>
  <c r="K4" i="2"/>
  <c r="K3" i="2"/>
  <c r="J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3" i="2"/>
  <c r="N3" i="2"/>
  <c r="G3" i="2"/>
  <c r="F3" i="2" s="1"/>
  <c r="I3" i="2"/>
  <c r="H3" i="2" s="1"/>
  <c r="G4" i="2"/>
  <c r="F4" i="2"/>
  <c r="I4" i="2"/>
  <c r="G5" i="2"/>
  <c r="I5" i="2"/>
  <c r="F5" i="2"/>
  <c r="H4" i="2"/>
  <c r="G6" i="2"/>
  <c r="L4" i="2"/>
  <c r="M4" i="2" l="1"/>
  <c r="J4" i="2"/>
  <c r="F6" i="2"/>
  <c r="I6" i="2"/>
  <c r="H5" i="2"/>
  <c r="G7" i="2"/>
  <c r="J5" i="2" l="1"/>
  <c r="F7" i="2"/>
  <c r="I7" i="2"/>
  <c r="H6" i="2"/>
  <c r="G8" i="2"/>
  <c r="L5" i="2"/>
  <c r="N4" i="2"/>
  <c r="M5" i="2" l="1"/>
  <c r="J6" i="2"/>
  <c r="F8" i="2"/>
  <c r="H7" i="2"/>
  <c r="I8" i="2"/>
  <c r="G9" i="2"/>
  <c r="J7" i="2" l="1"/>
  <c r="F9" i="2"/>
  <c r="I9" i="2"/>
  <c r="H8" i="2"/>
  <c r="G10" i="2"/>
  <c r="L6" i="2"/>
  <c r="N5" i="2"/>
  <c r="M6" i="2" l="1"/>
  <c r="J8" i="2"/>
  <c r="F10" i="2"/>
  <c r="I10" i="2"/>
  <c r="H9" i="2"/>
  <c r="G11" i="2"/>
  <c r="J9" i="2" l="1"/>
  <c r="F11" i="2"/>
  <c r="I11" i="2"/>
  <c r="H10" i="2"/>
  <c r="G12" i="2"/>
  <c r="L7" i="2"/>
  <c r="N6" i="2"/>
  <c r="M7" i="2" l="1"/>
  <c r="J10" i="2"/>
  <c r="F12" i="2"/>
  <c r="I12" i="2"/>
  <c r="H11" i="2"/>
  <c r="G13" i="2"/>
  <c r="J11" i="2" l="1"/>
  <c r="F13" i="2"/>
  <c r="I13" i="2"/>
  <c r="H12" i="2"/>
  <c r="G14" i="2"/>
  <c r="L8" i="2"/>
  <c r="N7" i="2"/>
  <c r="M8" i="2" l="1"/>
  <c r="J12" i="2"/>
  <c r="F14" i="2"/>
  <c r="I14" i="2"/>
  <c r="H13" i="2"/>
  <c r="G15" i="2"/>
  <c r="J13" i="2" l="1"/>
  <c r="F15" i="2"/>
  <c r="I15" i="2"/>
  <c r="H14" i="2"/>
  <c r="G16" i="2"/>
  <c r="N8" i="2"/>
  <c r="L9" i="2"/>
  <c r="M9" i="2" l="1"/>
  <c r="J14" i="2"/>
  <c r="F16" i="2"/>
  <c r="I16" i="2"/>
  <c r="H15" i="2"/>
  <c r="G17" i="2"/>
  <c r="J15" i="2" l="1"/>
  <c r="F17" i="2"/>
  <c r="I17" i="2"/>
  <c r="H16" i="2"/>
  <c r="G18" i="2"/>
  <c r="L10" i="2"/>
  <c r="N9" i="2"/>
  <c r="M10" i="2" l="1"/>
  <c r="J16" i="2"/>
  <c r="F18" i="2"/>
  <c r="I18" i="2"/>
  <c r="H17" i="2"/>
  <c r="G19" i="2"/>
  <c r="J17" i="2" l="1"/>
  <c r="F19" i="2"/>
  <c r="I19" i="2"/>
  <c r="H18" i="2"/>
  <c r="G20" i="2"/>
  <c r="L11" i="2"/>
  <c r="N10" i="2"/>
  <c r="M11" i="2" l="1"/>
  <c r="J18" i="2"/>
  <c r="F20" i="2"/>
  <c r="I20" i="2"/>
  <c r="H19" i="2"/>
  <c r="G21" i="2"/>
  <c r="J19" i="2" l="1"/>
  <c r="F21" i="2"/>
  <c r="I21" i="2"/>
  <c r="H20" i="2"/>
  <c r="G22" i="2"/>
  <c r="N11" i="2"/>
  <c r="L12" i="2"/>
  <c r="M12" i="2" l="1"/>
  <c r="J20" i="2"/>
  <c r="F22" i="2"/>
  <c r="I22" i="2"/>
  <c r="H21" i="2"/>
  <c r="G23" i="2"/>
  <c r="J21" i="2" l="1"/>
  <c r="F23" i="2"/>
  <c r="I23" i="2"/>
  <c r="H22" i="2"/>
  <c r="G24" i="2"/>
  <c r="N12" i="2"/>
  <c r="L13" i="2"/>
  <c r="M13" i="2" l="1"/>
  <c r="J22" i="2"/>
  <c r="F24" i="2"/>
  <c r="I24" i="2"/>
  <c r="H23" i="2"/>
  <c r="G25" i="2"/>
  <c r="J23" i="2" l="1"/>
  <c r="F25" i="2"/>
  <c r="I25" i="2"/>
  <c r="H24" i="2"/>
  <c r="G26" i="2"/>
  <c r="L14" i="2"/>
  <c r="N13" i="2"/>
  <c r="M14" i="2" l="1"/>
  <c r="J24" i="2"/>
  <c r="F26" i="2"/>
  <c r="I26" i="2"/>
  <c r="H25" i="2"/>
  <c r="G27" i="2"/>
  <c r="J25" i="2" l="1"/>
  <c r="F27" i="2"/>
  <c r="I27" i="2"/>
  <c r="H26" i="2"/>
  <c r="G28" i="2"/>
  <c r="N14" i="2"/>
  <c r="L15" i="2"/>
  <c r="M15" i="2" l="1"/>
  <c r="J26" i="2"/>
  <c r="F28" i="2"/>
  <c r="I28" i="2"/>
  <c r="H27" i="2"/>
  <c r="G29" i="2"/>
  <c r="J27" i="2" l="1"/>
  <c r="F29" i="2"/>
  <c r="I29" i="2"/>
  <c r="H28" i="2"/>
  <c r="G30" i="2"/>
  <c r="N15" i="2"/>
  <c r="L16" i="2"/>
  <c r="M16" i="2" l="1"/>
  <c r="J28" i="2"/>
  <c r="F30" i="2"/>
  <c r="I30" i="2"/>
  <c r="H29" i="2"/>
  <c r="G31" i="2"/>
  <c r="J29" i="2" l="1"/>
  <c r="F31" i="2"/>
  <c r="I31" i="2"/>
  <c r="H30" i="2"/>
  <c r="G32" i="2"/>
  <c r="L17" i="2"/>
  <c r="N16" i="2"/>
  <c r="M17" i="2" l="1"/>
  <c r="J30" i="2"/>
  <c r="F32" i="2"/>
  <c r="I32" i="2"/>
  <c r="H31" i="2"/>
  <c r="G33" i="2"/>
  <c r="J31" i="2" l="1"/>
  <c r="F33" i="2"/>
  <c r="I33" i="2"/>
  <c r="H32" i="2"/>
  <c r="G34" i="2"/>
  <c r="N17" i="2"/>
  <c r="L18" i="2"/>
  <c r="M18" i="2" l="1"/>
  <c r="J32" i="2"/>
  <c r="F34" i="2"/>
  <c r="I34" i="2"/>
  <c r="H33" i="2"/>
  <c r="G35" i="2"/>
  <c r="J33" i="2" l="1"/>
  <c r="F35" i="2"/>
  <c r="I35" i="2"/>
  <c r="H34" i="2"/>
  <c r="G36" i="2"/>
  <c r="L19" i="2"/>
  <c r="N18" i="2"/>
  <c r="M19" i="2" l="1"/>
  <c r="J34" i="2"/>
  <c r="F36" i="2"/>
  <c r="I36" i="2"/>
  <c r="H35" i="2"/>
  <c r="G37" i="2"/>
  <c r="J35" i="2" l="1"/>
  <c r="F37" i="2"/>
  <c r="I37" i="2"/>
  <c r="H36" i="2"/>
  <c r="G38" i="2"/>
  <c r="N19" i="2"/>
  <c r="L20" i="2"/>
  <c r="M20" i="2" l="1"/>
  <c r="J36" i="2"/>
  <c r="F38" i="2"/>
  <c r="I38" i="2"/>
  <c r="H37" i="2"/>
  <c r="G39" i="2"/>
  <c r="J37" i="2" l="1"/>
  <c r="F39" i="2"/>
  <c r="I39" i="2"/>
  <c r="H38" i="2"/>
  <c r="G40" i="2"/>
  <c r="L21" i="2"/>
  <c r="N20" i="2"/>
  <c r="M21" i="2" l="1"/>
  <c r="J38" i="2"/>
  <c r="F40" i="2"/>
  <c r="I40" i="2"/>
  <c r="H39" i="2"/>
  <c r="G41" i="2"/>
  <c r="J39" i="2" l="1"/>
  <c r="F41" i="2"/>
  <c r="I41" i="2"/>
  <c r="H40" i="2"/>
  <c r="G42" i="2"/>
  <c r="N21" i="2"/>
  <c r="L22" i="2"/>
  <c r="M22" i="2" l="1"/>
  <c r="J40" i="2"/>
  <c r="F42" i="2"/>
  <c r="I42" i="2"/>
  <c r="H41" i="2"/>
  <c r="G43" i="2"/>
  <c r="J41" i="2" l="1"/>
  <c r="F43" i="2"/>
  <c r="I43" i="2"/>
  <c r="H42" i="2"/>
  <c r="G44" i="2"/>
  <c r="L23" i="2"/>
  <c r="N22" i="2"/>
  <c r="M23" i="2" l="1"/>
  <c r="J42" i="2"/>
  <c r="F44" i="2"/>
  <c r="I44" i="2"/>
  <c r="H43" i="2"/>
  <c r="G45" i="2"/>
  <c r="J43" i="2" l="1"/>
  <c r="F45" i="2"/>
  <c r="I45" i="2"/>
  <c r="H44" i="2"/>
  <c r="G46" i="2"/>
  <c r="L24" i="2"/>
  <c r="N23" i="2"/>
  <c r="M24" i="2" l="1"/>
  <c r="J44" i="2"/>
  <c r="F46" i="2"/>
  <c r="I46" i="2"/>
  <c r="H45" i="2"/>
  <c r="G47" i="2"/>
  <c r="J45" i="2" l="1"/>
  <c r="F47" i="2"/>
  <c r="I47" i="2"/>
  <c r="H46" i="2"/>
  <c r="G48" i="2"/>
  <c r="L25" i="2"/>
  <c r="N24" i="2"/>
  <c r="M25" i="2" l="1"/>
  <c r="J46" i="2"/>
  <c r="F48" i="2"/>
  <c r="I48" i="2"/>
  <c r="H47" i="2"/>
  <c r="G49" i="2"/>
  <c r="J47" i="2" l="1"/>
  <c r="F49" i="2"/>
  <c r="I49" i="2"/>
  <c r="H48" i="2"/>
  <c r="G50" i="2"/>
  <c r="N25" i="2"/>
  <c r="L26" i="2"/>
  <c r="M26" i="2" l="1"/>
  <c r="J48" i="2"/>
  <c r="F50" i="2"/>
  <c r="I50" i="2"/>
  <c r="H49" i="2"/>
  <c r="G51" i="2"/>
  <c r="J49" i="2" l="1"/>
  <c r="F51" i="2"/>
  <c r="I51" i="2"/>
  <c r="H50" i="2"/>
  <c r="G52" i="2"/>
  <c r="L27" i="2"/>
  <c r="N26" i="2"/>
  <c r="M27" i="2" l="1"/>
  <c r="J50" i="2"/>
  <c r="F52" i="2"/>
  <c r="I52" i="2"/>
  <c r="H51" i="2"/>
  <c r="G53" i="2"/>
  <c r="J51" i="2" l="1"/>
  <c r="F53" i="2"/>
  <c r="I53" i="2"/>
  <c r="H52" i="2"/>
  <c r="G54" i="2"/>
  <c r="N27" i="2"/>
  <c r="L28" i="2"/>
  <c r="M28" i="2" l="1"/>
  <c r="J52" i="2"/>
  <c r="F54" i="2"/>
  <c r="I54" i="2"/>
  <c r="H53" i="2"/>
  <c r="G55" i="2"/>
  <c r="J53" i="2" l="1"/>
  <c r="F55" i="2"/>
  <c r="I55" i="2"/>
  <c r="H54" i="2"/>
  <c r="G56" i="2"/>
  <c r="L29" i="2"/>
  <c r="N28" i="2"/>
  <c r="M29" i="2" l="1"/>
  <c r="J54" i="2"/>
  <c r="F56" i="2"/>
  <c r="I56" i="2"/>
  <c r="H55" i="2"/>
  <c r="G57" i="2"/>
  <c r="J55" i="2" l="1"/>
  <c r="F57" i="2"/>
  <c r="I57" i="2"/>
  <c r="H56" i="2"/>
  <c r="G58" i="2"/>
  <c r="N29" i="2"/>
  <c r="L30" i="2"/>
  <c r="M30" i="2" l="1"/>
  <c r="J56" i="2"/>
  <c r="F58" i="2"/>
  <c r="I58" i="2"/>
  <c r="H57" i="2"/>
  <c r="G59" i="2"/>
  <c r="J57" i="2" l="1"/>
  <c r="F59" i="2"/>
  <c r="I59" i="2"/>
  <c r="H58" i="2"/>
  <c r="G60" i="2"/>
  <c r="L31" i="2"/>
  <c r="N30" i="2"/>
  <c r="M31" i="2" l="1"/>
  <c r="J58" i="2"/>
  <c r="F60" i="2"/>
  <c r="I60" i="2"/>
  <c r="H59" i="2"/>
  <c r="G61" i="2"/>
  <c r="J59" i="2" l="1"/>
  <c r="F61" i="2"/>
  <c r="I61" i="2"/>
  <c r="H60" i="2"/>
  <c r="G62" i="2"/>
  <c r="N31" i="2"/>
  <c r="L32" i="2"/>
  <c r="M32" i="2" l="1"/>
  <c r="J60" i="2"/>
  <c r="F62" i="2"/>
  <c r="I62" i="2"/>
  <c r="H61" i="2"/>
  <c r="G63" i="2"/>
  <c r="J61" i="2" l="1"/>
  <c r="F63" i="2"/>
  <c r="I63" i="2"/>
  <c r="H62" i="2"/>
  <c r="G64" i="2"/>
  <c r="N32" i="2"/>
  <c r="L33" i="2"/>
  <c r="M33" i="2" l="1"/>
  <c r="J62" i="2"/>
  <c r="F64" i="2"/>
  <c r="I64" i="2"/>
  <c r="H63" i="2"/>
  <c r="G65" i="2"/>
  <c r="J63" i="2" l="1"/>
  <c r="F65" i="2"/>
  <c r="I65" i="2"/>
  <c r="H64" i="2"/>
  <c r="G66" i="2"/>
  <c r="N33" i="2"/>
  <c r="L34" i="2"/>
  <c r="M34" i="2" l="1"/>
  <c r="J64" i="2"/>
  <c r="F66" i="2"/>
  <c r="I66" i="2"/>
  <c r="H65" i="2"/>
  <c r="G67" i="2"/>
  <c r="J65" i="2" l="1"/>
  <c r="F67" i="2"/>
  <c r="I67" i="2"/>
  <c r="H66" i="2"/>
  <c r="G68" i="2"/>
  <c r="L35" i="2"/>
  <c r="N34" i="2"/>
  <c r="M35" i="2" l="1"/>
  <c r="J66" i="2"/>
  <c r="F68" i="2"/>
  <c r="I68" i="2"/>
  <c r="H67" i="2"/>
  <c r="G69" i="2"/>
  <c r="J67" i="2" l="1"/>
  <c r="F69" i="2"/>
  <c r="I69" i="2"/>
  <c r="H68" i="2"/>
  <c r="G70" i="2"/>
  <c r="N35" i="2"/>
  <c r="L36" i="2"/>
  <c r="M36" i="2" l="1"/>
  <c r="J68" i="2"/>
  <c r="F70" i="2"/>
  <c r="I70" i="2"/>
  <c r="H69" i="2"/>
  <c r="G71" i="2"/>
  <c r="J69" i="2" l="1"/>
  <c r="F71" i="2"/>
  <c r="I71" i="2"/>
  <c r="H70" i="2"/>
  <c r="G72" i="2"/>
  <c r="N36" i="2"/>
  <c r="L37" i="2"/>
  <c r="M37" i="2" l="1"/>
  <c r="J70" i="2"/>
  <c r="F72" i="2"/>
  <c r="I72" i="2"/>
  <c r="H71" i="2"/>
  <c r="G73" i="2"/>
  <c r="J71" i="2" l="1"/>
  <c r="F73" i="2"/>
  <c r="I73" i="2"/>
  <c r="H72" i="2"/>
  <c r="G74" i="2"/>
  <c r="N37" i="2"/>
  <c r="L38" i="2"/>
  <c r="M38" i="2" l="1"/>
  <c r="J72" i="2"/>
  <c r="F74" i="2"/>
  <c r="I74" i="2"/>
  <c r="H73" i="2"/>
  <c r="G75" i="2"/>
  <c r="J73" i="2" l="1"/>
  <c r="F75" i="2"/>
  <c r="I75" i="2"/>
  <c r="H74" i="2"/>
  <c r="G76" i="2"/>
  <c r="L39" i="2"/>
  <c r="N38" i="2"/>
  <c r="M39" i="2" l="1"/>
  <c r="J74" i="2"/>
  <c r="F76" i="2"/>
  <c r="I76" i="2"/>
  <c r="H75" i="2"/>
  <c r="G77" i="2"/>
  <c r="J75" i="2" l="1"/>
  <c r="F77" i="2"/>
  <c r="I77" i="2"/>
  <c r="H76" i="2"/>
  <c r="G78" i="2"/>
  <c r="N39" i="2"/>
  <c r="L40" i="2"/>
  <c r="M40" i="2" l="1"/>
  <c r="J76" i="2"/>
  <c r="F78" i="2"/>
  <c r="I78" i="2"/>
  <c r="H77" i="2"/>
  <c r="G79" i="2"/>
  <c r="J77" i="2" l="1"/>
  <c r="F79" i="2"/>
  <c r="I79" i="2"/>
  <c r="H78" i="2"/>
  <c r="G80" i="2"/>
  <c r="L41" i="2"/>
  <c r="N40" i="2"/>
  <c r="M41" i="2" l="1"/>
  <c r="J78" i="2"/>
  <c r="F80" i="2"/>
  <c r="I80" i="2"/>
  <c r="H79" i="2"/>
  <c r="G81" i="2"/>
  <c r="J79" i="2" l="1"/>
  <c r="F81" i="2"/>
  <c r="I81" i="2"/>
  <c r="H80" i="2"/>
  <c r="G82" i="2"/>
  <c r="N41" i="2"/>
  <c r="L42" i="2"/>
  <c r="M42" i="2" l="1"/>
  <c r="J80" i="2"/>
  <c r="F82" i="2"/>
  <c r="I82" i="2"/>
  <c r="H81" i="2"/>
  <c r="G83" i="2"/>
  <c r="J81" i="2" l="1"/>
  <c r="F83" i="2"/>
  <c r="I83" i="2"/>
  <c r="H82" i="2"/>
  <c r="G84" i="2"/>
  <c r="L43" i="2"/>
  <c r="N42" i="2"/>
  <c r="M43" i="2" l="1"/>
  <c r="J82" i="2"/>
  <c r="F84" i="2"/>
  <c r="I84" i="2"/>
  <c r="H83" i="2"/>
  <c r="G85" i="2"/>
  <c r="J83" i="2" l="1"/>
  <c r="F85" i="2"/>
  <c r="I85" i="2"/>
  <c r="H84" i="2"/>
  <c r="G86" i="2"/>
  <c r="N43" i="2"/>
  <c r="L44" i="2"/>
  <c r="M44" i="2" l="1"/>
  <c r="J84" i="2"/>
  <c r="F86" i="2"/>
  <c r="I86" i="2"/>
  <c r="H85" i="2"/>
  <c r="G87" i="2"/>
  <c r="J85" i="2" l="1"/>
  <c r="F87" i="2"/>
  <c r="I87" i="2"/>
  <c r="H86" i="2"/>
  <c r="G88" i="2"/>
  <c r="L45" i="2"/>
  <c r="N44" i="2"/>
  <c r="M45" i="2" l="1"/>
  <c r="J86" i="2"/>
  <c r="F88" i="2"/>
  <c r="I88" i="2"/>
  <c r="H87" i="2"/>
  <c r="G89" i="2"/>
  <c r="J87" i="2" l="1"/>
  <c r="F89" i="2"/>
  <c r="I89" i="2"/>
  <c r="H88" i="2"/>
  <c r="G90" i="2"/>
  <c r="N45" i="2"/>
  <c r="L46" i="2"/>
  <c r="M46" i="2" l="1"/>
  <c r="J88" i="2"/>
  <c r="F90" i="2"/>
  <c r="I90" i="2"/>
  <c r="H89" i="2"/>
  <c r="G91" i="2"/>
  <c r="J89" i="2" l="1"/>
  <c r="F91" i="2"/>
  <c r="I91" i="2"/>
  <c r="H90" i="2"/>
  <c r="G92" i="2"/>
  <c r="L47" i="2"/>
  <c r="N46" i="2"/>
  <c r="M47" i="2" l="1"/>
  <c r="J90" i="2"/>
  <c r="F92" i="2"/>
  <c r="I92" i="2"/>
  <c r="H91" i="2"/>
  <c r="G93" i="2"/>
  <c r="J91" i="2" l="1"/>
  <c r="F93" i="2"/>
  <c r="I93" i="2"/>
  <c r="H92" i="2"/>
  <c r="G94" i="2"/>
  <c r="N47" i="2"/>
  <c r="L48" i="2"/>
  <c r="M48" i="2" l="1"/>
  <c r="J92" i="2"/>
  <c r="F94" i="2"/>
  <c r="I94" i="2"/>
  <c r="H93" i="2"/>
  <c r="G95" i="2"/>
  <c r="J93" i="2" l="1"/>
  <c r="F95" i="2"/>
  <c r="I95" i="2"/>
  <c r="H94" i="2"/>
  <c r="G96" i="2"/>
  <c r="L49" i="2"/>
  <c r="N48" i="2"/>
  <c r="M49" i="2" l="1"/>
  <c r="J94" i="2"/>
  <c r="F96" i="2"/>
  <c r="I96" i="2"/>
  <c r="H95" i="2"/>
  <c r="G97" i="2"/>
  <c r="J95" i="2" l="1"/>
  <c r="F97" i="2"/>
  <c r="I97" i="2"/>
  <c r="H96" i="2"/>
  <c r="G98" i="2"/>
  <c r="N49" i="2"/>
  <c r="L50" i="2"/>
  <c r="M50" i="2" l="1"/>
  <c r="J96" i="2"/>
  <c r="F98" i="2"/>
  <c r="I98" i="2"/>
  <c r="H97" i="2"/>
  <c r="G99" i="2"/>
  <c r="J97" i="2" l="1"/>
  <c r="F99" i="2"/>
  <c r="I99" i="2"/>
  <c r="H98" i="2"/>
  <c r="G100" i="2"/>
  <c r="L51" i="2"/>
  <c r="N50" i="2"/>
  <c r="M51" i="2" l="1"/>
  <c r="J98" i="2"/>
  <c r="F100" i="2"/>
  <c r="I100" i="2"/>
  <c r="H99" i="2"/>
  <c r="G101" i="2"/>
  <c r="J99" i="2" l="1"/>
  <c r="F101" i="2"/>
  <c r="I101" i="2"/>
  <c r="H100" i="2"/>
  <c r="G102" i="2"/>
  <c r="N51" i="2"/>
  <c r="L52" i="2"/>
  <c r="M52" i="2" l="1"/>
  <c r="J100" i="2"/>
  <c r="F102" i="2"/>
  <c r="I102" i="2"/>
  <c r="H101" i="2"/>
  <c r="G103" i="2"/>
  <c r="J101" i="2" l="1"/>
  <c r="F103" i="2"/>
  <c r="I103" i="2"/>
  <c r="H102" i="2"/>
  <c r="G104" i="2"/>
  <c r="L53" i="2"/>
  <c r="N52" i="2"/>
  <c r="M53" i="2" l="1"/>
  <c r="J102" i="2"/>
  <c r="F104" i="2"/>
  <c r="I104" i="2"/>
  <c r="H103" i="2"/>
  <c r="G105" i="2"/>
  <c r="J103" i="2" l="1"/>
  <c r="F105" i="2"/>
  <c r="I105" i="2"/>
  <c r="H104" i="2"/>
  <c r="G106" i="2"/>
  <c r="N53" i="2"/>
  <c r="L54" i="2"/>
  <c r="M54" i="2" l="1"/>
  <c r="J104" i="2"/>
  <c r="F106" i="2"/>
  <c r="I106" i="2"/>
  <c r="H105" i="2"/>
  <c r="G107" i="2"/>
  <c r="J105" i="2" l="1"/>
  <c r="F107" i="2"/>
  <c r="I107" i="2"/>
  <c r="H106" i="2"/>
  <c r="G108" i="2"/>
  <c r="L55" i="2"/>
  <c r="N54" i="2"/>
  <c r="M55" i="2" l="1"/>
  <c r="J106" i="2"/>
  <c r="F108" i="2"/>
  <c r="I108" i="2"/>
  <c r="H107" i="2"/>
  <c r="G109" i="2"/>
  <c r="J107" i="2" l="1"/>
  <c r="F109" i="2"/>
  <c r="I109" i="2"/>
  <c r="H108" i="2"/>
  <c r="G110" i="2"/>
  <c r="N55" i="2"/>
  <c r="L56" i="2"/>
  <c r="M56" i="2" l="1"/>
  <c r="J108" i="2"/>
  <c r="F110" i="2"/>
  <c r="I110" i="2"/>
  <c r="H109" i="2"/>
  <c r="G111" i="2"/>
  <c r="J109" i="2" l="1"/>
  <c r="F111" i="2"/>
  <c r="I111" i="2"/>
  <c r="H110" i="2"/>
  <c r="G112" i="2"/>
  <c r="L57" i="2"/>
  <c r="N56" i="2"/>
  <c r="M57" i="2" l="1"/>
  <c r="J110" i="2"/>
  <c r="F112" i="2"/>
  <c r="I112" i="2"/>
  <c r="H111" i="2"/>
  <c r="G113" i="2"/>
  <c r="J111" i="2" l="1"/>
  <c r="F113" i="2"/>
  <c r="I113" i="2"/>
  <c r="H112" i="2"/>
  <c r="G114" i="2"/>
  <c r="N57" i="2"/>
  <c r="L58" i="2"/>
  <c r="M58" i="2" l="1"/>
  <c r="J112" i="2"/>
  <c r="F114" i="2"/>
  <c r="I114" i="2"/>
  <c r="H113" i="2"/>
  <c r="G115" i="2"/>
  <c r="J113" i="2" l="1"/>
  <c r="F115" i="2"/>
  <c r="I115" i="2"/>
  <c r="H114" i="2"/>
  <c r="G116" i="2"/>
  <c r="L59" i="2"/>
  <c r="N58" i="2"/>
  <c r="M59" i="2" l="1"/>
  <c r="J114" i="2"/>
  <c r="F116" i="2"/>
  <c r="I116" i="2"/>
  <c r="H115" i="2"/>
  <c r="G117" i="2"/>
  <c r="J115" i="2" l="1"/>
  <c r="F117" i="2"/>
  <c r="I117" i="2"/>
  <c r="H116" i="2"/>
  <c r="G118" i="2"/>
  <c r="N59" i="2"/>
  <c r="L60" i="2"/>
  <c r="M60" i="2" l="1"/>
  <c r="J116" i="2"/>
  <c r="F118" i="2"/>
  <c r="I118" i="2"/>
  <c r="H117" i="2"/>
  <c r="G119" i="2"/>
  <c r="J117" i="2" l="1"/>
  <c r="F119" i="2"/>
  <c r="I119" i="2"/>
  <c r="H118" i="2"/>
  <c r="G120" i="2"/>
  <c r="L61" i="2"/>
  <c r="N60" i="2"/>
  <c r="M61" i="2" l="1"/>
  <c r="J118" i="2"/>
  <c r="F120" i="2"/>
  <c r="I120" i="2"/>
  <c r="H119" i="2"/>
  <c r="G121" i="2"/>
  <c r="J119" i="2" l="1"/>
  <c r="F121" i="2"/>
  <c r="I121" i="2"/>
  <c r="H120" i="2"/>
  <c r="G122" i="2"/>
  <c r="N61" i="2"/>
  <c r="L62" i="2"/>
  <c r="M62" i="2" l="1"/>
  <c r="J120" i="2"/>
  <c r="F122" i="2"/>
  <c r="I122" i="2"/>
  <c r="H121" i="2"/>
  <c r="G123" i="2"/>
  <c r="J121" i="2" l="1"/>
  <c r="F123" i="2"/>
  <c r="I123" i="2"/>
  <c r="H122" i="2"/>
  <c r="G124" i="2"/>
  <c r="L63" i="2"/>
  <c r="N62" i="2"/>
  <c r="M63" i="2" l="1"/>
  <c r="J122" i="2"/>
  <c r="F124" i="2"/>
  <c r="I124" i="2"/>
  <c r="H123" i="2"/>
  <c r="G125" i="2"/>
  <c r="J123" i="2" l="1"/>
  <c r="F125" i="2"/>
  <c r="I125" i="2"/>
  <c r="H124" i="2"/>
  <c r="G126" i="2"/>
  <c r="N63" i="2"/>
  <c r="L64" i="2"/>
  <c r="M64" i="2" l="1"/>
  <c r="J124" i="2"/>
  <c r="F126" i="2"/>
  <c r="I126" i="2"/>
  <c r="H125" i="2"/>
  <c r="G127" i="2"/>
  <c r="J125" i="2" l="1"/>
  <c r="F127" i="2"/>
  <c r="I127" i="2"/>
  <c r="H126" i="2"/>
  <c r="G128" i="2"/>
  <c r="L65" i="2"/>
  <c r="N64" i="2"/>
  <c r="M65" i="2" l="1"/>
  <c r="J126" i="2"/>
  <c r="F128" i="2"/>
  <c r="I128" i="2"/>
  <c r="H127" i="2"/>
  <c r="G129" i="2"/>
  <c r="J127" i="2" l="1"/>
  <c r="F129" i="2"/>
  <c r="I129" i="2"/>
  <c r="H128" i="2"/>
  <c r="G130" i="2"/>
  <c r="N65" i="2"/>
  <c r="L66" i="2"/>
  <c r="M66" i="2" l="1"/>
  <c r="J128" i="2"/>
  <c r="F130" i="2"/>
  <c r="I130" i="2"/>
  <c r="H129" i="2"/>
  <c r="G131" i="2"/>
  <c r="J129" i="2" l="1"/>
  <c r="F131" i="2"/>
  <c r="I131" i="2"/>
  <c r="H130" i="2"/>
  <c r="G132" i="2"/>
  <c r="L67" i="2"/>
  <c r="N66" i="2"/>
  <c r="M67" i="2" l="1"/>
  <c r="J130" i="2"/>
  <c r="F132" i="2"/>
  <c r="I132" i="2"/>
  <c r="H131" i="2"/>
  <c r="G133" i="2"/>
  <c r="J131" i="2" l="1"/>
  <c r="F133" i="2"/>
  <c r="I133" i="2"/>
  <c r="H132" i="2"/>
  <c r="G134" i="2"/>
  <c r="N67" i="2"/>
  <c r="L68" i="2"/>
  <c r="M68" i="2" l="1"/>
  <c r="J132" i="2"/>
  <c r="F134" i="2"/>
  <c r="I134" i="2"/>
  <c r="H133" i="2"/>
  <c r="G135" i="2"/>
  <c r="J133" i="2" l="1"/>
  <c r="F135" i="2"/>
  <c r="I135" i="2"/>
  <c r="H134" i="2"/>
  <c r="G136" i="2"/>
  <c r="L69" i="2"/>
  <c r="N68" i="2"/>
  <c r="M69" i="2" l="1"/>
  <c r="J134" i="2"/>
  <c r="F136" i="2"/>
  <c r="I136" i="2"/>
  <c r="H135" i="2"/>
  <c r="G137" i="2"/>
  <c r="J135" i="2" l="1"/>
  <c r="F137" i="2"/>
  <c r="I137" i="2"/>
  <c r="H136" i="2"/>
  <c r="G138" i="2"/>
  <c r="N69" i="2"/>
  <c r="L70" i="2"/>
  <c r="M70" i="2" l="1"/>
  <c r="J136" i="2"/>
  <c r="F138" i="2"/>
  <c r="I138" i="2"/>
  <c r="H137" i="2"/>
  <c r="G139" i="2"/>
  <c r="J137" i="2" l="1"/>
  <c r="F139" i="2"/>
  <c r="I139" i="2"/>
  <c r="H138" i="2"/>
  <c r="G140" i="2"/>
  <c r="L71" i="2"/>
  <c r="N70" i="2"/>
  <c r="M71" i="2" l="1"/>
  <c r="J138" i="2"/>
  <c r="F140" i="2"/>
  <c r="I140" i="2"/>
  <c r="H139" i="2"/>
  <c r="G141" i="2"/>
  <c r="J139" i="2" l="1"/>
  <c r="F141" i="2"/>
  <c r="I141" i="2"/>
  <c r="H140" i="2"/>
  <c r="G142" i="2"/>
  <c r="N71" i="2"/>
  <c r="L72" i="2"/>
  <c r="M72" i="2" l="1"/>
  <c r="J140" i="2"/>
  <c r="F142" i="2"/>
  <c r="I142" i="2"/>
  <c r="H141" i="2"/>
  <c r="G143" i="2"/>
  <c r="J141" i="2" l="1"/>
  <c r="F143" i="2"/>
  <c r="I143" i="2"/>
  <c r="H142" i="2"/>
  <c r="G144" i="2"/>
  <c r="L73" i="2"/>
  <c r="N72" i="2"/>
  <c r="M73" i="2" l="1"/>
  <c r="J142" i="2"/>
  <c r="F144" i="2"/>
  <c r="I144" i="2"/>
  <c r="H143" i="2"/>
  <c r="G145" i="2"/>
  <c r="J143" i="2" l="1"/>
  <c r="F145" i="2"/>
  <c r="I145" i="2"/>
  <c r="H144" i="2"/>
  <c r="G146" i="2"/>
  <c r="N73" i="2"/>
  <c r="L74" i="2"/>
  <c r="M74" i="2" l="1"/>
  <c r="J144" i="2"/>
  <c r="F146" i="2"/>
  <c r="I146" i="2"/>
  <c r="H145" i="2"/>
  <c r="G147" i="2"/>
  <c r="J145" i="2" l="1"/>
  <c r="F147" i="2"/>
  <c r="I147" i="2"/>
  <c r="H146" i="2"/>
  <c r="G148" i="2"/>
  <c r="L75" i="2"/>
  <c r="N74" i="2"/>
  <c r="M75" i="2" l="1"/>
  <c r="J146" i="2"/>
  <c r="F148" i="2"/>
  <c r="I148" i="2"/>
  <c r="H147" i="2"/>
  <c r="G149" i="2"/>
  <c r="J147" i="2" l="1"/>
  <c r="F149" i="2"/>
  <c r="I149" i="2"/>
  <c r="H148" i="2"/>
  <c r="G150" i="2"/>
  <c r="N75" i="2"/>
  <c r="L76" i="2"/>
  <c r="M76" i="2" l="1"/>
  <c r="J148" i="2"/>
  <c r="F150" i="2"/>
  <c r="I150" i="2"/>
  <c r="H149" i="2"/>
  <c r="G151" i="2"/>
  <c r="J149" i="2" l="1"/>
  <c r="F151" i="2"/>
  <c r="I151" i="2"/>
  <c r="H150" i="2"/>
  <c r="G152" i="2"/>
  <c r="L77" i="2"/>
  <c r="N76" i="2"/>
  <c r="M77" i="2" l="1"/>
  <c r="J150" i="2"/>
  <c r="F152" i="2"/>
  <c r="I152" i="2"/>
  <c r="H151" i="2"/>
  <c r="G153" i="2"/>
  <c r="J151" i="2" l="1"/>
  <c r="F153" i="2"/>
  <c r="I153" i="2"/>
  <c r="H152" i="2"/>
  <c r="G154" i="2"/>
  <c r="L78" i="2"/>
  <c r="N77" i="2"/>
  <c r="M78" i="2" l="1"/>
  <c r="J152" i="2"/>
  <c r="F154" i="2"/>
  <c r="I154" i="2"/>
  <c r="H153" i="2"/>
  <c r="G155" i="2"/>
  <c r="J153" i="2" l="1"/>
  <c r="F155" i="2"/>
  <c r="I155" i="2"/>
  <c r="H154" i="2"/>
  <c r="G156" i="2"/>
  <c r="L79" i="2"/>
  <c r="N78" i="2"/>
  <c r="M79" i="2" l="1"/>
  <c r="J154" i="2"/>
  <c r="F156" i="2"/>
  <c r="I156" i="2"/>
  <c r="H155" i="2"/>
  <c r="G157" i="2"/>
  <c r="J155" i="2" l="1"/>
  <c r="F157" i="2"/>
  <c r="I157" i="2"/>
  <c r="H156" i="2"/>
  <c r="G158" i="2"/>
  <c r="N79" i="2"/>
  <c r="L80" i="2"/>
  <c r="M80" i="2" l="1"/>
  <c r="J156" i="2"/>
  <c r="F158" i="2"/>
  <c r="I158" i="2"/>
  <c r="H157" i="2"/>
  <c r="G159" i="2"/>
  <c r="J157" i="2" l="1"/>
  <c r="F159" i="2"/>
  <c r="I159" i="2"/>
  <c r="H158" i="2"/>
  <c r="G160" i="2"/>
  <c r="N80" i="2"/>
  <c r="L81" i="2"/>
  <c r="M81" i="2" l="1"/>
  <c r="J158" i="2"/>
  <c r="F160" i="2"/>
  <c r="I160" i="2"/>
  <c r="H159" i="2"/>
  <c r="G161" i="2"/>
  <c r="J159" i="2" l="1"/>
  <c r="F161" i="2"/>
  <c r="I161" i="2"/>
  <c r="H160" i="2"/>
  <c r="G162" i="2"/>
  <c r="N81" i="2"/>
  <c r="L82" i="2"/>
  <c r="M82" i="2" l="1"/>
  <c r="J160" i="2"/>
  <c r="F162" i="2"/>
  <c r="I162" i="2"/>
  <c r="H161" i="2"/>
  <c r="G163" i="2"/>
  <c r="J161" i="2" l="1"/>
  <c r="F163" i="2"/>
  <c r="I163" i="2"/>
  <c r="H162" i="2"/>
  <c r="G164" i="2"/>
  <c r="L83" i="2"/>
  <c r="N82" i="2"/>
  <c r="M83" i="2" l="1"/>
  <c r="J162" i="2"/>
  <c r="F164" i="2"/>
  <c r="I164" i="2"/>
  <c r="H163" i="2"/>
  <c r="G165" i="2"/>
  <c r="J163" i="2" l="1"/>
  <c r="F165" i="2"/>
  <c r="I165" i="2"/>
  <c r="H164" i="2"/>
  <c r="G166" i="2"/>
  <c r="N83" i="2"/>
  <c r="L84" i="2"/>
  <c r="M84" i="2" l="1"/>
  <c r="J164" i="2"/>
  <c r="F166" i="2"/>
  <c r="I166" i="2"/>
  <c r="H165" i="2"/>
  <c r="G167" i="2"/>
  <c r="J165" i="2" l="1"/>
  <c r="F167" i="2"/>
  <c r="I167" i="2"/>
  <c r="H166" i="2"/>
  <c r="G168" i="2"/>
  <c r="L85" i="2"/>
  <c r="N84" i="2"/>
  <c r="M85" i="2" l="1"/>
  <c r="J166" i="2"/>
  <c r="F168" i="2"/>
  <c r="I168" i="2"/>
  <c r="H167" i="2"/>
  <c r="G169" i="2"/>
  <c r="J167" i="2" l="1"/>
  <c r="F169" i="2"/>
  <c r="I169" i="2"/>
  <c r="H168" i="2"/>
  <c r="G170" i="2"/>
  <c r="N85" i="2"/>
  <c r="L86" i="2"/>
  <c r="M86" i="2" l="1"/>
  <c r="J168" i="2"/>
  <c r="F170" i="2"/>
  <c r="I170" i="2"/>
  <c r="H169" i="2"/>
  <c r="G171" i="2"/>
  <c r="J169" i="2" l="1"/>
  <c r="F171" i="2"/>
  <c r="I171" i="2"/>
  <c r="H170" i="2"/>
  <c r="G172" i="2"/>
  <c r="L87" i="2"/>
  <c r="N86" i="2"/>
  <c r="M87" i="2" l="1"/>
  <c r="J170" i="2"/>
  <c r="F172" i="2"/>
  <c r="I172" i="2"/>
  <c r="H171" i="2"/>
  <c r="G173" i="2"/>
  <c r="J171" i="2" l="1"/>
  <c r="F173" i="2"/>
  <c r="I173" i="2"/>
  <c r="H172" i="2"/>
  <c r="G174" i="2"/>
  <c r="N87" i="2"/>
  <c r="L88" i="2"/>
  <c r="M88" i="2" l="1"/>
  <c r="J172" i="2"/>
  <c r="F174" i="2"/>
  <c r="I174" i="2"/>
  <c r="H173" i="2"/>
  <c r="G175" i="2"/>
  <c r="J173" i="2" l="1"/>
  <c r="F175" i="2"/>
  <c r="I175" i="2"/>
  <c r="H174" i="2"/>
  <c r="G176" i="2"/>
  <c r="L89" i="2"/>
  <c r="N88" i="2"/>
  <c r="M89" i="2" l="1"/>
  <c r="J174" i="2"/>
  <c r="F176" i="2"/>
  <c r="I176" i="2"/>
  <c r="H175" i="2"/>
  <c r="G177" i="2"/>
  <c r="J175" i="2" l="1"/>
  <c r="F177" i="2"/>
  <c r="I177" i="2"/>
  <c r="H176" i="2"/>
  <c r="G178" i="2"/>
  <c r="N89" i="2"/>
  <c r="L90" i="2"/>
  <c r="M90" i="2" l="1"/>
  <c r="J176" i="2"/>
  <c r="F178" i="2"/>
  <c r="I178" i="2"/>
  <c r="H177" i="2"/>
  <c r="G179" i="2"/>
  <c r="J177" i="2" l="1"/>
  <c r="F179" i="2"/>
  <c r="I179" i="2"/>
  <c r="H178" i="2"/>
  <c r="G180" i="2"/>
  <c r="L91" i="2"/>
  <c r="N90" i="2"/>
  <c r="M91" i="2" l="1"/>
  <c r="J178" i="2"/>
  <c r="F180" i="2"/>
  <c r="I180" i="2"/>
  <c r="H179" i="2"/>
  <c r="G181" i="2"/>
  <c r="J179" i="2" l="1"/>
  <c r="F181" i="2"/>
  <c r="I181" i="2"/>
  <c r="H180" i="2"/>
  <c r="G182" i="2"/>
  <c r="N91" i="2"/>
  <c r="L92" i="2"/>
  <c r="M92" i="2" l="1"/>
  <c r="J180" i="2"/>
  <c r="F182" i="2"/>
  <c r="I182" i="2"/>
  <c r="H181" i="2"/>
  <c r="G183" i="2"/>
  <c r="J181" i="2" l="1"/>
  <c r="F183" i="2"/>
  <c r="I183" i="2"/>
  <c r="H182" i="2"/>
  <c r="G184" i="2"/>
  <c r="L93" i="2"/>
  <c r="N92" i="2"/>
  <c r="M93" i="2" l="1"/>
  <c r="J182" i="2"/>
  <c r="F184" i="2"/>
  <c r="I184" i="2"/>
  <c r="H183" i="2"/>
  <c r="G185" i="2"/>
  <c r="J183" i="2" l="1"/>
  <c r="F185" i="2"/>
  <c r="I185" i="2"/>
  <c r="H184" i="2"/>
  <c r="G186" i="2"/>
  <c r="N93" i="2"/>
  <c r="L94" i="2"/>
  <c r="M94" i="2" l="1"/>
  <c r="J184" i="2"/>
  <c r="F186" i="2"/>
  <c r="I186" i="2"/>
  <c r="H185" i="2"/>
  <c r="G187" i="2"/>
  <c r="J185" i="2" l="1"/>
  <c r="F187" i="2"/>
  <c r="I187" i="2"/>
  <c r="H186" i="2"/>
  <c r="G188" i="2"/>
  <c r="L95" i="2"/>
  <c r="N94" i="2"/>
  <c r="M95" i="2" l="1"/>
  <c r="J186" i="2"/>
  <c r="F188" i="2"/>
  <c r="I188" i="2"/>
  <c r="H187" i="2"/>
  <c r="G189" i="2"/>
  <c r="J187" i="2" l="1"/>
  <c r="F189" i="2"/>
  <c r="I189" i="2"/>
  <c r="H188" i="2"/>
  <c r="G190" i="2"/>
  <c r="N95" i="2"/>
  <c r="L96" i="2"/>
  <c r="M96" i="2" l="1"/>
  <c r="J188" i="2"/>
  <c r="F190" i="2"/>
  <c r="I190" i="2"/>
  <c r="H189" i="2"/>
  <c r="G191" i="2"/>
  <c r="J189" i="2" l="1"/>
  <c r="F191" i="2"/>
  <c r="I191" i="2"/>
  <c r="H190" i="2"/>
  <c r="G192" i="2"/>
  <c r="L97" i="2"/>
  <c r="N96" i="2"/>
  <c r="M97" i="2" l="1"/>
  <c r="J190" i="2"/>
  <c r="F192" i="2"/>
  <c r="I192" i="2"/>
  <c r="H191" i="2"/>
  <c r="G193" i="2"/>
  <c r="J191" i="2" l="1"/>
  <c r="F193" i="2"/>
  <c r="I193" i="2"/>
  <c r="H192" i="2"/>
  <c r="G194" i="2"/>
  <c r="N97" i="2"/>
  <c r="L98" i="2"/>
  <c r="M98" i="2" l="1"/>
  <c r="J192" i="2"/>
  <c r="F194" i="2"/>
  <c r="I194" i="2"/>
  <c r="H193" i="2"/>
  <c r="G195" i="2"/>
  <c r="J193" i="2" l="1"/>
  <c r="F195" i="2"/>
  <c r="I195" i="2"/>
  <c r="H194" i="2"/>
  <c r="G196" i="2"/>
  <c r="L99" i="2"/>
  <c r="N98" i="2"/>
  <c r="M99" i="2" l="1"/>
  <c r="J194" i="2"/>
  <c r="F196" i="2"/>
  <c r="I196" i="2"/>
  <c r="H195" i="2"/>
  <c r="G197" i="2"/>
  <c r="J195" i="2" l="1"/>
  <c r="F197" i="2"/>
  <c r="I197" i="2"/>
  <c r="H196" i="2"/>
  <c r="G198" i="2"/>
  <c r="N99" i="2"/>
  <c r="L100" i="2"/>
  <c r="M100" i="2" l="1"/>
  <c r="J196" i="2"/>
  <c r="F198" i="2"/>
  <c r="I198" i="2"/>
  <c r="H197" i="2"/>
  <c r="G199" i="2"/>
  <c r="J197" i="2" l="1"/>
  <c r="F199" i="2"/>
  <c r="I199" i="2"/>
  <c r="H198" i="2"/>
  <c r="G200" i="2"/>
  <c r="L101" i="2"/>
  <c r="N100" i="2"/>
  <c r="M101" i="2" l="1"/>
  <c r="J198" i="2"/>
  <c r="F200" i="2"/>
  <c r="I200" i="2"/>
  <c r="H199" i="2"/>
  <c r="G201" i="2"/>
  <c r="J199" i="2" l="1"/>
  <c r="F201" i="2"/>
  <c r="I201" i="2"/>
  <c r="H200" i="2"/>
  <c r="G202" i="2"/>
  <c r="N101" i="2"/>
  <c r="L102" i="2"/>
  <c r="M102" i="2" l="1"/>
  <c r="J200" i="2"/>
  <c r="F202" i="2"/>
  <c r="I202" i="2"/>
  <c r="H201" i="2"/>
  <c r="G203" i="2"/>
  <c r="J201" i="2" l="1"/>
  <c r="F203" i="2"/>
  <c r="I203" i="2"/>
  <c r="H202" i="2"/>
  <c r="G204" i="2"/>
  <c r="L103" i="2"/>
  <c r="N102" i="2"/>
  <c r="M103" i="2" l="1"/>
  <c r="J202" i="2"/>
  <c r="F204" i="2"/>
  <c r="I204" i="2"/>
  <c r="H203" i="2"/>
  <c r="G205" i="2"/>
  <c r="J203" i="2" l="1"/>
  <c r="F205" i="2"/>
  <c r="I205" i="2"/>
  <c r="H204" i="2"/>
  <c r="G206" i="2"/>
  <c r="N103" i="2"/>
  <c r="L104" i="2"/>
  <c r="M104" i="2" l="1"/>
  <c r="J204" i="2"/>
  <c r="F206" i="2"/>
  <c r="I206" i="2"/>
  <c r="H205" i="2"/>
  <c r="G207" i="2"/>
  <c r="J205" i="2" l="1"/>
  <c r="F207" i="2"/>
  <c r="I207" i="2"/>
  <c r="H206" i="2"/>
  <c r="G208" i="2"/>
  <c r="L105" i="2"/>
  <c r="N104" i="2"/>
  <c r="M105" i="2" l="1"/>
  <c r="J206" i="2"/>
  <c r="F208" i="2"/>
  <c r="I208" i="2"/>
  <c r="H207" i="2"/>
  <c r="G209" i="2"/>
  <c r="J207" i="2" l="1"/>
  <c r="F209" i="2"/>
  <c r="I209" i="2"/>
  <c r="H208" i="2"/>
  <c r="G210" i="2"/>
  <c r="N105" i="2"/>
  <c r="L106" i="2"/>
  <c r="M106" i="2" l="1"/>
  <c r="J208" i="2"/>
  <c r="F210" i="2"/>
  <c r="I210" i="2"/>
  <c r="H209" i="2"/>
  <c r="G211" i="2"/>
  <c r="J209" i="2" l="1"/>
  <c r="F211" i="2"/>
  <c r="I211" i="2"/>
  <c r="H210" i="2"/>
  <c r="G212" i="2"/>
  <c r="L107" i="2"/>
  <c r="N106" i="2"/>
  <c r="M107" i="2" l="1"/>
  <c r="J210" i="2"/>
  <c r="F212" i="2"/>
  <c r="I212" i="2"/>
  <c r="H211" i="2"/>
  <c r="G213" i="2"/>
  <c r="J211" i="2" l="1"/>
  <c r="F213" i="2"/>
  <c r="I213" i="2"/>
  <c r="H212" i="2"/>
  <c r="G214" i="2"/>
  <c r="N107" i="2"/>
  <c r="L108" i="2"/>
  <c r="M108" i="2" l="1"/>
  <c r="J212" i="2"/>
  <c r="F214" i="2"/>
  <c r="I214" i="2"/>
  <c r="H213" i="2"/>
  <c r="G215" i="2"/>
  <c r="J213" i="2" l="1"/>
  <c r="F215" i="2"/>
  <c r="I215" i="2"/>
  <c r="H214" i="2"/>
  <c r="G216" i="2"/>
  <c r="L109" i="2"/>
  <c r="N108" i="2"/>
  <c r="M109" i="2" l="1"/>
  <c r="J214" i="2"/>
  <c r="F216" i="2"/>
  <c r="I216" i="2"/>
  <c r="H215" i="2"/>
  <c r="G217" i="2"/>
  <c r="J215" i="2" l="1"/>
  <c r="F217" i="2"/>
  <c r="I217" i="2"/>
  <c r="H216" i="2"/>
  <c r="G218" i="2"/>
  <c r="N109" i="2"/>
  <c r="L110" i="2"/>
  <c r="M110" i="2" l="1"/>
  <c r="J216" i="2"/>
  <c r="F218" i="2"/>
  <c r="I218" i="2"/>
  <c r="H217" i="2"/>
  <c r="G219" i="2"/>
  <c r="J217" i="2" l="1"/>
  <c r="F219" i="2"/>
  <c r="I219" i="2"/>
  <c r="H218" i="2"/>
  <c r="G220" i="2"/>
  <c r="L111" i="2"/>
  <c r="N110" i="2"/>
  <c r="M111" i="2" l="1"/>
  <c r="J218" i="2"/>
  <c r="F220" i="2"/>
  <c r="I220" i="2"/>
  <c r="H219" i="2"/>
  <c r="G221" i="2"/>
  <c r="J219" i="2" l="1"/>
  <c r="F221" i="2"/>
  <c r="I221" i="2"/>
  <c r="H220" i="2"/>
  <c r="G222" i="2"/>
  <c r="N111" i="2"/>
  <c r="L112" i="2"/>
  <c r="M112" i="2" l="1"/>
  <c r="J220" i="2"/>
  <c r="F222" i="2"/>
  <c r="I222" i="2"/>
  <c r="H221" i="2"/>
  <c r="G223" i="2"/>
  <c r="J221" i="2" l="1"/>
  <c r="F223" i="2"/>
  <c r="I223" i="2"/>
  <c r="H222" i="2"/>
  <c r="G224" i="2"/>
  <c r="L113" i="2"/>
  <c r="N112" i="2"/>
  <c r="M113" i="2" l="1"/>
  <c r="J222" i="2"/>
  <c r="F224" i="2"/>
  <c r="I224" i="2"/>
  <c r="H223" i="2"/>
  <c r="G225" i="2"/>
  <c r="J223" i="2" l="1"/>
  <c r="F225" i="2"/>
  <c r="I225" i="2"/>
  <c r="H224" i="2"/>
  <c r="G226" i="2"/>
  <c r="N113" i="2"/>
  <c r="L114" i="2"/>
  <c r="M114" i="2" l="1"/>
  <c r="J224" i="2"/>
  <c r="F226" i="2"/>
  <c r="I226" i="2"/>
  <c r="H225" i="2"/>
  <c r="G227" i="2"/>
  <c r="J225" i="2" l="1"/>
  <c r="F227" i="2"/>
  <c r="I227" i="2"/>
  <c r="H226" i="2"/>
  <c r="G228" i="2"/>
  <c r="L115" i="2"/>
  <c r="N114" i="2"/>
  <c r="M115" i="2" l="1"/>
  <c r="J226" i="2"/>
  <c r="F228" i="2"/>
  <c r="I228" i="2"/>
  <c r="H227" i="2"/>
  <c r="G229" i="2"/>
  <c r="J227" i="2" l="1"/>
  <c r="F229" i="2"/>
  <c r="I229" i="2"/>
  <c r="H228" i="2"/>
  <c r="G230" i="2"/>
  <c r="N115" i="2"/>
  <c r="L116" i="2"/>
  <c r="M116" i="2" l="1"/>
  <c r="J228" i="2"/>
  <c r="F230" i="2"/>
  <c r="I230" i="2"/>
  <c r="H229" i="2"/>
  <c r="G231" i="2"/>
  <c r="J229" i="2" l="1"/>
  <c r="F231" i="2"/>
  <c r="I231" i="2"/>
  <c r="H230" i="2"/>
  <c r="G232" i="2"/>
  <c r="L117" i="2"/>
  <c r="N116" i="2"/>
  <c r="M117" i="2" l="1"/>
  <c r="J230" i="2"/>
  <c r="F232" i="2"/>
  <c r="I232" i="2"/>
  <c r="H231" i="2"/>
  <c r="G233" i="2"/>
  <c r="J231" i="2" l="1"/>
  <c r="F233" i="2"/>
  <c r="I233" i="2"/>
  <c r="H232" i="2"/>
  <c r="G234" i="2"/>
  <c r="N117" i="2"/>
  <c r="L118" i="2"/>
  <c r="M118" i="2" l="1"/>
  <c r="J232" i="2"/>
  <c r="F234" i="2"/>
  <c r="I234" i="2"/>
  <c r="H233" i="2"/>
  <c r="G235" i="2"/>
  <c r="J233" i="2" l="1"/>
  <c r="F235" i="2"/>
  <c r="I235" i="2"/>
  <c r="H234" i="2"/>
  <c r="G236" i="2"/>
  <c r="L119" i="2"/>
  <c r="N118" i="2"/>
  <c r="M119" i="2" l="1"/>
  <c r="J234" i="2"/>
  <c r="F236" i="2"/>
  <c r="I236" i="2"/>
  <c r="H235" i="2"/>
  <c r="G237" i="2"/>
  <c r="J235" i="2" l="1"/>
  <c r="F237" i="2"/>
  <c r="I237" i="2"/>
  <c r="H236" i="2"/>
  <c r="G238" i="2"/>
  <c r="N119" i="2"/>
  <c r="L120" i="2"/>
  <c r="M120" i="2" l="1"/>
  <c r="J236" i="2"/>
  <c r="F238" i="2"/>
  <c r="I238" i="2"/>
  <c r="H237" i="2"/>
  <c r="G239" i="2"/>
  <c r="J237" i="2" l="1"/>
  <c r="F239" i="2"/>
  <c r="I239" i="2"/>
  <c r="H238" i="2"/>
  <c r="G240" i="2"/>
  <c r="L121" i="2"/>
  <c r="N120" i="2"/>
  <c r="M121" i="2" l="1"/>
  <c r="J238" i="2"/>
  <c r="F240" i="2"/>
  <c r="I240" i="2"/>
  <c r="H239" i="2"/>
  <c r="G241" i="2"/>
  <c r="J239" i="2" l="1"/>
  <c r="F241" i="2"/>
  <c r="I241" i="2"/>
  <c r="H240" i="2"/>
  <c r="G242" i="2"/>
  <c r="N121" i="2"/>
  <c r="L122" i="2"/>
  <c r="M122" i="2" l="1"/>
  <c r="J240" i="2"/>
  <c r="F242" i="2"/>
  <c r="I242" i="2"/>
  <c r="H241" i="2"/>
  <c r="J241" i="2" l="1"/>
  <c r="H242" i="2"/>
  <c r="L123" i="2"/>
  <c r="N122" i="2"/>
  <c r="M123" i="2" l="1"/>
  <c r="J242" i="2"/>
  <c r="N123" i="2"/>
  <c r="L124" i="2"/>
  <c r="M124" i="2" l="1"/>
  <c r="N124" i="2"/>
  <c r="L125" i="2"/>
  <c r="M125" i="2" l="1"/>
  <c r="N125" i="2"/>
  <c r="L126" i="2"/>
  <c r="M126" i="2" l="1"/>
  <c r="L127" i="2"/>
  <c r="N126" i="2"/>
  <c r="M127" i="2" l="1"/>
  <c r="N127" i="2"/>
  <c r="L128" i="2"/>
  <c r="M128" i="2" l="1"/>
  <c r="L129" i="2"/>
  <c r="N128" i="2"/>
  <c r="M129" i="2" l="1"/>
  <c r="N129" i="2"/>
  <c r="L130" i="2"/>
  <c r="M130" i="2" l="1"/>
  <c r="L131" i="2"/>
  <c r="N130" i="2"/>
  <c r="M131" i="2" l="1"/>
  <c r="N131" i="2"/>
  <c r="L132" i="2"/>
  <c r="M132" i="2" l="1"/>
  <c r="L133" i="2"/>
  <c r="N132" i="2"/>
  <c r="M133" i="2" l="1"/>
  <c r="N133" i="2"/>
  <c r="L134" i="2"/>
  <c r="M134" i="2" l="1"/>
  <c r="L135" i="2"/>
  <c r="N134" i="2"/>
  <c r="M135" i="2" l="1"/>
  <c r="N135" i="2"/>
  <c r="L136" i="2"/>
  <c r="M136" i="2" l="1"/>
  <c r="L137" i="2"/>
  <c r="N136" i="2"/>
  <c r="M137" i="2" l="1"/>
  <c r="N137" i="2"/>
  <c r="L138" i="2"/>
  <c r="M138" i="2" l="1"/>
  <c r="L139" i="2"/>
  <c r="N138" i="2"/>
  <c r="M139" i="2" l="1"/>
  <c r="N139" i="2"/>
  <c r="L140" i="2"/>
  <c r="M140" i="2" l="1"/>
  <c r="L141" i="2"/>
  <c r="N140" i="2"/>
  <c r="M141" i="2" l="1"/>
  <c r="N141" i="2"/>
  <c r="L142" i="2"/>
  <c r="M142" i="2" l="1"/>
  <c r="L143" i="2"/>
  <c r="N142" i="2"/>
  <c r="M143" i="2" l="1"/>
  <c r="N143" i="2"/>
  <c r="L144" i="2"/>
  <c r="M144" i="2" l="1"/>
  <c r="L145" i="2"/>
  <c r="N144" i="2"/>
  <c r="M145" i="2" l="1"/>
  <c r="N145" i="2"/>
  <c r="L146" i="2"/>
  <c r="M146" i="2" l="1"/>
  <c r="L147" i="2"/>
  <c r="N146" i="2"/>
  <c r="M147" i="2" l="1"/>
  <c r="N147" i="2"/>
  <c r="L148" i="2"/>
  <c r="M148" i="2" l="1"/>
  <c r="N148" i="2"/>
  <c r="L149" i="2"/>
  <c r="M149" i="2" l="1"/>
  <c r="N149" i="2"/>
  <c r="L150" i="2"/>
  <c r="M150" i="2" l="1"/>
  <c r="L151" i="2"/>
  <c r="N150" i="2"/>
  <c r="M151" i="2" l="1"/>
  <c r="N151" i="2"/>
  <c r="L152" i="2"/>
  <c r="M152" i="2" l="1"/>
  <c r="L153" i="2"/>
  <c r="N152" i="2"/>
  <c r="M153" i="2" l="1"/>
  <c r="N153" i="2"/>
  <c r="L154" i="2"/>
  <c r="M154" i="2" l="1"/>
  <c r="L155" i="2"/>
  <c r="N154" i="2"/>
  <c r="M155" i="2" l="1"/>
  <c r="N155" i="2"/>
  <c r="L156" i="2"/>
  <c r="M156" i="2" l="1"/>
  <c r="L157" i="2"/>
  <c r="N156" i="2"/>
  <c r="M157" i="2" l="1"/>
  <c r="N157" i="2"/>
  <c r="L158" i="2"/>
  <c r="M158" i="2" l="1"/>
  <c r="L159" i="2"/>
  <c r="N158" i="2"/>
  <c r="M159" i="2" l="1"/>
  <c r="N159" i="2"/>
  <c r="L160" i="2"/>
  <c r="M160" i="2" l="1"/>
  <c r="L161" i="2"/>
  <c r="N160" i="2"/>
  <c r="M161" i="2" l="1"/>
  <c r="N161" i="2"/>
  <c r="L162" i="2"/>
  <c r="M162" i="2" l="1"/>
  <c r="L163" i="2"/>
  <c r="N162" i="2"/>
  <c r="M163" i="2" l="1"/>
  <c r="N163" i="2"/>
  <c r="L164" i="2"/>
  <c r="M164" i="2" l="1"/>
  <c r="L165" i="2"/>
  <c r="N164" i="2"/>
  <c r="M165" i="2" l="1"/>
  <c r="N165" i="2"/>
  <c r="L166" i="2"/>
  <c r="M166" i="2" l="1"/>
  <c r="L167" i="2"/>
  <c r="N166" i="2"/>
  <c r="M167" i="2" l="1"/>
  <c r="N167" i="2"/>
  <c r="L168" i="2"/>
  <c r="M168" i="2" l="1"/>
  <c r="L169" i="2"/>
  <c r="N168" i="2"/>
  <c r="M169" i="2" l="1"/>
  <c r="N169" i="2"/>
  <c r="L170" i="2"/>
  <c r="M170" i="2" l="1"/>
  <c r="L171" i="2"/>
  <c r="N170" i="2"/>
  <c r="M171" i="2" l="1"/>
  <c r="N171" i="2"/>
  <c r="L172" i="2"/>
  <c r="M172" i="2" l="1"/>
  <c r="L173" i="2"/>
  <c r="N172" i="2"/>
  <c r="M173" i="2" l="1"/>
  <c r="N173" i="2"/>
  <c r="L174" i="2"/>
  <c r="M174" i="2" l="1"/>
  <c r="L175" i="2"/>
  <c r="N174" i="2"/>
  <c r="M175" i="2" l="1"/>
  <c r="N175" i="2"/>
  <c r="L176" i="2"/>
  <c r="M176" i="2" l="1"/>
  <c r="L177" i="2"/>
  <c r="N176" i="2"/>
  <c r="M177" i="2" l="1"/>
  <c r="N177" i="2"/>
  <c r="L178" i="2"/>
  <c r="M178" i="2" l="1"/>
  <c r="L179" i="2"/>
  <c r="N178" i="2"/>
  <c r="M179" i="2" l="1"/>
  <c r="N179" i="2"/>
  <c r="L180" i="2"/>
  <c r="M180" i="2" l="1"/>
  <c r="L181" i="2"/>
  <c r="N180" i="2"/>
  <c r="M181" i="2" l="1"/>
  <c r="N181" i="2"/>
  <c r="L182" i="2"/>
  <c r="M182" i="2" l="1"/>
  <c r="L183" i="2"/>
  <c r="N182" i="2"/>
  <c r="M183" i="2" l="1"/>
  <c r="N183" i="2"/>
  <c r="L184" i="2"/>
  <c r="M184" i="2" l="1"/>
  <c r="L185" i="2"/>
  <c r="N184" i="2"/>
  <c r="M185" i="2" l="1"/>
  <c r="N185" i="2"/>
  <c r="L186" i="2"/>
  <c r="M186" i="2" l="1"/>
  <c r="L187" i="2"/>
  <c r="N186" i="2"/>
  <c r="M187" i="2" l="1"/>
  <c r="N187" i="2"/>
  <c r="L188" i="2"/>
  <c r="M188" i="2" l="1"/>
  <c r="L189" i="2"/>
  <c r="N188" i="2"/>
  <c r="M189" i="2" l="1"/>
  <c r="N189" i="2"/>
  <c r="L190" i="2"/>
  <c r="M190" i="2" l="1"/>
  <c r="L191" i="2"/>
  <c r="N190" i="2"/>
  <c r="M191" i="2" l="1"/>
  <c r="N191" i="2"/>
  <c r="L192" i="2"/>
  <c r="M192" i="2" l="1"/>
  <c r="L193" i="2"/>
  <c r="N192" i="2"/>
  <c r="M193" i="2" l="1"/>
  <c r="N193" i="2"/>
  <c r="L194" i="2"/>
  <c r="M194" i="2" l="1"/>
  <c r="L195" i="2"/>
  <c r="N194" i="2"/>
  <c r="M195" i="2" l="1"/>
  <c r="N195" i="2"/>
  <c r="L196" i="2"/>
  <c r="M196" i="2" l="1"/>
  <c r="L197" i="2"/>
  <c r="N196" i="2"/>
  <c r="M197" i="2" l="1"/>
  <c r="N197" i="2"/>
  <c r="L198" i="2"/>
  <c r="M198" i="2" l="1"/>
  <c r="L199" i="2"/>
  <c r="N198" i="2"/>
  <c r="M199" i="2" l="1"/>
  <c r="N199" i="2"/>
  <c r="L200" i="2"/>
  <c r="M200" i="2" l="1"/>
  <c r="L201" i="2"/>
  <c r="N200" i="2"/>
  <c r="M201" i="2" l="1"/>
  <c r="N201" i="2"/>
  <c r="L202" i="2"/>
  <c r="M202" i="2" l="1"/>
  <c r="L203" i="2"/>
  <c r="N202" i="2"/>
  <c r="M203" i="2" l="1"/>
  <c r="L204" i="2"/>
  <c r="N203" i="2"/>
  <c r="M204" i="2" l="1"/>
  <c r="L205" i="2"/>
  <c r="N204" i="2"/>
  <c r="M205" i="2" l="1"/>
  <c r="N205" i="2"/>
  <c r="L206" i="2"/>
  <c r="M206" i="2" l="1"/>
  <c r="N206" i="2"/>
  <c r="L207" i="2"/>
  <c r="M207" i="2" l="1"/>
  <c r="N207" i="2"/>
  <c r="L208" i="2"/>
  <c r="M208" i="2" l="1"/>
  <c r="L209" i="2"/>
  <c r="N208" i="2"/>
  <c r="M209" i="2" l="1"/>
  <c r="N209" i="2"/>
  <c r="L210" i="2"/>
  <c r="M210" i="2" l="1"/>
  <c r="L211" i="2"/>
  <c r="N210" i="2"/>
  <c r="M211" i="2" l="1"/>
  <c r="N211" i="2"/>
  <c r="L212" i="2"/>
  <c r="M212" i="2" l="1"/>
  <c r="L213" i="2"/>
  <c r="N212" i="2"/>
  <c r="M213" i="2" l="1"/>
  <c r="N213" i="2"/>
  <c r="L214" i="2"/>
  <c r="M214" i="2" l="1"/>
  <c r="L215" i="2"/>
  <c r="N214" i="2"/>
  <c r="M215" i="2" l="1"/>
  <c r="N215" i="2"/>
  <c r="L216" i="2"/>
  <c r="M216" i="2" l="1"/>
  <c r="L217" i="2"/>
  <c r="N216" i="2"/>
  <c r="M217" i="2" l="1"/>
  <c r="N217" i="2"/>
  <c r="L218" i="2"/>
  <c r="M218" i="2" l="1"/>
  <c r="L219" i="2"/>
  <c r="N218" i="2"/>
  <c r="M219" i="2" l="1"/>
  <c r="N219" i="2"/>
  <c r="L220" i="2"/>
  <c r="M220" i="2" l="1"/>
  <c r="L221" i="2"/>
  <c r="N220" i="2"/>
  <c r="M221" i="2" l="1"/>
  <c r="N221" i="2"/>
  <c r="L222" i="2"/>
  <c r="M222" i="2" l="1"/>
  <c r="L223" i="2"/>
  <c r="N222" i="2"/>
  <c r="M223" i="2" l="1"/>
  <c r="N223" i="2"/>
  <c r="L224" i="2"/>
  <c r="M224" i="2" l="1"/>
  <c r="L225" i="2"/>
  <c r="N224" i="2"/>
  <c r="M225" i="2" l="1"/>
  <c r="N225" i="2"/>
  <c r="L226" i="2"/>
  <c r="M226" i="2" l="1"/>
  <c r="L227" i="2"/>
  <c r="N226" i="2"/>
  <c r="M227" i="2" l="1"/>
  <c r="N227" i="2"/>
  <c r="L228" i="2"/>
  <c r="M228" i="2" l="1"/>
  <c r="L229" i="2"/>
  <c r="N228" i="2"/>
  <c r="M229" i="2" l="1"/>
  <c r="N229" i="2"/>
  <c r="L230" i="2"/>
  <c r="M230" i="2" l="1"/>
  <c r="L231" i="2"/>
  <c r="N230" i="2"/>
  <c r="M231" i="2" l="1"/>
  <c r="N231" i="2"/>
  <c r="L232" i="2"/>
  <c r="M232" i="2" l="1"/>
  <c r="L233" i="2"/>
  <c r="N232" i="2"/>
  <c r="M233" i="2" l="1"/>
  <c r="N233" i="2"/>
  <c r="L234" i="2"/>
  <c r="M234" i="2" l="1"/>
  <c r="L235" i="2"/>
  <c r="N234" i="2"/>
  <c r="M235" i="2" l="1"/>
  <c r="N235" i="2"/>
  <c r="L236" i="2"/>
  <c r="M236" i="2" l="1"/>
  <c r="L237" i="2"/>
  <c r="N236" i="2"/>
  <c r="M237" i="2" l="1"/>
  <c r="N237" i="2"/>
  <c r="L238" i="2"/>
  <c r="M238" i="2" l="1"/>
  <c r="L239" i="2"/>
  <c r="N238" i="2"/>
  <c r="M239" i="2" l="1"/>
  <c r="N239" i="2"/>
  <c r="L240" i="2"/>
  <c r="M240" i="2" l="1"/>
  <c r="L241" i="2"/>
  <c r="N240" i="2"/>
  <c r="M241" i="2" l="1"/>
  <c r="N241" i="2"/>
  <c r="L242" i="2"/>
  <c r="L1" i="2" l="1"/>
  <c r="M242" i="2"/>
  <c r="N242" i="2"/>
</calcChain>
</file>

<file path=xl/sharedStrings.xml><?xml version="1.0" encoding="utf-8"?>
<sst xmlns="http://schemas.openxmlformats.org/spreadsheetml/2006/main" count="3795" uniqueCount="42">
  <si>
    <t>U2A</t>
  </si>
  <si>
    <t>SK14</t>
  </si>
  <si>
    <t>RGI</t>
  </si>
  <si>
    <t>BUI</t>
  </si>
  <si>
    <t>AUI</t>
  </si>
  <si>
    <t>AI</t>
  </si>
  <si>
    <t>AC</t>
  </si>
  <si>
    <t>AA</t>
  </si>
  <si>
    <t>A3</t>
  </si>
  <si>
    <t>S4</t>
  </si>
  <si>
    <t>AGH</t>
  </si>
  <si>
    <t>AEI</t>
  </si>
  <si>
    <t>AB</t>
  </si>
  <si>
    <t>IUI</t>
  </si>
  <si>
    <t>C1M</t>
  </si>
  <si>
    <t>A4</t>
  </si>
  <si>
    <t>Q_OUTSTANDING</t>
  </si>
  <si>
    <t>A_OUTSTANDING</t>
  </si>
  <si>
    <t>A_SHARE_RED</t>
  </si>
  <si>
    <t>A_SHARE_SUB</t>
  </si>
  <si>
    <t>Q_SHARE_RED</t>
  </si>
  <si>
    <t>Q_SHARE_SUB</t>
  </si>
  <si>
    <t>P_SHARE</t>
  </si>
  <si>
    <t>C_SHARE</t>
  </si>
  <si>
    <t>D_H_PROCESSED</t>
  </si>
  <si>
    <t>D_NAV</t>
  </si>
  <si>
    <t>C_FUND</t>
  </si>
  <si>
    <t>Grand Total</t>
  </si>
  <si>
    <t>Sum of A_OUTSTANDING</t>
  </si>
  <si>
    <t>Sum of A_SHARE_RED</t>
  </si>
  <si>
    <t>Sum of A_SHARE_SUB</t>
  </si>
  <si>
    <t>Data</t>
  </si>
  <si>
    <t>Date</t>
  </si>
  <si>
    <t>AbsValueNCCF</t>
  </si>
  <si>
    <t>NCCF%</t>
  </si>
  <si>
    <t>AbsNCCF%</t>
  </si>
  <si>
    <t>ValueNCCF</t>
  </si>
  <si>
    <t>RollingNCCF</t>
  </si>
  <si>
    <t>RollingValue</t>
  </si>
  <si>
    <t>RollingValueAdj</t>
  </si>
  <si>
    <t>AdjNCCF%</t>
  </si>
  <si>
    <t>Adjustment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</si>
</sst>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_(* #,##0.00_);_(* \(#,##0.00\);_(* &quot;-&quot;??_);_(@_)"/>
    <numFmt numFmtId="165" formatCode="_(* #,##0_);_(* \(#,##0\);_(* &quot;-&quot;??_);_(@_)"/>
    <numFmt numFmtId="166" formatCode="_-* #,##0.0000_-;\-* #,##0.0000_-;_-* &quot;-&quot;??_-;_-@_-"/>
  </numFmts>
  <fonts count="4">
    <font>
      <sz val="10"/>
      <name val="Arial"/>
      <family val="2"/>
    </font>
    <font>
      <sz val="10"/>
      <name val="Arial"/>
      <family val="2"/>
    </font>
    <font>
      <sz val="10"/>
      <name val="Dialog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2" fillId="0" borderId="0" xfId="0" applyFont="1" applyAlignment="1">
      <alignment horizontal="right"/>
    </xf>
    <xf numFmtId="165" fontId="2" fillId="0" borderId="0" xfId="1" applyNumberFormat="1" applyFont="1" applyAlignment="1">
      <alignment horizontal="right"/>
    </xf>
    <xf numFmtId="15" fontId="0" fillId="0" borderId="0" xfId="0" applyNumberFormat="1"/>
    <xf numFmtId="166" fontId="0" fillId="0" borderId="0" xfId="0" applyNumberFormat="1"/>
    <xf numFmtId="43" fontId="0" fillId="0" borderId="0" xfId="0" applyNumberFormat="1"/>
    <xf numFmtId="165" fontId="0" fillId="0" borderId="0" xfId="1" applyNumberFormat="1" applyFont="1"/>
    <xf numFmtId="0" fontId="0" fillId="0" borderId="1" xfId="0" applyNumberFormat="1" applyBorder="1"/>
    <xf numFmtId="0" fontId="0" fillId="0" borderId="2" xfId="0" applyNumberFormat="1" applyBorder="1"/>
    <xf numFmtId="0" fontId="0" fillId="0" borderId="3" xfId="0" applyNumberFormat="1" applyBorder="1"/>
    <xf numFmtId="15" fontId="0" fillId="0" borderId="3" xfId="0" applyNumberFormat="1" applyBorder="1"/>
    <xf numFmtId="10" fontId="0" fillId="0" borderId="0" xfId="0" applyNumberFormat="1"/>
    <xf numFmtId="10" fontId="0" fillId="0" borderId="0" xfId="2" applyNumberFormat="1" applyFont="1"/>
    <xf numFmtId="0" fontId="0" fillId="0" borderId="0" xfId="0" applyNumberFormat="1"/>
    <xf numFmtId="0" fontId="0" fillId="0" borderId="5" xfId="0" applyNumberFormat="1" applyBorder="1"/>
    <xf numFmtId="15" fontId="0" fillId="0" borderId="5" xfId="0" applyNumberFormat="1" applyBorder="1"/>
    <xf numFmtId="0" fontId="0" fillId="0" borderId="7" xfId="0" applyNumberFormat="1" applyBorder="1"/>
    <xf numFmtId="0" fontId="0" fillId="0" borderId="8" xfId="0" applyNumberFormat="1" applyBorder="1"/>
    <xf numFmtId="15" fontId="0" fillId="0" borderId="8" xfId="0" applyNumberFormat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8" xfId="0" pivotButton="1" applyBorder="1"/>
    <xf numFmtId="0" fontId="0" fillId="0" borderId="9" xfId="0" applyBorder="1"/>
    <xf numFmtId="0" fontId="0" fillId="0" borderId="10" xfId="0" applyBorder="1"/>
    <xf numFmtId="3" fontId="0" fillId="0" borderId="0" xfId="0" applyNumberFormat="1"/>
    <xf numFmtId="3" fontId="0" fillId="0" borderId="6" xfId="0" applyNumberFormat="1" applyBorder="1"/>
    <xf numFmtId="3" fontId="0" fillId="0" borderId="4" xfId="0" applyNumberFormat="1" applyBorder="1"/>
    <xf numFmtId="3" fontId="3" fillId="0" borderId="0" xfId="0" applyNumberFormat="1" applyFont="1"/>
    <xf numFmtId="9" fontId="0" fillId="2" borderId="0" xfId="0" applyNumberFormat="1" applyFill="1"/>
    <xf numFmtId="3" fontId="0" fillId="2" borderId="0" xfId="0" applyNumberFormat="1" applyFill="1"/>
    <xf numFmtId="0" fontId="0" fillId="0" borderId="0" xfId="0" applyFill="1" applyBorder="1" applyAlignment="1">
      <alignment horizontal="right"/>
    </xf>
    <xf numFmtId="3" fontId="0" fillId="0" borderId="0" xfId="0" applyNumberFormat="1" applyAlignment="1">
      <alignment horizontal="right"/>
    </xf>
  </cellXfs>
  <cellStyles count="3">
    <cellStyle name="Comma" xfId="1" builtinId="3"/>
    <cellStyle name="Normal" xfId="0" builtinId="0"/>
    <cellStyle name="Percent" xfId="2" builtinId="5"/>
  </cellStyles>
  <dxfs count="2">
    <dxf>
      <numFmt numFmtId="3" formatCode="#,##0"/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Sheet2!$J$2</c:f>
              <c:strCache>
                <c:ptCount val="1"/>
                <c:pt idx="0">
                  <c:v>RollingNCCF</c:v>
                </c:pt>
              </c:strCache>
            </c:strRef>
          </c:tx>
          <c:marker>
            <c:symbol val="none"/>
          </c:marker>
          <c:xVal>
            <c:numRef>
              <c:f>Sheet2!$E$3:$E$242</c:f>
              <c:numCache>
                <c:formatCode>d\-mmm\-yy</c:formatCode>
                <c:ptCount val="240"/>
                <c:pt idx="0">
                  <c:v>41549</c:v>
                </c:pt>
                <c:pt idx="1">
                  <c:v>41550</c:v>
                </c:pt>
                <c:pt idx="2">
                  <c:v>41551</c:v>
                </c:pt>
                <c:pt idx="3">
                  <c:v>41554</c:v>
                </c:pt>
                <c:pt idx="4">
                  <c:v>41555</c:v>
                </c:pt>
                <c:pt idx="5">
                  <c:v>41556</c:v>
                </c:pt>
                <c:pt idx="6">
                  <c:v>41557</c:v>
                </c:pt>
                <c:pt idx="7">
                  <c:v>41558</c:v>
                </c:pt>
                <c:pt idx="8">
                  <c:v>41561</c:v>
                </c:pt>
                <c:pt idx="9">
                  <c:v>41562</c:v>
                </c:pt>
                <c:pt idx="10">
                  <c:v>41563</c:v>
                </c:pt>
                <c:pt idx="11">
                  <c:v>41564</c:v>
                </c:pt>
                <c:pt idx="12">
                  <c:v>41565</c:v>
                </c:pt>
                <c:pt idx="13">
                  <c:v>41568</c:v>
                </c:pt>
                <c:pt idx="14">
                  <c:v>41569</c:v>
                </c:pt>
                <c:pt idx="15">
                  <c:v>41570</c:v>
                </c:pt>
                <c:pt idx="16">
                  <c:v>41571</c:v>
                </c:pt>
                <c:pt idx="17">
                  <c:v>41572</c:v>
                </c:pt>
                <c:pt idx="18">
                  <c:v>41576</c:v>
                </c:pt>
                <c:pt idx="19">
                  <c:v>41577</c:v>
                </c:pt>
                <c:pt idx="20">
                  <c:v>41578</c:v>
                </c:pt>
                <c:pt idx="21">
                  <c:v>41579</c:v>
                </c:pt>
                <c:pt idx="22">
                  <c:v>41582</c:v>
                </c:pt>
                <c:pt idx="23">
                  <c:v>41583</c:v>
                </c:pt>
                <c:pt idx="24">
                  <c:v>41584</c:v>
                </c:pt>
                <c:pt idx="25">
                  <c:v>41585</c:v>
                </c:pt>
                <c:pt idx="26">
                  <c:v>41586</c:v>
                </c:pt>
                <c:pt idx="27">
                  <c:v>41589</c:v>
                </c:pt>
                <c:pt idx="28">
                  <c:v>41596</c:v>
                </c:pt>
                <c:pt idx="29">
                  <c:v>41597</c:v>
                </c:pt>
                <c:pt idx="30">
                  <c:v>41598</c:v>
                </c:pt>
                <c:pt idx="31">
                  <c:v>41599</c:v>
                </c:pt>
                <c:pt idx="32">
                  <c:v>41600</c:v>
                </c:pt>
                <c:pt idx="33">
                  <c:v>41603</c:v>
                </c:pt>
                <c:pt idx="34">
                  <c:v>41604</c:v>
                </c:pt>
                <c:pt idx="35">
                  <c:v>41605</c:v>
                </c:pt>
                <c:pt idx="36">
                  <c:v>41607</c:v>
                </c:pt>
                <c:pt idx="37">
                  <c:v>41610</c:v>
                </c:pt>
                <c:pt idx="38">
                  <c:v>41611</c:v>
                </c:pt>
                <c:pt idx="39">
                  <c:v>41612</c:v>
                </c:pt>
                <c:pt idx="40">
                  <c:v>41613</c:v>
                </c:pt>
                <c:pt idx="41">
                  <c:v>41614</c:v>
                </c:pt>
                <c:pt idx="42">
                  <c:v>41617</c:v>
                </c:pt>
                <c:pt idx="43">
                  <c:v>41618</c:v>
                </c:pt>
                <c:pt idx="44">
                  <c:v>41619</c:v>
                </c:pt>
                <c:pt idx="45">
                  <c:v>41620</c:v>
                </c:pt>
                <c:pt idx="46">
                  <c:v>41621</c:v>
                </c:pt>
                <c:pt idx="47">
                  <c:v>41624</c:v>
                </c:pt>
                <c:pt idx="48">
                  <c:v>41625</c:v>
                </c:pt>
                <c:pt idx="49">
                  <c:v>41626</c:v>
                </c:pt>
                <c:pt idx="50">
                  <c:v>41627</c:v>
                </c:pt>
                <c:pt idx="51">
                  <c:v>41628</c:v>
                </c:pt>
                <c:pt idx="52">
                  <c:v>41631</c:v>
                </c:pt>
                <c:pt idx="53">
                  <c:v>41632</c:v>
                </c:pt>
                <c:pt idx="54">
                  <c:v>41638</c:v>
                </c:pt>
                <c:pt idx="55">
                  <c:v>41639</c:v>
                </c:pt>
                <c:pt idx="56">
                  <c:v>41641</c:v>
                </c:pt>
                <c:pt idx="57">
                  <c:v>41642</c:v>
                </c:pt>
                <c:pt idx="58">
                  <c:v>41645</c:v>
                </c:pt>
                <c:pt idx="59">
                  <c:v>41646</c:v>
                </c:pt>
                <c:pt idx="60">
                  <c:v>41647</c:v>
                </c:pt>
                <c:pt idx="61">
                  <c:v>41648</c:v>
                </c:pt>
                <c:pt idx="62">
                  <c:v>41649</c:v>
                </c:pt>
                <c:pt idx="63">
                  <c:v>41652</c:v>
                </c:pt>
                <c:pt idx="64">
                  <c:v>41653</c:v>
                </c:pt>
                <c:pt idx="65">
                  <c:v>41654</c:v>
                </c:pt>
                <c:pt idx="66">
                  <c:v>41655</c:v>
                </c:pt>
                <c:pt idx="67">
                  <c:v>41656</c:v>
                </c:pt>
                <c:pt idx="68">
                  <c:v>41660</c:v>
                </c:pt>
                <c:pt idx="69">
                  <c:v>41661</c:v>
                </c:pt>
                <c:pt idx="70">
                  <c:v>41662</c:v>
                </c:pt>
                <c:pt idx="71">
                  <c:v>41663</c:v>
                </c:pt>
                <c:pt idx="72">
                  <c:v>41666</c:v>
                </c:pt>
                <c:pt idx="73">
                  <c:v>41667</c:v>
                </c:pt>
                <c:pt idx="74">
                  <c:v>41668</c:v>
                </c:pt>
                <c:pt idx="75">
                  <c:v>41669</c:v>
                </c:pt>
                <c:pt idx="76">
                  <c:v>41670</c:v>
                </c:pt>
                <c:pt idx="77">
                  <c:v>41673</c:v>
                </c:pt>
                <c:pt idx="78">
                  <c:v>41674</c:v>
                </c:pt>
                <c:pt idx="79">
                  <c:v>41675</c:v>
                </c:pt>
                <c:pt idx="80">
                  <c:v>41676</c:v>
                </c:pt>
                <c:pt idx="81">
                  <c:v>41677</c:v>
                </c:pt>
                <c:pt idx="82">
                  <c:v>41680</c:v>
                </c:pt>
                <c:pt idx="83">
                  <c:v>41681</c:v>
                </c:pt>
                <c:pt idx="84">
                  <c:v>41682</c:v>
                </c:pt>
                <c:pt idx="85">
                  <c:v>41683</c:v>
                </c:pt>
                <c:pt idx="86">
                  <c:v>41684</c:v>
                </c:pt>
                <c:pt idx="87">
                  <c:v>41688</c:v>
                </c:pt>
                <c:pt idx="88">
                  <c:v>41689</c:v>
                </c:pt>
                <c:pt idx="89">
                  <c:v>41690</c:v>
                </c:pt>
                <c:pt idx="90">
                  <c:v>41691</c:v>
                </c:pt>
                <c:pt idx="91">
                  <c:v>41694</c:v>
                </c:pt>
                <c:pt idx="92">
                  <c:v>41695</c:v>
                </c:pt>
                <c:pt idx="93">
                  <c:v>41696</c:v>
                </c:pt>
                <c:pt idx="94">
                  <c:v>41697</c:v>
                </c:pt>
                <c:pt idx="95">
                  <c:v>41698</c:v>
                </c:pt>
                <c:pt idx="96">
                  <c:v>41701</c:v>
                </c:pt>
                <c:pt idx="97">
                  <c:v>41702</c:v>
                </c:pt>
                <c:pt idx="98">
                  <c:v>41703</c:v>
                </c:pt>
                <c:pt idx="99">
                  <c:v>41704</c:v>
                </c:pt>
                <c:pt idx="100">
                  <c:v>41705</c:v>
                </c:pt>
                <c:pt idx="101">
                  <c:v>41708</c:v>
                </c:pt>
                <c:pt idx="102">
                  <c:v>41709</c:v>
                </c:pt>
                <c:pt idx="103">
                  <c:v>41710</c:v>
                </c:pt>
                <c:pt idx="104">
                  <c:v>41711</c:v>
                </c:pt>
                <c:pt idx="105">
                  <c:v>41712</c:v>
                </c:pt>
                <c:pt idx="106">
                  <c:v>41716</c:v>
                </c:pt>
                <c:pt idx="107">
                  <c:v>41717</c:v>
                </c:pt>
                <c:pt idx="108">
                  <c:v>41718</c:v>
                </c:pt>
                <c:pt idx="109">
                  <c:v>41719</c:v>
                </c:pt>
                <c:pt idx="110">
                  <c:v>41722</c:v>
                </c:pt>
                <c:pt idx="111">
                  <c:v>41723</c:v>
                </c:pt>
                <c:pt idx="112">
                  <c:v>41724</c:v>
                </c:pt>
                <c:pt idx="113">
                  <c:v>41725</c:v>
                </c:pt>
                <c:pt idx="114">
                  <c:v>41726</c:v>
                </c:pt>
                <c:pt idx="115">
                  <c:v>41729</c:v>
                </c:pt>
                <c:pt idx="116">
                  <c:v>41730</c:v>
                </c:pt>
                <c:pt idx="117">
                  <c:v>41731</c:v>
                </c:pt>
                <c:pt idx="118">
                  <c:v>41732</c:v>
                </c:pt>
                <c:pt idx="119">
                  <c:v>41733</c:v>
                </c:pt>
                <c:pt idx="120">
                  <c:v>41736</c:v>
                </c:pt>
                <c:pt idx="121">
                  <c:v>41737</c:v>
                </c:pt>
                <c:pt idx="122">
                  <c:v>41738</c:v>
                </c:pt>
                <c:pt idx="123">
                  <c:v>41739</c:v>
                </c:pt>
                <c:pt idx="124">
                  <c:v>41740</c:v>
                </c:pt>
                <c:pt idx="125">
                  <c:v>41743</c:v>
                </c:pt>
                <c:pt idx="126">
                  <c:v>41744</c:v>
                </c:pt>
                <c:pt idx="127">
                  <c:v>41745</c:v>
                </c:pt>
                <c:pt idx="128">
                  <c:v>41746</c:v>
                </c:pt>
                <c:pt idx="129">
                  <c:v>41751</c:v>
                </c:pt>
                <c:pt idx="130">
                  <c:v>41752</c:v>
                </c:pt>
                <c:pt idx="131">
                  <c:v>41753</c:v>
                </c:pt>
                <c:pt idx="132">
                  <c:v>41754</c:v>
                </c:pt>
                <c:pt idx="133">
                  <c:v>41757</c:v>
                </c:pt>
                <c:pt idx="134">
                  <c:v>41758</c:v>
                </c:pt>
                <c:pt idx="135">
                  <c:v>41759</c:v>
                </c:pt>
                <c:pt idx="136">
                  <c:v>41760</c:v>
                </c:pt>
                <c:pt idx="137">
                  <c:v>41761</c:v>
                </c:pt>
                <c:pt idx="138">
                  <c:v>41765</c:v>
                </c:pt>
                <c:pt idx="139">
                  <c:v>41766</c:v>
                </c:pt>
                <c:pt idx="140">
                  <c:v>41767</c:v>
                </c:pt>
                <c:pt idx="141">
                  <c:v>41768</c:v>
                </c:pt>
                <c:pt idx="142">
                  <c:v>41771</c:v>
                </c:pt>
                <c:pt idx="143">
                  <c:v>41772</c:v>
                </c:pt>
                <c:pt idx="144">
                  <c:v>41773</c:v>
                </c:pt>
                <c:pt idx="145">
                  <c:v>41774</c:v>
                </c:pt>
                <c:pt idx="146">
                  <c:v>41775</c:v>
                </c:pt>
                <c:pt idx="147">
                  <c:v>41778</c:v>
                </c:pt>
                <c:pt idx="148">
                  <c:v>41779</c:v>
                </c:pt>
                <c:pt idx="149">
                  <c:v>41780</c:v>
                </c:pt>
                <c:pt idx="150">
                  <c:v>41781</c:v>
                </c:pt>
                <c:pt idx="151">
                  <c:v>41782</c:v>
                </c:pt>
                <c:pt idx="152">
                  <c:v>41786</c:v>
                </c:pt>
                <c:pt idx="153">
                  <c:v>41787</c:v>
                </c:pt>
                <c:pt idx="154">
                  <c:v>41788</c:v>
                </c:pt>
                <c:pt idx="155">
                  <c:v>41789</c:v>
                </c:pt>
                <c:pt idx="156">
                  <c:v>41793</c:v>
                </c:pt>
                <c:pt idx="157">
                  <c:v>41794</c:v>
                </c:pt>
                <c:pt idx="158">
                  <c:v>41795</c:v>
                </c:pt>
                <c:pt idx="159">
                  <c:v>41796</c:v>
                </c:pt>
                <c:pt idx="160">
                  <c:v>41799</c:v>
                </c:pt>
                <c:pt idx="161">
                  <c:v>41800</c:v>
                </c:pt>
                <c:pt idx="162">
                  <c:v>41801</c:v>
                </c:pt>
                <c:pt idx="163">
                  <c:v>41802</c:v>
                </c:pt>
                <c:pt idx="164">
                  <c:v>41803</c:v>
                </c:pt>
                <c:pt idx="165">
                  <c:v>41806</c:v>
                </c:pt>
                <c:pt idx="166">
                  <c:v>41807</c:v>
                </c:pt>
                <c:pt idx="167">
                  <c:v>41808</c:v>
                </c:pt>
                <c:pt idx="168">
                  <c:v>41809</c:v>
                </c:pt>
                <c:pt idx="169">
                  <c:v>41810</c:v>
                </c:pt>
                <c:pt idx="170">
                  <c:v>41813</c:v>
                </c:pt>
                <c:pt idx="171">
                  <c:v>41814</c:v>
                </c:pt>
                <c:pt idx="172">
                  <c:v>41815</c:v>
                </c:pt>
                <c:pt idx="173">
                  <c:v>41816</c:v>
                </c:pt>
                <c:pt idx="174">
                  <c:v>41817</c:v>
                </c:pt>
                <c:pt idx="175">
                  <c:v>41820</c:v>
                </c:pt>
                <c:pt idx="176">
                  <c:v>41821</c:v>
                </c:pt>
                <c:pt idx="177">
                  <c:v>41822</c:v>
                </c:pt>
                <c:pt idx="178">
                  <c:v>41823</c:v>
                </c:pt>
                <c:pt idx="179">
                  <c:v>41827</c:v>
                </c:pt>
                <c:pt idx="180">
                  <c:v>41828</c:v>
                </c:pt>
                <c:pt idx="181">
                  <c:v>41829</c:v>
                </c:pt>
                <c:pt idx="182">
                  <c:v>41830</c:v>
                </c:pt>
                <c:pt idx="183">
                  <c:v>41831</c:v>
                </c:pt>
                <c:pt idx="184">
                  <c:v>41834</c:v>
                </c:pt>
                <c:pt idx="185">
                  <c:v>41835</c:v>
                </c:pt>
                <c:pt idx="186">
                  <c:v>41836</c:v>
                </c:pt>
                <c:pt idx="187">
                  <c:v>41837</c:v>
                </c:pt>
                <c:pt idx="188">
                  <c:v>41838</c:v>
                </c:pt>
                <c:pt idx="189">
                  <c:v>41841</c:v>
                </c:pt>
                <c:pt idx="190">
                  <c:v>41842</c:v>
                </c:pt>
                <c:pt idx="191">
                  <c:v>41843</c:v>
                </c:pt>
                <c:pt idx="192">
                  <c:v>41844</c:v>
                </c:pt>
                <c:pt idx="193">
                  <c:v>41845</c:v>
                </c:pt>
                <c:pt idx="194">
                  <c:v>41848</c:v>
                </c:pt>
                <c:pt idx="195">
                  <c:v>41849</c:v>
                </c:pt>
                <c:pt idx="196">
                  <c:v>41850</c:v>
                </c:pt>
                <c:pt idx="197">
                  <c:v>41851</c:v>
                </c:pt>
                <c:pt idx="198">
                  <c:v>41852</c:v>
                </c:pt>
                <c:pt idx="199">
                  <c:v>41856</c:v>
                </c:pt>
                <c:pt idx="200">
                  <c:v>41857</c:v>
                </c:pt>
                <c:pt idx="201">
                  <c:v>41858</c:v>
                </c:pt>
                <c:pt idx="202">
                  <c:v>41859</c:v>
                </c:pt>
                <c:pt idx="203">
                  <c:v>41862</c:v>
                </c:pt>
                <c:pt idx="204">
                  <c:v>41863</c:v>
                </c:pt>
                <c:pt idx="205">
                  <c:v>41864</c:v>
                </c:pt>
                <c:pt idx="206">
                  <c:v>41865</c:v>
                </c:pt>
                <c:pt idx="207">
                  <c:v>41866</c:v>
                </c:pt>
                <c:pt idx="208">
                  <c:v>41869</c:v>
                </c:pt>
                <c:pt idx="209">
                  <c:v>41870</c:v>
                </c:pt>
                <c:pt idx="210">
                  <c:v>41871</c:v>
                </c:pt>
                <c:pt idx="211">
                  <c:v>41872</c:v>
                </c:pt>
                <c:pt idx="212">
                  <c:v>41873</c:v>
                </c:pt>
                <c:pt idx="213">
                  <c:v>41876</c:v>
                </c:pt>
                <c:pt idx="214">
                  <c:v>41877</c:v>
                </c:pt>
                <c:pt idx="215">
                  <c:v>41878</c:v>
                </c:pt>
                <c:pt idx="216">
                  <c:v>41879</c:v>
                </c:pt>
                <c:pt idx="217">
                  <c:v>41880</c:v>
                </c:pt>
                <c:pt idx="218">
                  <c:v>41884</c:v>
                </c:pt>
                <c:pt idx="219">
                  <c:v>41885</c:v>
                </c:pt>
                <c:pt idx="220">
                  <c:v>41886</c:v>
                </c:pt>
                <c:pt idx="221">
                  <c:v>41887</c:v>
                </c:pt>
                <c:pt idx="222">
                  <c:v>41890</c:v>
                </c:pt>
                <c:pt idx="223">
                  <c:v>41891</c:v>
                </c:pt>
                <c:pt idx="224">
                  <c:v>41892</c:v>
                </c:pt>
                <c:pt idx="225">
                  <c:v>41893</c:v>
                </c:pt>
                <c:pt idx="226">
                  <c:v>41894</c:v>
                </c:pt>
                <c:pt idx="227">
                  <c:v>41897</c:v>
                </c:pt>
                <c:pt idx="228">
                  <c:v>41898</c:v>
                </c:pt>
                <c:pt idx="229">
                  <c:v>41899</c:v>
                </c:pt>
                <c:pt idx="230">
                  <c:v>41900</c:v>
                </c:pt>
                <c:pt idx="231">
                  <c:v>41901</c:v>
                </c:pt>
                <c:pt idx="232">
                  <c:v>41904</c:v>
                </c:pt>
                <c:pt idx="233">
                  <c:v>41905</c:v>
                </c:pt>
                <c:pt idx="234">
                  <c:v>41906</c:v>
                </c:pt>
                <c:pt idx="235">
                  <c:v>41907</c:v>
                </c:pt>
                <c:pt idx="236">
                  <c:v>41908</c:v>
                </c:pt>
                <c:pt idx="237">
                  <c:v>41911</c:v>
                </c:pt>
                <c:pt idx="238">
                  <c:v>41912</c:v>
                </c:pt>
                <c:pt idx="239">
                  <c:v>41913</c:v>
                </c:pt>
              </c:numCache>
            </c:numRef>
          </c:xVal>
          <c:yVal>
            <c:numRef>
              <c:f>Sheet2!$J$3:$J$242</c:f>
              <c:numCache>
                <c:formatCode>0.00%</c:formatCode>
                <c:ptCount val="240"/>
                <c:pt idx="0">
                  <c:v>3.3369969048202769E-3</c:v>
                </c:pt>
                <c:pt idx="1">
                  <c:v>-3.8096488947783154E-3</c:v>
                </c:pt>
                <c:pt idx="2">
                  <c:v>-1.9162050522116059E-2</c:v>
                </c:pt>
                <c:pt idx="3">
                  <c:v>-1.7399558001488794E-2</c:v>
                </c:pt>
                <c:pt idx="4">
                  <c:v>-3.7684974160205602E-2</c:v>
                </c:pt>
                <c:pt idx="5">
                  <c:v>-3.5167775400553936E-2</c:v>
                </c:pt>
                <c:pt idx="6">
                  <c:v>-3.1425790115644968E-2</c:v>
                </c:pt>
                <c:pt idx="7">
                  <c:v>-3.6382761641094025E-4</c:v>
                </c:pt>
                <c:pt idx="8">
                  <c:v>9.358044475736944E-3</c:v>
                </c:pt>
                <c:pt idx="9">
                  <c:v>-3.5715220935897338E-3</c:v>
                </c:pt>
                <c:pt idx="10">
                  <c:v>5.036769028452277E-3</c:v>
                </c:pt>
                <c:pt idx="11">
                  <c:v>6.9531181945127182E-2</c:v>
                </c:pt>
                <c:pt idx="12">
                  <c:v>7.0640908294291191E-2</c:v>
                </c:pt>
                <c:pt idx="13">
                  <c:v>7.5859130706452352E-2</c:v>
                </c:pt>
                <c:pt idx="14">
                  <c:v>8.6752860957183014E-2</c:v>
                </c:pt>
                <c:pt idx="15">
                  <c:v>8.8741677083948617E-2</c:v>
                </c:pt>
                <c:pt idx="16">
                  <c:v>-4.2427646509246658E-2</c:v>
                </c:pt>
                <c:pt idx="17">
                  <c:v>-2.2388376106459888E-2</c:v>
                </c:pt>
                <c:pt idx="18">
                  <c:v>-9.2333904806573292E-3</c:v>
                </c:pt>
                <c:pt idx="19">
                  <c:v>1.825516665421769E-2</c:v>
                </c:pt>
                <c:pt idx="20">
                  <c:v>1.5064496080432154E-2</c:v>
                </c:pt>
                <c:pt idx="21">
                  <c:v>1.1250836082349041E-3</c:v>
                </c:pt>
                <c:pt idx="22">
                  <c:v>5.2824711217035261E-3</c:v>
                </c:pt>
                <c:pt idx="23">
                  <c:v>1.3551867866955758E-2</c:v>
                </c:pt>
                <c:pt idx="24">
                  <c:v>8.9617561472449606E-3</c:v>
                </c:pt>
                <c:pt idx="25">
                  <c:v>5.5897801347465241E-2</c:v>
                </c:pt>
                <c:pt idx="26">
                  <c:v>3.5913312768159379E-2</c:v>
                </c:pt>
                <c:pt idx="27">
                  <c:v>-2.4555712203818532E-2</c:v>
                </c:pt>
                <c:pt idx="28">
                  <c:v>0.21477187691513142</c:v>
                </c:pt>
                <c:pt idx="29">
                  <c:v>0.21197141258912947</c:v>
                </c:pt>
                <c:pt idx="30">
                  <c:v>0.21322883142115187</c:v>
                </c:pt>
                <c:pt idx="31">
                  <c:v>0.21603342064858153</c:v>
                </c:pt>
                <c:pt idx="32">
                  <c:v>0.21362086119464624</c:v>
                </c:pt>
                <c:pt idx="33">
                  <c:v>0.21543912589040676</c:v>
                </c:pt>
                <c:pt idx="34">
                  <c:v>0.21920337639315457</c:v>
                </c:pt>
                <c:pt idx="35">
                  <c:v>0.2099169001477364</c:v>
                </c:pt>
                <c:pt idx="36">
                  <c:v>0.21461041282284213</c:v>
                </c:pt>
                <c:pt idx="37">
                  <c:v>0.21897295838773065</c:v>
                </c:pt>
                <c:pt idx="38">
                  <c:v>0.22261435514238981</c:v>
                </c:pt>
                <c:pt idx="39">
                  <c:v>0.22327884880646498</c:v>
                </c:pt>
                <c:pt idx="40">
                  <c:v>0.2253875170499334</c:v>
                </c:pt>
                <c:pt idx="41">
                  <c:v>0.22099365840538088</c:v>
                </c:pt>
                <c:pt idx="42">
                  <c:v>0.21837565474402731</c:v>
                </c:pt>
                <c:pt idx="43">
                  <c:v>0.21195560525124538</c:v>
                </c:pt>
                <c:pt idx="44">
                  <c:v>0.1422095249916602</c:v>
                </c:pt>
                <c:pt idx="45">
                  <c:v>0.14358888946022072</c:v>
                </c:pt>
                <c:pt idx="46">
                  <c:v>0.13663171388964673</c:v>
                </c:pt>
                <c:pt idx="47">
                  <c:v>0.13505573269869059</c:v>
                </c:pt>
                <c:pt idx="48">
                  <c:v>0.1209567233351671</c:v>
                </c:pt>
                <c:pt idx="49">
                  <c:v>0.11703892858150297</c:v>
                </c:pt>
                <c:pt idx="50">
                  <c:v>0.11419957901187856</c:v>
                </c:pt>
                <c:pt idx="51">
                  <c:v>0.11267852396042798</c:v>
                </c:pt>
                <c:pt idx="52">
                  <c:v>0.12103366733955556</c:v>
                </c:pt>
                <c:pt idx="53">
                  <c:v>0.12863778372908588</c:v>
                </c:pt>
                <c:pt idx="54">
                  <c:v>0.13072297350572024</c:v>
                </c:pt>
                <c:pt idx="55">
                  <c:v>0.13046732583626239</c:v>
                </c:pt>
                <c:pt idx="56">
                  <c:v>0.13078806219699116</c:v>
                </c:pt>
                <c:pt idx="57">
                  <c:v>0.13045646942892458</c:v>
                </c:pt>
                <c:pt idx="58">
                  <c:v>0.12538645728528952</c:v>
                </c:pt>
                <c:pt idx="59">
                  <c:v>0.12199719271174889</c:v>
                </c:pt>
                <c:pt idx="60">
                  <c:v>0.12608205680531157</c:v>
                </c:pt>
                <c:pt idx="61">
                  <c:v>0.13167493329155761</c:v>
                </c:pt>
                <c:pt idx="62">
                  <c:v>0.13425388883410133</c:v>
                </c:pt>
                <c:pt idx="63">
                  <c:v>0.13650790191941259</c:v>
                </c:pt>
                <c:pt idx="64">
                  <c:v>0.13218179294276935</c:v>
                </c:pt>
                <c:pt idx="65">
                  <c:v>0.13742026481837483</c:v>
                </c:pt>
                <c:pt idx="66">
                  <c:v>0.14225348958629294</c:v>
                </c:pt>
                <c:pt idx="67">
                  <c:v>0.13782940300311178</c:v>
                </c:pt>
                <c:pt idx="68">
                  <c:v>0.14589259824798065</c:v>
                </c:pt>
                <c:pt idx="69">
                  <c:v>0.16041504804172932</c:v>
                </c:pt>
                <c:pt idx="70">
                  <c:v>0.16490330091798472</c:v>
                </c:pt>
                <c:pt idx="71">
                  <c:v>0.16450993568529718</c:v>
                </c:pt>
                <c:pt idx="72">
                  <c:v>0.15985549029900603</c:v>
                </c:pt>
                <c:pt idx="73">
                  <c:v>0.19574901378818627</c:v>
                </c:pt>
                <c:pt idx="74">
                  <c:v>0.20039384884755335</c:v>
                </c:pt>
                <c:pt idx="75">
                  <c:v>0.19802560693357901</c:v>
                </c:pt>
                <c:pt idx="76">
                  <c:v>0.19727925525907822</c:v>
                </c:pt>
                <c:pt idx="77">
                  <c:v>0.18738263685469922</c:v>
                </c:pt>
                <c:pt idx="78">
                  <c:v>0.18683563417995522</c:v>
                </c:pt>
                <c:pt idx="79">
                  <c:v>0.19292488018212661</c:v>
                </c:pt>
                <c:pt idx="80">
                  <c:v>0.18452012770389786</c:v>
                </c:pt>
                <c:pt idx="81">
                  <c:v>0.19623600464138463</c:v>
                </c:pt>
                <c:pt idx="82">
                  <c:v>0.20764969589475868</c:v>
                </c:pt>
                <c:pt idx="83">
                  <c:v>0.19578633388216662</c:v>
                </c:pt>
                <c:pt idx="84">
                  <c:v>0.22627522670376937</c:v>
                </c:pt>
                <c:pt idx="85">
                  <c:v>0.22618711132970834</c:v>
                </c:pt>
                <c:pt idx="86">
                  <c:v>0.21769811272802275</c:v>
                </c:pt>
                <c:pt idx="87">
                  <c:v>0.20882377969767121</c:v>
                </c:pt>
                <c:pt idx="88">
                  <c:v>0.21213351622539423</c:v>
                </c:pt>
                <c:pt idx="89">
                  <c:v>0.20862314965577561</c:v>
                </c:pt>
                <c:pt idx="90">
                  <c:v>0.20582889701256477</c:v>
                </c:pt>
                <c:pt idx="91">
                  <c:v>0.21641449377908439</c:v>
                </c:pt>
                <c:pt idx="92">
                  <c:v>0.18338085142677843</c:v>
                </c:pt>
                <c:pt idx="93">
                  <c:v>0.17971260348752241</c:v>
                </c:pt>
                <c:pt idx="94">
                  <c:v>0.1844416702152073</c:v>
                </c:pt>
                <c:pt idx="95">
                  <c:v>0.18418118379582182</c:v>
                </c:pt>
                <c:pt idx="96">
                  <c:v>0.19112999492875177</c:v>
                </c:pt>
                <c:pt idx="97">
                  <c:v>0.18854339070193765</c:v>
                </c:pt>
                <c:pt idx="98">
                  <c:v>0.17751990484687155</c:v>
                </c:pt>
                <c:pt idx="99">
                  <c:v>0.16972805410183098</c:v>
                </c:pt>
                <c:pt idx="100">
                  <c:v>0.16854820571272852</c:v>
                </c:pt>
                <c:pt idx="101">
                  <c:v>0.15063986742242266</c:v>
                </c:pt>
                <c:pt idx="102">
                  <c:v>0.14965645083868961</c:v>
                </c:pt>
                <c:pt idx="103">
                  <c:v>0.14896027884661134</c:v>
                </c:pt>
                <c:pt idx="104">
                  <c:v>0.14793882034792261</c:v>
                </c:pt>
                <c:pt idx="105">
                  <c:v>0.13702574355760905</c:v>
                </c:pt>
                <c:pt idx="106">
                  <c:v>0.13534087742592918</c:v>
                </c:pt>
                <c:pt idx="107">
                  <c:v>0.13065997664326476</c:v>
                </c:pt>
                <c:pt idx="108">
                  <c:v>9.6633674397630348E-2</c:v>
                </c:pt>
                <c:pt idx="109">
                  <c:v>9.7357139716341815E-2</c:v>
                </c:pt>
                <c:pt idx="110">
                  <c:v>0.10507050870419007</c:v>
                </c:pt>
                <c:pt idx="111">
                  <c:v>0.1155942678582127</c:v>
                </c:pt>
                <c:pt idx="112">
                  <c:v>0.11594136700601991</c:v>
                </c:pt>
                <c:pt idx="113">
                  <c:v>0.11715069392350423</c:v>
                </c:pt>
                <c:pt idx="114">
                  <c:v>0.1244786511804202</c:v>
                </c:pt>
                <c:pt idx="115">
                  <c:v>0.13411045468754956</c:v>
                </c:pt>
                <c:pt idx="116">
                  <c:v>0.14726890606652418</c:v>
                </c:pt>
                <c:pt idx="117">
                  <c:v>0.12854897899628964</c:v>
                </c:pt>
                <c:pt idx="118">
                  <c:v>0.12831179962835851</c:v>
                </c:pt>
                <c:pt idx="119">
                  <c:v>0.13513366874112775</c:v>
                </c:pt>
                <c:pt idx="120">
                  <c:v>0.13826933494365229</c:v>
                </c:pt>
                <c:pt idx="121">
                  <c:v>0.10678960105491533</c:v>
                </c:pt>
                <c:pt idx="122">
                  <c:v>0.11347246221122506</c:v>
                </c:pt>
                <c:pt idx="123">
                  <c:v>0.11730656175763118</c:v>
                </c:pt>
                <c:pt idx="124">
                  <c:v>0.12044732038383908</c:v>
                </c:pt>
                <c:pt idx="125">
                  <c:v>0.11946817022506828</c:v>
                </c:pt>
                <c:pt idx="126">
                  <c:v>0.12498052080245825</c:v>
                </c:pt>
                <c:pt idx="127">
                  <c:v>0.12706067966465018</c:v>
                </c:pt>
                <c:pt idx="128">
                  <c:v>0.14748905709711341</c:v>
                </c:pt>
                <c:pt idx="129">
                  <c:v>0.14163398199323815</c:v>
                </c:pt>
                <c:pt idx="130">
                  <c:v>0.14470376116741901</c:v>
                </c:pt>
                <c:pt idx="131">
                  <c:v>0.14938507559293235</c:v>
                </c:pt>
                <c:pt idx="132">
                  <c:v>0.13948375851375713</c:v>
                </c:pt>
                <c:pt idx="133">
                  <c:v>0.13444544116646781</c:v>
                </c:pt>
                <c:pt idx="134">
                  <c:v>0.12863546833023315</c:v>
                </c:pt>
                <c:pt idx="135">
                  <c:v>0.12468970343811492</c:v>
                </c:pt>
                <c:pt idx="136">
                  <c:v>0.12400347715053786</c:v>
                </c:pt>
                <c:pt idx="137">
                  <c:v>0.12351664805183815</c:v>
                </c:pt>
                <c:pt idx="138">
                  <c:v>0.12861644624687474</c:v>
                </c:pt>
                <c:pt idx="139">
                  <c:v>0.13295662970600244</c:v>
                </c:pt>
                <c:pt idx="140">
                  <c:v>0.13734930026979161</c:v>
                </c:pt>
                <c:pt idx="141">
                  <c:v>0.13976504174465162</c:v>
                </c:pt>
                <c:pt idx="142">
                  <c:v>0.14539764495131521</c:v>
                </c:pt>
                <c:pt idx="143">
                  <c:v>0.15046463228596288</c:v>
                </c:pt>
                <c:pt idx="144">
                  <c:v>0.15852408080861313</c:v>
                </c:pt>
                <c:pt idx="145">
                  <c:v>0.17269098585586071</c:v>
                </c:pt>
                <c:pt idx="146">
                  <c:v>0.16993691857722232</c:v>
                </c:pt>
                <c:pt idx="147">
                  <c:v>0.14997590449388237</c:v>
                </c:pt>
                <c:pt idx="148">
                  <c:v>0.11756642193309721</c:v>
                </c:pt>
                <c:pt idx="149">
                  <c:v>0.11773883608418287</c:v>
                </c:pt>
                <c:pt idx="150">
                  <c:v>0.14390927161982203</c:v>
                </c:pt>
                <c:pt idx="151">
                  <c:v>0.14324186204820702</c:v>
                </c:pt>
                <c:pt idx="152">
                  <c:v>0.14428849247286418</c:v>
                </c:pt>
                <c:pt idx="153">
                  <c:v>0.15887395117217851</c:v>
                </c:pt>
                <c:pt idx="154">
                  <c:v>0.15939577343648662</c:v>
                </c:pt>
                <c:pt idx="155">
                  <c:v>0.15421267417629902</c:v>
                </c:pt>
                <c:pt idx="156">
                  <c:v>0.15181293254181055</c:v>
                </c:pt>
                <c:pt idx="157">
                  <c:v>0.12981742557071785</c:v>
                </c:pt>
                <c:pt idx="158">
                  <c:v>0.13706510904996477</c:v>
                </c:pt>
                <c:pt idx="159">
                  <c:v>0.13551734881393346</c:v>
                </c:pt>
                <c:pt idx="160">
                  <c:v>0.13681787287850802</c:v>
                </c:pt>
                <c:pt idx="161">
                  <c:v>0.13800364733101522</c:v>
                </c:pt>
                <c:pt idx="162">
                  <c:v>0.13374029146492564</c:v>
                </c:pt>
                <c:pt idx="163">
                  <c:v>0.15061549459611287</c:v>
                </c:pt>
                <c:pt idx="164">
                  <c:v>0.15146051954319245</c:v>
                </c:pt>
                <c:pt idx="165">
                  <c:v>0.14945272043882948</c:v>
                </c:pt>
                <c:pt idx="166">
                  <c:v>0.16033073020160069</c:v>
                </c:pt>
                <c:pt idx="167">
                  <c:v>0.18161479085883614</c:v>
                </c:pt>
                <c:pt idx="168">
                  <c:v>0.18129778423931875</c:v>
                </c:pt>
                <c:pt idx="169">
                  <c:v>0.1861599195584869</c:v>
                </c:pt>
                <c:pt idx="170">
                  <c:v>0.18851125319854722</c:v>
                </c:pt>
                <c:pt idx="171">
                  <c:v>0.18947781348536819</c:v>
                </c:pt>
                <c:pt idx="172">
                  <c:v>0.1881942885201329</c:v>
                </c:pt>
                <c:pt idx="173">
                  <c:v>0.1871604413706055</c:v>
                </c:pt>
                <c:pt idx="174">
                  <c:v>0.15440949816236929</c:v>
                </c:pt>
                <c:pt idx="175">
                  <c:v>0.1334496303085223</c:v>
                </c:pt>
                <c:pt idx="176">
                  <c:v>0.137963034898958</c:v>
                </c:pt>
                <c:pt idx="177">
                  <c:v>0.15431929652064721</c:v>
                </c:pt>
                <c:pt idx="178">
                  <c:v>0.14715940057186108</c:v>
                </c:pt>
                <c:pt idx="179">
                  <c:v>0.1340939332303073</c:v>
                </c:pt>
                <c:pt idx="180">
                  <c:v>0.13111777189850571</c:v>
                </c:pt>
                <c:pt idx="181">
                  <c:v>0.13361235041878339</c:v>
                </c:pt>
                <c:pt idx="182">
                  <c:v>0.12262219642280404</c:v>
                </c:pt>
                <c:pt idx="183">
                  <c:v>0.11847185663147601</c:v>
                </c:pt>
                <c:pt idx="184">
                  <c:v>0.10835631309426332</c:v>
                </c:pt>
                <c:pt idx="185">
                  <c:v>0.11541348283867113</c:v>
                </c:pt>
                <c:pt idx="186">
                  <c:v>0.11206324967162935</c:v>
                </c:pt>
                <c:pt idx="187">
                  <c:v>0.1155619924731625</c:v>
                </c:pt>
                <c:pt idx="188">
                  <c:v>0.11485356625385477</c:v>
                </c:pt>
                <c:pt idx="189">
                  <c:v>0.1133904858152297</c:v>
                </c:pt>
                <c:pt idx="190">
                  <c:v>0.11430526664016023</c:v>
                </c:pt>
                <c:pt idx="191">
                  <c:v>0.11653353037599118</c:v>
                </c:pt>
                <c:pt idx="192">
                  <c:v>0.11987666044934762</c:v>
                </c:pt>
                <c:pt idx="193">
                  <c:v>0.12360856967888792</c:v>
                </c:pt>
                <c:pt idx="194">
                  <c:v>0.12482925661521162</c:v>
                </c:pt>
                <c:pt idx="195">
                  <c:v>0.12350946843666642</c:v>
                </c:pt>
                <c:pt idx="196">
                  <c:v>0.11848048832273946</c:v>
                </c:pt>
                <c:pt idx="197">
                  <c:v>0.12082147872392238</c:v>
                </c:pt>
                <c:pt idx="198">
                  <c:v>0.11774561876096172</c:v>
                </c:pt>
                <c:pt idx="199">
                  <c:v>0.1180790555416182</c:v>
                </c:pt>
                <c:pt idx="200">
                  <c:v>0.10802740611393147</c:v>
                </c:pt>
                <c:pt idx="201">
                  <c:v>0.10027898631873239</c:v>
                </c:pt>
                <c:pt idx="202">
                  <c:v>0.10214789433982678</c:v>
                </c:pt>
                <c:pt idx="203">
                  <c:v>9.6911723685050272E-2</c:v>
                </c:pt>
                <c:pt idx="204">
                  <c:v>9.9603562458506753E-2</c:v>
                </c:pt>
                <c:pt idx="205">
                  <c:v>0.10224211568999876</c:v>
                </c:pt>
                <c:pt idx="206">
                  <c:v>9.9819333365575857E-2</c:v>
                </c:pt>
                <c:pt idx="207">
                  <c:v>0.1008111767307814</c:v>
                </c:pt>
                <c:pt idx="208">
                  <c:v>0.10103538026349709</c:v>
                </c:pt>
                <c:pt idx="209">
                  <c:v>0.11726659031677798</c:v>
                </c:pt>
                <c:pt idx="210">
                  <c:v>0.11921931771374325</c:v>
                </c:pt>
                <c:pt idx="211">
                  <c:v>0.12306693590334132</c:v>
                </c:pt>
                <c:pt idx="212">
                  <c:v>0.1143931694218263</c:v>
                </c:pt>
                <c:pt idx="213">
                  <c:v>0.14626020823390468</c:v>
                </c:pt>
                <c:pt idx="214">
                  <c:v>0.15461411741255254</c:v>
                </c:pt>
                <c:pt idx="215">
                  <c:v>0.15549702218754019</c:v>
                </c:pt>
                <c:pt idx="216">
                  <c:v>0.18524170294495229</c:v>
                </c:pt>
                <c:pt idx="217">
                  <c:v>0.18635488875921574</c:v>
                </c:pt>
                <c:pt idx="218">
                  <c:v>0.19389952870653029</c:v>
                </c:pt>
                <c:pt idx="219">
                  <c:v>0.2054068050166076</c:v>
                </c:pt>
                <c:pt idx="220">
                  <c:v>0.2004103233396603</c:v>
                </c:pt>
                <c:pt idx="221">
                  <c:v>0.19042291730971256</c:v>
                </c:pt>
                <c:pt idx="222">
                  <c:v>0.20808930888798274</c:v>
                </c:pt>
                <c:pt idx="223">
                  <c:v>0.21164653446008805</c:v>
                </c:pt>
                <c:pt idx="224">
                  <c:v>0.21139699333651304</c:v>
                </c:pt>
                <c:pt idx="225">
                  <c:v>0.20846469287065242</c:v>
                </c:pt>
                <c:pt idx="226">
                  <c:v>0.17707115504614246</c:v>
                </c:pt>
                <c:pt idx="227">
                  <c:v>0.16697434747153284</c:v>
                </c:pt>
                <c:pt idx="228">
                  <c:v>0.15619347020444835</c:v>
                </c:pt>
                <c:pt idx="229">
                  <c:v>0.15407260546540347</c:v>
                </c:pt>
                <c:pt idx="230">
                  <c:v>0.15655015950987078</c:v>
                </c:pt>
                <c:pt idx="231">
                  <c:v>0.16109009512425146</c:v>
                </c:pt>
                <c:pt idx="232">
                  <c:v>0.17275346110131415</c:v>
                </c:pt>
                <c:pt idx="233">
                  <c:v>0.15799164392856532</c:v>
                </c:pt>
                <c:pt idx="234">
                  <c:v>0.16296290022009199</c:v>
                </c:pt>
                <c:pt idx="235">
                  <c:v>0.16258950056712745</c:v>
                </c:pt>
                <c:pt idx="236">
                  <c:v>0.16063593311784374</c:v>
                </c:pt>
                <c:pt idx="237">
                  <c:v>0.1485282779103024</c:v>
                </c:pt>
                <c:pt idx="238">
                  <c:v>0.16290756485877006</c:v>
                </c:pt>
                <c:pt idx="239">
                  <c:v>0.15897468458547415</c:v>
                </c:pt>
              </c:numCache>
            </c:numRef>
          </c:yVal>
          <c:smooth val="0"/>
        </c:ser>
        <c:ser>
          <c:idx val="1"/>
          <c:order val="1"/>
          <c:tx>
            <c:v>AdjRollingNCCF</c:v>
          </c:tx>
          <c:marker>
            <c:symbol val="none"/>
          </c:marker>
          <c:xVal>
            <c:numRef>
              <c:f>Sheet2!$E$3:$E$242</c:f>
              <c:numCache>
                <c:formatCode>d\-mmm\-yy</c:formatCode>
                <c:ptCount val="240"/>
                <c:pt idx="0">
                  <c:v>41549</c:v>
                </c:pt>
                <c:pt idx="1">
                  <c:v>41550</c:v>
                </c:pt>
                <c:pt idx="2">
                  <c:v>41551</c:v>
                </c:pt>
                <c:pt idx="3">
                  <c:v>41554</c:v>
                </c:pt>
                <c:pt idx="4">
                  <c:v>41555</c:v>
                </c:pt>
                <c:pt idx="5">
                  <c:v>41556</c:v>
                </c:pt>
                <c:pt idx="6">
                  <c:v>41557</c:v>
                </c:pt>
                <c:pt idx="7">
                  <c:v>41558</c:v>
                </c:pt>
                <c:pt idx="8">
                  <c:v>41561</c:v>
                </c:pt>
                <c:pt idx="9">
                  <c:v>41562</c:v>
                </c:pt>
                <c:pt idx="10">
                  <c:v>41563</c:v>
                </c:pt>
                <c:pt idx="11">
                  <c:v>41564</c:v>
                </c:pt>
                <c:pt idx="12">
                  <c:v>41565</c:v>
                </c:pt>
                <c:pt idx="13">
                  <c:v>41568</c:v>
                </c:pt>
                <c:pt idx="14">
                  <c:v>41569</c:v>
                </c:pt>
                <c:pt idx="15">
                  <c:v>41570</c:v>
                </c:pt>
                <c:pt idx="16">
                  <c:v>41571</c:v>
                </c:pt>
                <c:pt idx="17">
                  <c:v>41572</c:v>
                </c:pt>
                <c:pt idx="18">
                  <c:v>41576</c:v>
                </c:pt>
                <c:pt idx="19">
                  <c:v>41577</c:v>
                </c:pt>
                <c:pt idx="20">
                  <c:v>41578</c:v>
                </c:pt>
                <c:pt idx="21">
                  <c:v>41579</c:v>
                </c:pt>
                <c:pt idx="22">
                  <c:v>41582</c:v>
                </c:pt>
                <c:pt idx="23">
                  <c:v>41583</c:v>
                </c:pt>
                <c:pt idx="24">
                  <c:v>41584</c:v>
                </c:pt>
                <c:pt idx="25">
                  <c:v>41585</c:v>
                </c:pt>
                <c:pt idx="26">
                  <c:v>41586</c:v>
                </c:pt>
                <c:pt idx="27">
                  <c:v>41589</c:v>
                </c:pt>
                <c:pt idx="28">
                  <c:v>41596</c:v>
                </c:pt>
                <c:pt idx="29">
                  <c:v>41597</c:v>
                </c:pt>
                <c:pt idx="30">
                  <c:v>41598</c:v>
                </c:pt>
                <c:pt idx="31">
                  <c:v>41599</c:v>
                </c:pt>
                <c:pt idx="32">
                  <c:v>41600</c:v>
                </c:pt>
                <c:pt idx="33">
                  <c:v>41603</c:v>
                </c:pt>
                <c:pt idx="34">
                  <c:v>41604</c:v>
                </c:pt>
                <c:pt idx="35">
                  <c:v>41605</c:v>
                </c:pt>
                <c:pt idx="36">
                  <c:v>41607</c:v>
                </c:pt>
                <c:pt idx="37">
                  <c:v>41610</c:v>
                </c:pt>
                <c:pt idx="38">
                  <c:v>41611</c:v>
                </c:pt>
                <c:pt idx="39">
                  <c:v>41612</c:v>
                </c:pt>
                <c:pt idx="40">
                  <c:v>41613</c:v>
                </c:pt>
                <c:pt idx="41">
                  <c:v>41614</c:v>
                </c:pt>
                <c:pt idx="42">
                  <c:v>41617</c:v>
                </c:pt>
                <c:pt idx="43">
                  <c:v>41618</c:v>
                </c:pt>
                <c:pt idx="44">
                  <c:v>41619</c:v>
                </c:pt>
                <c:pt idx="45">
                  <c:v>41620</c:v>
                </c:pt>
                <c:pt idx="46">
                  <c:v>41621</c:v>
                </c:pt>
                <c:pt idx="47">
                  <c:v>41624</c:v>
                </c:pt>
                <c:pt idx="48">
                  <c:v>41625</c:v>
                </c:pt>
                <c:pt idx="49">
                  <c:v>41626</c:v>
                </c:pt>
                <c:pt idx="50">
                  <c:v>41627</c:v>
                </c:pt>
                <c:pt idx="51">
                  <c:v>41628</c:v>
                </c:pt>
                <c:pt idx="52">
                  <c:v>41631</c:v>
                </c:pt>
                <c:pt idx="53">
                  <c:v>41632</c:v>
                </c:pt>
                <c:pt idx="54">
                  <c:v>41638</c:v>
                </c:pt>
                <c:pt idx="55">
                  <c:v>41639</c:v>
                </c:pt>
                <c:pt idx="56">
                  <c:v>41641</c:v>
                </c:pt>
                <c:pt idx="57">
                  <c:v>41642</c:v>
                </c:pt>
                <c:pt idx="58">
                  <c:v>41645</c:v>
                </c:pt>
                <c:pt idx="59">
                  <c:v>41646</c:v>
                </c:pt>
                <c:pt idx="60">
                  <c:v>41647</c:v>
                </c:pt>
                <c:pt idx="61">
                  <c:v>41648</c:v>
                </c:pt>
                <c:pt idx="62">
                  <c:v>41649</c:v>
                </c:pt>
                <c:pt idx="63">
                  <c:v>41652</c:v>
                </c:pt>
                <c:pt idx="64">
                  <c:v>41653</c:v>
                </c:pt>
                <c:pt idx="65">
                  <c:v>41654</c:v>
                </c:pt>
                <c:pt idx="66">
                  <c:v>41655</c:v>
                </c:pt>
                <c:pt idx="67">
                  <c:v>41656</c:v>
                </c:pt>
                <c:pt idx="68">
                  <c:v>41660</c:v>
                </c:pt>
                <c:pt idx="69">
                  <c:v>41661</c:v>
                </c:pt>
                <c:pt idx="70">
                  <c:v>41662</c:v>
                </c:pt>
                <c:pt idx="71">
                  <c:v>41663</c:v>
                </c:pt>
                <c:pt idx="72">
                  <c:v>41666</c:v>
                </c:pt>
                <c:pt idx="73">
                  <c:v>41667</c:v>
                </c:pt>
                <c:pt idx="74">
                  <c:v>41668</c:v>
                </c:pt>
                <c:pt idx="75">
                  <c:v>41669</c:v>
                </c:pt>
                <c:pt idx="76">
                  <c:v>41670</c:v>
                </c:pt>
                <c:pt idx="77">
                  <c:v>41673</c:v>
                </c:pt>
                <c:pt idx="78">
                  <c:v>41674</c:v>
                </c:pt>
                <c:pt idx="79">
                  <c:v>41675</c:v>
                </c:pt>
                <c:pt idx="80">
                  <c:v>41676</c:v>
                </c:pt>
                <c:pt idx="81">
                  <c:v>41677</c:v>
                </c:pt>
                <c:pt idx="82">
                  <c:v>41680</c:v>
                </c:pt>
                <c:pt idx="83">
                  <c:v>41681</c:v>
                </c:pt>
                <c:pt idx="84">
                  <c:v>41682</c:v>
                </c:pt>
                <c:pt idx="85">
                  <c:v>41683</c:v>
                </c:pt>
                <c:pt idx="86">
                  <c:v>41684</c:v>
                </c:pt>
                <c:pt idx="87">
                  <c:v>41688</c:v>
                </c:pt>
                <c:pt idx="88">
                  <c:v>41689</c:v>
                </c:pt>
                <c:pt idx="89">
                  <c:v>41690</c:v>
                </c:pt>
                <c:pt idx="90">
                  <c:v>41691</c:v>
                </c:pt>
                <c:pt idx="91">
                  <c:v>41694</c:v>
                </c:pt>
                <c:pt idx="92">
                  <c:v>41695</c:v>
                </c:pt>
                <c:pt idx="93">
                  <c:v>41696</c:v>
                </c:pt>
                <c:pt idx="94">
                  <c:v>41697</c:v>
                </c:pt>
                <c:pt idx="95">
                  <c:v>41698</c:v>
                </c:pt>
                <c:pt idx="96">
                  <c:v>41701</c:v>
                </c:pt>
                <c:pt idx="97">
                  <c:v>41702</c:v>
                </c:pt>
                <c:pt idx="98">
                  <c:v>41703</c:v>
                </c:pt>
                <c:pt idx="99">
                  <c:v>41704</c:v>
                </c:pt>
                <c:pt idx="100">
                  <c:v>41705</c:v>
                </c:pt>
                <c:pt idx="101">
                  <c:v>41708</c:v>
                </c:pt>
                <c:pt idx="102">
                  <c:v>41709</c:v>
                </c:pt>
                <c:pt idx="103">
                  <c:v>41710</c:v>
                </c:pt>
                <c:pt idx="104">
                  <c:v>41711</c:v>
                </c:pt>
                <c:pt idx="105">
                  <c:v>41712</c:v>
                </c:pt>
                <c:pt idx="106">
                  <c:v>41716</c:v>
                </c:pt>
                <c:pt idx="107">
                  <c:v>41717</c:v>
                </c:pt>
                <c:pt idx="108">
                  <c:v>41718</c:v>
                </c:pt>
                <c:pt idx="109">
                  <c:v>41719</c:v>
                </c:pt>
                <c:pt idx="110">
                  <c:v>41722</c:v>
                </c:pt>
                <c:pt idx="111">
                  <c:v>41723</c:v>
                </c:pt>
                <c:pt idx="112">
                  <c:v>41724</c:v>
                </c:pt>
                <c:pt idx="113">
                  <c:v>41725</c:v>
                </c:pt>
                <c:pt idx="114">
                  <c:v>41726</c:v>
                </c:pt>
                <c:pt idx="115">
                  <c:v>41729</c:v>
                </c:pt>
                <c:pt idx="116">
                  <c:v>41730</c:v>
                </c:pt>
                <c:pt idx="117">
                  <c:v>41731</c:v>
                </c:pt>
                <c:pt idx="118">
                  <c:v>41732</c:v>
                </c:pt>
                <c:pt idx="119">
                  <c:v>41733</c:v>
                </c:pt>
                <c:pt idx="120">
                  <c:v>41736</c:v>
                </c:pt>
                <c:pt idx="121">
                  <c:v>41737</c:v>
                </c:pt>
                <c:pt idx="122">
                  <c:v>41738</c:v>
                </c:pt>
                <c:pt idx="123">
                  <c:v>41739</c:v>
                </c:pt>
                <c:pt idx="124">
                  <c:v>41740</c:v>
                </c:pt>
                <c:pt idx="125">
                  <c:v>41743</c:v>
                </c:pt>
                <c:pt idx="126">
                  <c:v>41744</c:v>
                </c:pt>
                <c:pt idx="127">
                  <c:v>41745</c:v>
                </c:pt>
                <c:pt idx="128">
                  <c:v>41746</c:v>
                </c:pt>
                <c:pt idx="129">
                  <c:v>41751</c:v>
                </c:pt>
                <c:pt idx="130">
                  <c:v>41752</c:v>
                </c:pt>
                <c:pt idx="131">
                  <c:v>41753</c:v>
                </c:pt>
                <c:pt idx="132">
                  <c:v>41754</c:v>
                </c:pt>
                <c:pt idx="133">
                  <c:v>41757</c:v>
                </c:pt>
                <c:pt idx="134">
                  <c:v>41758</c:v>
                </c:pt>
                <c:pt idx="135">
                  <c:v>41759</c:v>
                </c:pt>
                <c:pt idx="136">
                  <c:v>41760</c:v>
                </c:pt>
                <c:pt idx="137">
                  <c:v>41761</c:v>
                </c:pt>
                <c:pt idx="138">
                  <c:v>41765</c:v>
                </c:pt>
                <c:pt idx="139">
                  <c:v>41766</c:v>
                </c:pt>
                <c:pt idx="140">
                  <c:v>41767</c:v>
                </c:pt>
                <c:pt idx="141">
                  <c:v>41768</c:v>
                </c:pt>
                <c:pt idx="142">
                  <c:v>41771</c:v>
                </c:pt>
                <c:pt idx="143">
                  <c:v>41772</c:v>
                </c:pt>
                <c:pt idx="144">
                  <c:v>41773</c:v>
                </c:pt>
                <c:pt idx="145">
                  <c:v>41774</c:v>
                </c:pt>
                <c:pt idx="146">
                  <c:v>41775</c:v>
                </c:pt>
                <c:pt idx="147">
                  <c:v>41778</c:v>
                </c:pt>
                <c:pt idx="148">
                  <c:v>41779</c:v>
                </c:pt>
                <c:pt idx="149">
                  <c:v>41780</c:v>
                </c:pt>
                <c:pt idx="150">
                  <c:v>41781</c:v>
                </c:pt>
                <c:pt idx="151">
                  <c:v>41782</c:v>
                </c:pt>
                <c:pt idx="152">
                  <c:v>41786</c:v>
                </c:pt>
                <c:pt idx="153">
                  <c:v>41787</c:v>
                </c:pt>
                <c:pt idx="154">
                  <c:v>41788</c:v>
                </c:pt>
                <c:pt idx="155">
                  <c:v>41789</c:v>
                </c:pt>
                <c:pt idx="156">
                  <c:v>41793</c:v>
                </c:pt>
                <c:pt idx="157">
                  <c:v>41794</c:v>
                </c:pt>
                <c:pt idx="158">
                  <c:v>41795</c:v>
                </c:pt>
                <c:pt idx="159">
                  <c:v>41796</c:v>
                </c:pt>
                <c:pt idx="160">
                  <c:v>41799</c:v>
                </c:pt>
                <c:pt idx="161">
                  <c:v>41800</c:v>
                </c:pt>
                <c:pt idx="162">
                  <c:v>41801</c:v>
                </c:pt>
                <c:pt idx="163">
                  <c:v>41802</c:v>
                </c:pt>
                <c:pt idx="164">
                  <c:v>41803</c:v>
                </c:pt>
                <c:pt idx="165">
                  <c:v>41806</c:v>
                </c:pt>
                <c:pt idx="166">
                  <c:v>41807</c:v>
                </c:pt>
                <c:pt idx="167">
                  <c:v>41808</c:v>
                </c:pt>
                <c:pt idx="168">
                  <c:v>41809</c:v>
                </c:pt>
                <c:pt idx="169">
                  <c:v>41810</c:v>
                </c:pt>
                <c:pt idx="170">
                  <c:v>41813</c:v>
                </c:pt>
                <c:pt idx="171">
                  <c:v>41814</c:v>
                </c:pt>
                <c:pt idx="172">
                  <c:v>41815</c:v>
                </c:pt>
                <c:pt idx="173">
                  <c:v>41816</c:v>
                </c:pt>
                <c:pt idx="174">
                  <c:v>41817</c:v>
                </c:pt>
                <c:pt idx="175">
                  <c:v>41820</c:v>
                </c:pt>
                <c:pt idx="176">
                  <c:v>41821</c:v>
                </c:pt>
                <c:pt idx="177">
                  <c:v>41822</c:v>
                </c:pt>
                <c:pt idx="178">
                  <c:v>41823</c:v>
                </c:pt>
                <c:pt idx="179">
                  <c:v>41827</c:v>
                </c:pt>
                <c:pt idx="180">
                  <c:v>41828</c:v>
                </c:pt>
                <c:pt idx="181">
                  <c:v>41829</c:v>
                </c:pt>
                <c:pt idx="182">
                  <c:v>41830</c:v>
                </c:pt>
                <c:pt idx="183">
                  <c:v>41831</c:v>
                </c:pt>
                <c:pt idx="184">
                  <c:v>41834</c:v>
                </c:pt>
                <c:pt idx="185">
                  <c:v>41835</c:v>
                </c:pt>
                <c:pt idx="186">
                  <c:v>41836</c:v>
                </c:pt>
                <c:pt idx="187">
                  <c:v>41837</c:v>
                </c:pt>
                <c:pt idx="188">
                  <c:v>41838</c:v>
                </c:pt>
                <c:pt idx="189">
                  <c:v>41841</c:v>
                </c:pt>
                <c:pt idx="190">
                  <c:v>41842</c:v>
                </c:pt>
                <c:pt idx="191">
                  <c:v>41843</c:v>
                </c:pt>
                <c:pt idx="192">
                  <c:v>41844</c:v>
                </c:pt>
                <c:pt idx="193">
                  <c:v>41845</c:v>
                </c:pt>
                <c:pt idx="194">
                  <c:v>41848</c:v>
                </c:pt>
                <c:pt idx="195">
                  <c:v>41849</c:v>
                </c:pt>
                <c:pt idx="196">
                  <c:v>41850</c:v>
                </c:pt>
                <c:pt idx="197">
                  <c:v>41851</c:v>
                </c:pt>
                <c:pt idx="198">
                  <c:v>41852</c:v>
                </c:pt>
                <c:pt idx="199">
                  <c:v>41856</c:v>
                </c:pt>
                <c:pt idx="200">
                  <c:v>41857</c:v>
                </c:pt>
                <c:pt idx="201">
                  <c:v>41858</c:v>
                </c:pt>
                <c:pt idx="202">
                  <c:v>41859</c:v>
                </c:pt>
                <c:pt idx="203">
                  <c:v>41862</c:v>
                </c:pt>
                <c:pt idx="204">
                  <c:v>41863</c:v>
                </c:pt>
                <c:pt idx="205">
                  <c:v>41864</c:v>
                </c:pt>
                <c:pt idx="206">
                  <c:v>41865</c:v>
                </c:pt>
                <c:pt idx="207">
                  <c:v>41866</c:v>
                </c:pt>
                <c:pt idx="208">
                  <c:v>41869</c:v>
                </c:pt>
                <c:pt idx="209">
                  <c:v>41870</c:v>
                </c:pt>
                <c:pt idx="210">
                  <c:v>41871</c:v>
                </c:pt>
                <c:pt idx="211">
                  <c:v>41872</c:v>
                </c:pt>
                <c:pt idx="212">
                  <c:v>41873</c:v>
                </c:pt>
                <c:pt idx="213">
                  <c:v>41876</c:v>
                </c:pt>
                <c:pt idx="214">
                  <c:v>41877</c:v>
                </c:pt>
                <c:pt idx="215">
                  <c:v>41878</c:v>
                </c:pt>
                <c:pt idx="216">
                  <c:v>41879</c:v>
                </c:pt>
                <c:pt idx="217">
                  <c:v>41880</c:v>
                </c:pt>
                <c:pt idx="218">
                  <c:v>41884</c:v>
                </c:pt>
                <c:pt idx="219">
                  <c:v>41885</c:v>
                </c:pt>
                <c:pt idx="220">
                  <c:v>41886</c:v>
                </c:pt>
                <c:pt idx="221">
                  <c:v>41887</c:v>
                </c:pt>
                <c:pt idx="222">
                  <c:v>41890</c:v>
                </c:pt>
                <c:pt idx="223">
                  <c:v>41891</c:v>
                </c:pt>
                <c:pt idx="224">
                  <c:v>41892</c:v>
                </c:pt>
                <c:pt idx="225">
                  <c:v>41893</c:v>
                </c:pt>
                <c:pt idx="226">
                  <c:v>41894</c:v>
                </c:pt>
                <c:pt idx="227">
                  <c:v>41897</c:v>
                </c:pt>
                <c:pt idx="228">
                  <c:v>41898</c:v>
                </c:pt>
                <c:pt idx="229">
                  <c:v>41899</c:v>
                </c:pt>
                <c:pt idx="230">
                  <c:v>41900</c:v>
                </c:pt>
                <c:pt idx="231">
                  <c:v>41901</c:v>
                </c:pt>
                <c:pt idx="232">
                  <c:v>41904</c:v>
                </c:pt>
                <c:pt idx="233">
                  <c:v>41905</c:v>
                </c:pt>
                <c:pt idx="234">
                  <c:v>41906</c:v>
                </c:pt>
                <c:pt idx="235">
                  <c:v>41907</c:v>
                </c:pt>
                <c:pt idx="236">
                  <c:v>41908</c:v>
                </c:pt>
                <c:pt idx="237">
                  <c:v>41911</c:v>
                </c:pt>
                <c:pt idx="238">
                  <c:v>41912</c:v>
                </c:pt>
                <c:pt idx="239">
                  <c:v>41913</c:v>
                </c:pt>
              </c:numCache>
            </c:numRef>
          </c:xVal>
          <c:yVal>
            <c:numRef>
              <c:f>Sheet2!$N$3:$N$242</c:f>
              <c:numCache>
                <c:formatCode>0.00%</c:formatCode>
                <c:ptCount val="240"/>
                <c:pt idx="0">
                  <c:v>3.3369969048202769E-3</c:v>
                </c:pt>
                <c:pt idx="1">
                  <c:v>-3.776353015008609E-3</c:v>
                </c:pt>
                <c:pt idx="2">
                  <c:v>-1.9212634357457389E-2</c:v>
                </c:pt>
                <c:pt idx="3">
                  <c:v>-1.7328373085403286E-2</c:v>
                </c:pt>
                <c:pt idx="4">
                  <c:v>-3.8053546403748847E-2</c:v>
                </c:pt>
                <c:pt idx="5">
                  <c:v>-3.5978718058592894E-2</c:v>
                </c:pt>
                <c:pt idx="6">
                  <c:v>-3.2044619514133572E-2</c:v>
                </c:pt>
                <c:pt idx="7">
                  <c:v>-6.0074481270249206E-4</c:v>
                </c:pt>
                <c:pt idx="8">
                  <c:v>9.1528719255747869E-3</c:v>
                </c:pt>
                <c:pt idx="9">
                  <c:v>-3.6824577705268187E-3</c:v>
                </c:pt>
                <c:pt idx="10">
                  <c:v>4.9457667862283887E-3</c:v>
                </c:pt>
                <c:pt idx="11">
                  <c:v>3.2271870435020339E-3</c:v>
                </c:pt>
                <c:pt idx="12">
                  <c:v>4.3031627618910842E-3</c:v>
                </c:pt>
                <c:pt idx="13">
                  <c:v>9.4888881908094455E-3</c:v>
                </c:pt>
                <c:pt idx="14">
                  <c:v>2.0300901846952022E-2</c:v>
                </c:pt>
                <c:pt idx="15">
                  <c:v>2.2483290766859079E-2</c:v>
                </c:pt>
                <c:pt idx="16">
                  <c:v>7.018303000223121E-3</c:v>
                </c:pt>
                <c:pt idx="17">
                  <c:v>2.6206808983589951E-2</c:v>
                </c:pt>
                <c:pt idx="18">
                  <c:v>3.933492165834003E-2</c:v>
                </c:pt>
                <c:pt idx="19">
                  <c:v>1.2100828533856006E-2</c:v>
                </c:pt>
                <c:pt idx="20">
                  <c:v>9.2762683710224565E-3</c:v>
                </c:pt>
                <c:pt idx="21">
                  <c:v>-4.5018349587125856E-3</c:v>
                </c:pt>
                <c:pt idx="22">
                  <c:v>-3.1639872274896123E-4</c:v>
                </c:pt>
                <c:pt idx="23">
                  <c:v>7.9567910159419036E-3</c:v>
                </c:pt>
                <c:pt idx="24">
                  <c:v>3.4151810120200124E-3</c:v>
                </c:pt>
                <c:pt idx="25">
                  <c:v>1.1453197427973355E-2</c:v>
                </c:pt>
                <c:pt idx="26">
                  <c:v>-7.0578057994256631E-3</c:v>
                </c:pt>
                <c:pt idx="27">
                  <c:v>2.550340359543156E-3</c:v>
                </c:pt>
                <c:pt idx="28">
                  <c:v>1.7178494390052517E-2</c:v>
                </c:pt>
                <c:pt idx="29">
                  <c:v>8.6660718958922207E-3</c:v>
                </c:pt>
                <c:pt idx="30">
                  <c:v>9.9130140833432415E-3</c:v>
                </c:pt>
                <c:pt idx="31">
                  <c:v>1.2563003569108033E-2</c:v>
                </c:pt>
                <c:pt idx="32">
                  <c:v>1.0302269053746897E-2</c:v>
                </c:pt>
                <c:pt idx="33">
                  <c:v>1.1845032230697859E-2</c:v>
                </c:pt>
                <c:pt idx="34">
                  <c:v>1.5812137486167343E-2</c:v>
                </c:pt>
                <c:pt idx="35">
                  <c:v>6.4424338426487095E-3</c:v>
                </c:pt>
                <c:pt idx="36">
                  <c:v>1.1196331707569125E-2</c:v>
                </c:pt>
                <c:pt idx="37">
                  <c:v>1.6355306556929836E-2</c:v>
                </c:pt>
                <c:pt idx="38">
                  <c:v>1.8864316654284712E-2</c:v>
                </c:pt>
                <c:pt idx="39">
                  <c:v>1.9645783363663027E-2</c:v>
                </c:pt>
                <c:pt idx="40">
                  <c:v>2.1757345717488295E-2</c:v>
                </c:pt>
                <c:pt idx="41">
                  <c:v>1.7558843510312935E-2</c:v>
                </c:pt>
                <c:pt idx="42">
                  <c:v>1.4490320463568988E-2</c:v>
                </c:pt>
                <c:pt idx="43">
                  <c:v>8.1887364565715916E-3</c:v>
                </c:pt>
                <c:pt idx="44">
                  <c:v>1.1848765005004199E-2</c:v>
                </c:pt>
                <c:pt idx="45">
                  <c:v>1.4409139521102451E-2</c:v>
                </c:pt>
                <c:pt idx="46">
                  <c:v>6.703476244611567E-3</c:v>
                </c:pt>
                <c:pt idx="47">
                  <c:v>5.1291629847038502E-3</c:v>
                </c:pt>
                <c:pt idx="48">
                  <c:v>-9.0161340961422125E-3</c:v>
                </c:pt>
                <c:pt idx="49">
                  <c:v>-1.3055370745880361E-2</c:v>
                </c:pt>
                <c:pt idx="50">
                  <c:v>-1.5920401517082978E-2</c:v>
                </c:pt>
                <c:pt idx="51">
                  <c:v>-1.7179700274447596E-2</c:v>
                </c:pt>
                <c:pt idx="52">
                  <c:v>-8.6684082008894048E-3</c:v>
                </c:pt>
                <c:pt idx="53">
                  <c:v>-1.1049163099199281E-3</c:v>
                </c:pt>
                <c:pt idx="54">
                  <c:v>6.6980412825300368E-4</c:v>
                </c:pt>
                <c:pt idx="55">
                  <c:v>2.5288952489001308E-4</c:v>
                </c:pt>
                <c:pt idx="56">
                  <c:v>7.0774761833686424E-4</c:v>
                </c:pt>
                <c:pt idx="57">
                  <c:v>1.6810960057593601E-4</c:v>
                </c:pt>
                <c:pt idx="58">
                  <c:v>-4.9100446948516984E-3</c:v>
                </c:pt>
                <c:pt idx="59">
                  <c:v>-8.2053513989604875E-3</c:v>
                </c:pt>
                <c:pt idx="60">
                  <c:v>-4.1713922268265848E-3</c:v>
                </c:pt>
                <c:pt idx="61">
                  <c:v>1.442590562696701E-3</c:v>
                </c:pt>
                <c:pt idx="62">
                  <c:v>4.0927870215922242E-3</c:v>
                </c:pt>
                <c:pt idx="63">
                  <c:v>6.2570710934959977E-3</c:v>
                </c:pt>
                <c:pt idx="64">
                  <c:v>1.7121586519049338E-3</c:v>
                </c:pt>
                <c:pt idx="65">
                  <c:v>7.3211898779928543E-3</c:v>
                </c:pt>
                <c:pt idx="66">
                  <c:v>1.0839213870763363E-2</c:v>
                </c:pt>
                <c:pt idx="67">
                  <c:v>7.004609756072166E-3</c:v>
                </c:pt>
                <c:pt idx="68">
                  <c:v>1.4711415047218016E-2</c:v>
                </c:pt>
                <c:pt idx="69">
                  <c:v>2.8681351048475672E-2</c:v>
                </c:pt>
                <c:pt idx="70">
                  <c:v>3.2979338155332258E-2</c:v>
                </c:pt>
                <c:pt idx="71">
                  <c:v>3.3374192137650097E-2</c:v>
                </c:pt>
                <c:pt idx="72">
                  <c:v>3.2232628325736562E-2</c:v>
                </c:pt>
                <c:pt idx="73">
                  <c:v>5.959742637049105E-3</c:v>
                </c:pt>
                <c:pt idx="74">
                  <c:v>1.0531780252508387E-2</c:v>
                </c:pt>
                <c:pt idx="75">
                  <c:v>8.2818168492024748E-3</c:v>
                </c:pt>
                <c:pt idx="76">
                  <c:v>7.6799383519559295E-3</c:v>
                </c:pt>
                <c:pt idx="77">
                  <c:v>-1.9449054357005271E-3</c:v>
                </c:pt>
                <c:pt idx="78">
                  <c:v>-2.5346670372717495E-3</c:v>
                </c:pt>
                <c:pt idx="79">
                  <c:v>3.6278847470522964E-3</c:v>
                </c:pt>
                <c:pt idx="80">
                  <c:v>-4.6845278688379191E-3</c:v>
                </c:pt>
                <c:pt idx="81">
                  <c:v>7.3869185246978695E-3</c:v>
                </c:pt>
                <c:pt idx="82">
                  <c:v>1.9632742456774484E-2</c:v>
                </c:pt>
                <c:pt idx="83">
                  <c:v>5.6104647874977648E-3</c:v>
                </c:pt>
                <c:pt idx="84">
                  <c:v>3.5915401175819865E-2</c:v>
                </c:pt>
                <c:pt idx="85">
                  <c:v>3.5869450231313924E-2</c:v>
                </c:pt>
                <c:pt idx="86">
                  <c:v>2.9407490048835357E-2</c:v>
                </c:pt>
                <c:pt idx="87">
                  <c:v>2.0516533590608354E-2</c:v>
                </c:pt>
                <c:pt idx="88">
                  <c:v>2.2656131080968839E-2</c:v>
                </c:pt>
                <c:pt idx="89">
                  <c:v>2.0745586139773356E-2</c:v>
                </c:pt>
                <c:pt idx="90">
                  <c:v>1.7494505186289682E-2</c:v>
                </c:pt>
                <c:pt idx="91">
                  <c:v>2.809542521011283E-2</c:v>
                </c:pt>
                <c:pt idx="92">
                  <c:v>-5.1443921115652096E-3</c:v>
                </c:pt>
                <c:pt idx="93">
                  <c:v>-9.1904219476347648E-3</c:v>
                </c:pt>
                <c:pt idx="94">
                  <c:v>-4.4204932028821418E-3</c:v>
                </c:pt>
                <c:pt idx="95">
                  <c:v>-4.5227277737721156E-3</c:v>
                </c:pt>
                <c:pt idx="96">
                  <c:v>2.3635768629912414E-3</c:v>
                </c:pt>
                <c:pt idx="97">
                  <c:v>-3.4912286592991154E-4</c:v>
                </c:pt>
                <c:pt idx="98">
                  <c:v>-1.1414340777563483E-2</c:v>
                </c:pt>
                <c:pt idx="99">
                  <c:v>-1.8063696454997842E-2</c:v>
                </c:pt>
                <c:pt idx="100">
                  <c:v>-1.9939161537093065E-2</c:v>
                </c:pt>
                <c:pt idx="101">
                  <c:v>-3.8111304816788767E-2</c:v>
                </c:pt>
                <c:pt idx="102">
                  <c:v>-3.6871773279360212E-2</c:v>
                </c:pt>
                <c:pt idx="103">
                  <c:v>8.7361285215264064E-3</c:v>
                </c:pt>
                <c:pt idx="104">
                  <c:v>7.728189491303581E-3</c:v>
                </c:pt>
                <c:pt idx="105">
                  <c:v>-3.3285738367495946E-3</c:v>
                </c:pt>
                <c:pt idx="106">
                  <c:v>-5.353254271560204E-3</c:v>
                </c:pt>
                <c:pt idx="107">
                  <c:v>-9.61907379107667E-3</c:v>
                </c:pt>
                <c:pt idx="108">
                  <c:v>8.1573883995457834E-3</c:v>
                </c:pt>
                <c:pt idx="109">
                  <c:v>8.2467619867901392E-3</c:v>
                </c:pt>
                <c:pt idx="110">
                  <c:v>1.6436134532203821E-2</c:v>
                </c:pt>
                <c:pt idx="111">
                  <c:v>2.7171522385516358E-2</c:v>
                </c:pt>
                <c:pt idx="112">
                  <c:v>2.8716278991534085E-2</c:v>
                </c:pt>
                <c:pt idx="113">
                  <c:v>2.8019530248127023E-2</c:v>
                </c:pt>
                <c:pt idx="114">
                  <c:v>3.4093998750493675E-2</c:v>
                </c:pt>
                <c:pt idx="115">
                  <c:v>7.4922511378594419E-3</c:v>
                </c:pt>
                <c:pt idx="116">
                  <c:v>2.0804317602343896E-2</c:v>
                </c:pt>
                <c:pt idx="117">
                  <c:v>2.8001156966657847E-3</c:v>
                </c:pt>
                <c:pt idx="118">
                  <c:v>2.6438507993145357E-3</c:v>
                </c:pt>
                <c:pt idx="119">
                  <c:v>9.2200200577069423E-3</c:v>
                </c:pt>
                <c:pt idx="120">
                  <c:v>1.3571681769402258E-2</c:v>
                </c:pt>
                <c:pt idx="121">
                  <c:v>-1.8877430437560537E-2</c:v>
                </c:pt>
                <c:pt idx="122">
                  <c:v>-1.3610792801535506E-2</c:v>
                </c:pt>
                <c:pt idx="123">
                  <c:v>-8.6797543766916237E-3</c:v>
                </c:pt>
                <c:pt idx="124">
                  <c:v>-5.6004117296291449E-3</c:v>
                </c:pt>
                <c:pt idx="125">
                  <c:v>-6.9629245498406579E-3</c:v>
                </c:pt>
                <c:pt idx="126">
                  <c:v>-1.0923212097010884E-3</c:v>
                </c:pt>
                <c:pt idx="127">
                  <c:v>9.9668262993435233E-4</c:v>
                </c:pt>
                <c:pt idx="128">
                  <c:v>2.1382159192707008E-2</c:v>
                </c:pt>
                <c:pt idx="129">
                  <c:v>1.7060444583114006E-2</c:v>
                </c:pt>
                <c:pt idx="130">
                  <c:v>1.8542249160374915E-2</c:v>
                </c:pt>
                <c:pt idx="131">
                  <c:v>2.3766507568669038E-2</c:v>
                </c:pt>
                <c:pt idx="132">
                  <c:v>1.4259123191474869E-2</c:v>
                </c:pt>
                <c:pt idx="133">
                  <c:v>9.3529483732094094E-3</c:v>
                </c:pt>
                <c:pt idx="134">
                  <c:v>3.2846728897158411E-3</c:v>
                </c:pt>
                <c:pt idx="135">
                  <c:v>-2.4144879816831956E-4</c:v>
                </c:pt>
                <c:pt idx="136">
                  <c:v>-9.0038868128939601E-4</c:v>
                </c:pt>
                <c:pt idx="137">
                  <c:v>-1.5189951153964012E-3</c:v>
                </c:pt>
                <c:pt idx="138">
                  <c:v>3.7326040229733177E-3</c:v>
                </c:pt>
                <c:pt idx="139">
                  <c:v>8.0365716156134658E-3</c:v>
                </c:pt>
                <c:pt idx="140">
                  <c:v>1.2105443234935427E-2</c:v>
                </c:pt>
                <c:pt idx="141">
                  <c:v>1.5159563703062335E-2</c:v>
                </c:pt>
                <c:pt idx="142">
                  <c:v>2.0250200965311441E-2</c:v>
                </c:pt>
                <c:pt idx="143">
                  <c:v>2.5150707115332727E-2</c:v>
                </c:pt>
                <c:pt idx="144">
                  <c:v>3.3436016182842379E-2</c:v>
                </c:pt>
                <c:pt idx="145">
                  <c:v>8.0516474267055063E-4</c:v>
                </c:pt>
                <c:pt idx="146">
                  <c:v>-1.9422389241094784E-3</c:v>
                </c:pt>
                <c:pt idx="147">
                  <c:v>-2.187496490375513E-2</c:v>
                </c:pt>
                <c:pt idx="148">
                  <c:v>4.3844783174757729E-3</c:v>
                </c:pt>
                <c:pt idx="149">
                  <c:v>5.068158701495862E-3</c:v>
                </c:pt>
                <c:pt idx="150">
                  <c:v>3.0772529536729737E-2</c:v>
                </c:pt>
                <c:pt idx="151">
                  <c:v>3.3566153291438042E-2</c:v>
                </c:pt>
                <c:pt idx="152">
                  <c:v>3.4659799494043693E-2</c:v>
                </c:pt>
                <c:pt idx="153">
                  <c:v>9.9203599623969001E-3</c:v>
                </c:pt>
                <c:pt idx="154">
                  <c:v>1.0605082321822607E-2</c:v>
                </c:pt>
                <c:pt idx="155">
                  <c:v>5.6843148307810778E-3</c:v>
                </c:pt>
                <c:pt idx="156">
                  <c:v>3.1202060753062269E-3</c:v>
                </c:pt>
                <c:pt idx="157">
                  <c:v>-1.8797711973282633E-2</c:v>
                </c:pt>
                <c:pt idx="158">
                  <c:v>-1.3119897489866198E-2</c:v>
                </c:pt>
                <c:pt idx="159">
                  <c:v>-1.348951444454876E-2</c:v>
                </c:pt>
                <c:pt idx="160">
                  <c:v>-1.2112262169059626E-2</c:v>
                </c:pt>
                <c:pt idx="161">
                  <c:v>-1.1137985326239481E-2</c:v>
                </c:pt>
                <c:pt idx="162">
                  <c:v>-1.5191962378396496E-2</c:v>
                </c:pt>
                <c:pt idx="163">
                  <c:v>1.8438248069755215E-3</c:v>
                </c:pt>
                <c:pt idx="164">
                  <c:v>2.6992599660554352E-3</c:v>
                </c:pt>
                <c:pt idx="165">
                  <c:v>7.4794839486489123E-4</c:v>
                </c:pt>
                <c:pt idx="166">
                  <c:v>1.160311088957418E-2</c:v>
                </c:pt>
                <c:pt idx="167">
                  <c:v>3.2570498272409237E-2</c:v>
                </c:pt>
                <c:pt idx="168">
                  <c:v>3.6181962470691817E-2</c:v>
                </c:pt>
                <c:pt idx="169">
                  <c:v>3.6696722559699461E-2</c:v>
                </c:pt>
                <c:pt idx="170">
                  <c:v>3.8843468419728001E-2</c:v>
                </c:pt>
                <c:pt idx="171">
                  <c:v>3.9740341029109401E-2</c:v>
                </c:pt>
                <c:pt idx="172">
                  <c:v>3.9645752092205763E-2</c:v>
                </c:pt>
                <c:pt idx="173">
                  <c:v>3.8899131228189249E-2</c:v>
                </c:pt>
                <c:pt idx="174">
                  <c:v>6.6746691135177103E-3</c:v>
                </c:pt>
                <c:pt idx="175">
                  <c:v>-1.4179274808759254E-2</c:v>
                </c:pt>
                <c:pt idx="176">
                  <c:v>-9.6514191394579708E-3</c:v>
                </c:pt>
                <c:pt idx="177">
                  <c:v>6.8413790947074882E-3</c:v>
                </c:pt>
                <c:pt idx="178">
                  <c:v>-1.9863976421467808E-4</c:v>
                </c:pt>
                <c:pt idx="179">
                  <c:v>-1.3270357149952467E-2</c:v>
                </c:pt>
                <c:pt idx="180">
                  <c:v>-1.6880920970910887E-2</c:v>
                </c:pt>
                <c:pt idx="181">
                  <c:v>-1.3467491760863794E-2</c:v>
                </c:pt>
                <c:pt idx="182">
                  <c:v>-2.4356190822316673E-2</c:v>
                </c:pt>
                <c:pt idx="183">
                  <c:v>-2.9184274671944902E-2</c:v>
                </c:pt>
                <c:pt idx="184">
                  <c:v>-3.9524808610188693E-2</c:v>
                </c:pt>
                <c:pt idx="185">
                  <c:v>-3.4720350396982534E-2</c:v>
                </c:pt>
                <c:pt idx="186">
                  <c:v>-3.5318444819372075E-2</c:v>
                </c:pt>
                <c:pt idx="187">
                  <c:v>-3.0991634883940161E-2</c:v>
                </c:pt>
                <c:pt idx="188">
                  <c:v>-3.2660999307189083E-2</c:v>
                </c:pt>
                <c:pt idx="189">
                  <c:v>-3.5371333063398791E-2</c:v>
                </c:pt>
                <c:pt idx="190">
                  <c:v>-3.30969781074947E-2</c:v>
                </c:pt>
                <c:pt idx="191">
                  <c:v>-3.122395374189571E-2</c:v>
                </c:pt>
                <c:pt idx="192">
                  <c:v>-2.8503612757782137E-2</c:v>
                </c:pt>
                <c:pt idx="193">
                  <c:v>-2.3932029429150292E-2</c:v>
                </c:pt>
                <c:pt idx="194">
                  <c:v>-2.3239017263982333E-2</c:v>
                </c:pt>
                <c:pt idx="195">
                  <c:v>-2.4155661415482449E-2</c:v>
                </c:pt>
                <c:pt idx="196">
                  <c:v>-2.9511474183658317E-2</c:v>
                </c:pt>
                <c:pt idx="197">
                  <c:v>-2.9096951463060568E-2</c:v>
                </c:pt>
                <c:pt idx="198">
                  <c:v>-3.2187976475263232E-2</c:v>
                </c:pt>
                <c:pt idx="199">
                  <c:v>-3.0293223241355208E-2</c:v>
                </c:pt>
                <c:pt idx="200">
                  <c:v>-3.988212896158403E-2</c:v>
                </c:pt>
                <c:pt idx="201">
                  <c:v>7.1693189210673307E-4</c:v>
                </c:pt>
                <c:pt idx="202">
                  <c:v>2.6291528354100407E-3</c:v>
                </c:pt>
                <c:pt idx="203">
                  <c:v>-2.7087888285997532E-3</c:v>
                </c:pt>
                <c:pt idx="204">
                  <c:v>7.0155299653719123E-5</c:v>
                </c:pt>
                <c:pt idx="205">
                  <c:v>2.7106609852863128E-3</c:v>
                </c:pt>
                <c:pt idx="206">
                  <c:v>2.3042279266527468E-4</c:v>
                </c:pt>
                <c:pt idx="207">
                  <c:v>1.2226377204466383E-3</c:v>
                </c:pt>
                <c:pt idx="208">
                  <c:v>1.4901515742248139E-3</c:v>
                </c:pt>
                <c:pt idx="209">
                  <c:v>1.7615245986115167E-2</c:v>
                </c:pt>
                <c:pt idx="210">
                  <c:v>1.9989400516842611E-2</c:v>
                </c:pt>
                <c:pt idx="211">
                  <c:v>2.3281357117477561E-2</c:v>
                </c:pt>
                <c:pt idx="212">
                  <c:v>1.4833699249523071E-2</c:v>
                </c:pt>
                <c:pt idx="213">
                  <c:v>1.1230395576006455E-2</c:v>
                </c:pt>
                <c:pt idx="214">
                  <c:v>1.9476669460911082E-2</c:v>
                </c:pt>
                <c:pt idx="215">
                  <c:v>2.0260586855344181E-2</c:v>
                </c:pt>
                <c:pt idx="216">
                  <c:v>4.1656688607526696E-3</c:v>
                </c:pt>
                <c:pt idx="217">
                  <c:v>5.1222928699825388E-3</c:v>
                </c:pt>
                <c:pt idx="218">
                  <c:v>1.3019844324510419E-2</c:v>
                </c:pt>
                <c:pt idx="219">
                  <c:v>2.4097476964372921E-2</c:v>
                </c:pt>
                <c:pt idx="220">
                  <c:v>1.8777600481678335E-2</c:v>
                </c:pt>
                <c:pt idx="221">
                  <c:v>8.2960330282333926E-3</c:v>
                </c:pt>
                <c:pt idx="222">
                  <c:v>2.5791647758355064E-2</c:v>
                </c:pt>
                <c:pt idx="223">
                  <c:v>3.169504517205414E-2</c:v>
                </c:pt>
                <c:pt idx="224">
                  <c:v>3.0535797857621751E-2</c:v>
                </c:pt>
                <c:pt idx="225">
                  <c:v>2.7989208072124138E-2</c:v>
                </c:pt>
                <c:pt idx="226">
                  <c:v>-2.4810897437614601E-3</c:v>
                </c:pt>
                <c:pt idx="227">
                  <c:v>-1.2480602197400485E-2</c:v>
                </c:pt>
                <c:pt idx="228">
                  <c:v>-2.3318536011872518E-2</c:v>
                </c:pt>
                <c:pt idx="229">
                  <c:v>-2.5828359282200154E-2</c:v>
                </c:pt>
                <c:pt idx="230">
                  <c:v>-2.3145158418524138E-2</c:v>
                </c:pt>
                <c:pt idx="231">
                  <c:v>-1.797813266328956E-2</c:v>
                </c:pt>
                <c:pt idx="232">
                  <c:v>-6.038623421409023E-3</c:v>
                </c:pt>
                <c:pt idx="233">
                  <c:v>-2.0815293480726138E-2</c:v>
                </c:pt>
                <c:pt idx="234">
                  <c:v>-1.6220668219766879E-2</c:v>
                </c:pt>
                <c:pt idx="235">
                  <c:v>-1.6811193767187507E-2</c:v>
                </c:pt>
                <c:pt idx="236">
                  <c:v>-1.8315032937504541E-2</c:v>
                </c:pt>
                <c:pt idx="237">
                  <c:v>-3.102463603377709E-2</c:v>
                </c:pt>
                <c:pt idx="238">
                  <c:v>-1.7325522635572431E-2</c:v>
                </c:pt>
                <c:pt idx="239">
                  <c:v>-2.0810886196374591E-2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198592"/>
        <c:axId val="152415616"/>
      </c:scatterChart>
      <c:valAx>
        <c:axId val="931985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low"/>
        <c:crossAx val="152415616"/>
        <c:crosses val="autoZero"/>
        <c:crossBetween val="midCat"/>
      </c:valAx>
      <c:valAx>
        <c:axId val="15241561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%" sourceLinked="1"/>
        <c:majorTickMark val="out"/>
        <c:minorTickMark val="none"/>
        <c:tickLblPos val="nextTo"/>
        <c:crossAx val="93198592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233362</xdr:colOff>
      <xdr:row>1</xdr:row>
      <xdr:rowOff>133350</xdr:rowOff>
    </xdr:from>
    <xdr:to>
      <xdr:col>21</xdr:col>
      <xdr:colOff>538162</xdr:colOff>
      <xdr:row>18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astagna Matteo" refreshedDate="41942.746279282408" createdVersion="1" refreshedVersion="4" recordCount="1884" upgradeOnRefresh="1">
  <cacheSource type="worksheet">
    <worksheetSource ref="A1:K1885" sheet="Sheet1"/>
  </cacheSource>
  <cacheFields count="11">
    <cacheField name="C_FUND" numFmtId="0">
      <sharedItems/>
    </cacheField>
    <cacheField name="D_NAV" numFmtId="15">
      <sharedItems containsSemiMixedTypes="0" containsNonDate="0" containsDate="1" containsString="0" minDate="2013-10-02T00:00:00" maxDate="2014-10-02T00:00:00"/>
    </cacheField>
    <cacheField name="D_H_PROCESSED" numFmtId="15">
      <sharedItems containsSemiMixedTypes="0" containsNonDate="0" containsDate="1" containsString="0" minDate="2013-10-02T00:00:00" maxDate="2014-10-02T00:00:00" count="240">
        <d v="2013-10-02T00:00:00"/>
        <d v="2013-10-03T00:00:00"/>
        <d v="2013-10-04T00:00:00"/>
        <d v="2013-10-07T00:00:00"/>
        <d v="2013-10-08T00:00:00"/>
        <d v="2013-10-09T00:00:00"/>
        <d v="2013-10-10T00:00:00"/>
        <d v="2013-10-11T00:00:00"/>
        <d v="2013-10-14T00:00:00"/>
        <d v="2013-10-15T00:00:00"/>
        <d v="2013-10-16T00:00:00"/>
        <d v="2013-10-17T00:00:00"/>
        <d v="2013-10-18T00:00:00"/>
        <d v="2013-10-21T00:00:00"/>
        <d v="2013-10-22T00:00:00"/>
        <d v="2013-10-23T00:00:00"/>
        <d v="2013-10-24T00:00:00"/>
        <d v="2013-10-25T00:00:00"/>
        <d v="2013-10-29T00:00:00"/>
        <d v="2013-10-30T00:00:00"/>
        <d v="2013-10-31T00:00:00"/>
        <d v="2013-11-01T00:00:00"/>
        <d v="2013-11-04T00:00:00"/>
        <d v="2013-11-05T00:00:00"/>
        <d v="2013-11-06T00:00:00"/>
        <d v="2013-11-07T00:00:00"/>
        <d v="2013-11-08T00:00:00"/>
        <d v="2013-11-11T00:00:00"/>
        <d v="2013-11-18T00:00:00"/>
        <d v="2013-11-19T00:00:00"/>
        <d v="2013-11-20T00:00:00"/>
        <d v="2013-11-21T00:00:00"/>
        <d v="2013-11-22T00:00:00"/>
        <d v="2013-11-25T00:00:00"/>
        <d v="2013-11-26T00:00:00"/>
        <d v="2013-11-27T00:00:00"/>
        <d v="2013-11-29T00:00:00"/>
        <d v="2013-12-02T00:00:00"/>
        <d v="2013-12-03T00:00:00"/>
        <d v="2013-12-04T00:00:00"/>
        <d v="2013-12-05T00:00:00"/>
        <d v="2013-12-06T00:00:00"/>
        <d v="2013-12-09T00:00:00"/>
        <d v="2013-12-10T00:00:00"/>
        <d v="2013-12-11T00:00:00"/>
        <d v="2013-12-12T00:00:00"/>
        <d v="2013-12-13T00:00:00"/>
        <d v="2013-12-16T00:00:00"/>
        <d v="2013-12-17T00:00:00"/>
        <d v="2013-12-18T00:00:00"/>
        <d v="2013-12-19T00:00:00"/>
        <d v="2013-12-20T00:00:00"/>
        <d v="2013-12-23T00:00:00"/>
        <d v="2013-12-24T00:00:00"/>
        <d v="2013-12-30T00:00:00"/>
        <d v="2013-12-31T00:00:00"/>
        <d v="2014-01-02T00:00:00"/>
        <d v="2014-01-03T00:00:00"/>
        <d v="2014-01-06T00:00:00"/>
        <d v="2014-01-07T00:00:00"/>
        <d v="2014-01-08T00:00:00"/>
        <d v="2014-01-09T00:00:00"/>
        <d v="2014-01-10T00:00:00"/>
        <d v="2014-01-13T00:00:00"/>
        <d v="2014-01-14T00:00:00"/>
        <d v="2014-01-15T00:00:00"/>
        <d v="2014-01-16T00:00:00"/>
        <d v="2014-01-17T00:00:00"/>
        <d v="2014-01-21T00:00:00"/>
        <d v="2014-01-22T00:00:00"/>
        <d v="2014-01-23T00:00:00"/>
        <d v="2014-01-24T00:00:00"/>
        <d v="2014-01-27T00:00:00"/>
        <d v="2014-01-28T00:00:00"/>
        <d v="2014-01-29T00:00:00"/>
        <d v="2014-01-30T00:00:00"/>
        <d v="2014-01-31T00:00:00"/>
        <d v="2014-02-03T00:00:00"/>
        <d v="2014-02-04T00:00:00"/>
        <d v="2014-02-05T00:00:00"/>
        <d v="2014-02-06T00:00:00"/>
        <d v="2014-02-07T00:00:00"/>
        <d v="2014-02-10T00:00:00"/>
        <d v="2014-02-11T00:00:00"/>
        <d v="2014-02-12T00:00:00"/>
        <d v="2014-02-13T00:00:00"/>
        <d v="2014-02-14T00:00:00"/>
        <d v="2014-02-18T00:00:00"/>
        <d v="2014-02-19T00:00:00"/>
        <d v="2014-02-20T00:00:00"/>
        <d v="2014-02-21T00:00:00"/>
        <d v="2014-02-24T00:00:00"/>
        <d v="2014-02-25T00:00:00"/>
        <d v="2014-02-26T00:00:00"/>
        <d v="2014-02-27T00:00:00"/>
        <d v="2014-02-28T00:00:00"/>
        <d v="2014-03-03T00:00:00"/>
        <d v="2014-03-04T00:00:00"/>
        <d v="2014-03-05T00:00:00"/>
        <d v="2014-03-06T00:00:00"/>
        <d v="2014-03-07T00:00:00"/>
        <d v="2014-03-10T00:00:00"/>
        <d v="2014-03-11T00:00:00"/>
        <d v="2014-03-12T00:00:00"/>
        <d v="2014-03-13T00:00:00"/>
        <d v="2014-03-14T00:00:00"/>
        <d v="2014-03-18T00:00:00"/>
        <d v="2014-03-19T00:00:00"/>
        <d v="2014-03-20T00:00:00"/>
        <d v="2014-03-21T00:00:00"/>
        <d v="2014-03-24T00:00:00"/>
        <d v="2014-03-25T00:00:00"/>
        <d v="2014-03-26T00:00:00"/>
        <d v="2014-03-27T00:00:00"/>
        <d v="2014-03-28T00:00:00"/>
        <d v="2014-03-31T00:00:00"/>
        <d v="2014-04-01T00:00:00"/>
        <d v="2014-04-02T00:00:00"/>
        <d v="2014-04-03T00:00:00"/>
        <d v="2014-04-04T00:00:00"/>
        <d v="2014-04-07T00:00:00"/>
        <d v="2014-04-08T00:00:00"/>
        <d v="2014-04-09T00:00:00"/>
        <d v="2014-04-10T00:00:00"/>
        <d v="2014-04-11T00:00:00"/>
        <d v="2014-04-14T00:00:00"/>
        <d v="2014-04-15T00:00:00"/>
        <d v="2014-04-16T00:00:00"/>
        <d v="2014-04-17T00:00:00"/>
        <d v="2014-04-22T00:00:00"/>
        <d v="2014-04-23T00:00:00"/>
        <d v="2014-04-24T00:00:00"/>
        <d v="2014-04-25T00:00:00"/>
        <d v="2014-04-28T00:00:00"/>
        <d v="2014-04-29T00:00:00"/>
        <d v="2014-04-30T00:00:00"/>
        <d v="2014-05-01T00:00:00"/>
        <d v="2014-05-02T00:00:00"/>
        <d v="2014-05-06T00:00:00"/>
        <d v="2014-05-07T00:00:00"/>
        <d v="2014-05-08T00:00:00"/>
        <d v="2014-05-09T00:00:00"/>
        <d v="2014-05-12T00:00:00"/>
        <d v="2014-05-13T00:00:00"/>
        <d v="2014-05-14T00:00:00"/>
        <d v="2014-05-15T00:00:00"/>
        <d v="2014-05-16T00:00:00"/>
        <d v="2014-05-19T00:00:00"/>
        <d v="2014-05-20T00:00:00"/>
        <d v="2014-05-21T00:00:00"/>
        <d v="2014-05-22T00:00:00"/>
        <d v="2014-05-23T00:00:00"/>
        <d v="2014-05-27T00:00:00"/>
        <d v="2014-05-28T00:00:00"/>
        <d v="2014-05-29T00:00:00"/>
        <d v="2014-05-30T00:00:00"/>
        <d v="2014-06-03T00:00:00"/>
        <d v="2014-06-04T00:00:00"/>
        <d v="2014-06-05T00:00:00"/>
        <d v="2014-06-06T00:00:00"/>
        <d v="2014-06-09T00:00:00"/>
        <d v="2014-06-10T00:00:00"/>
        <d v="2014-06-11T00:00:00"/>
        <d v="2014-06-12T00:00:00"/>
        <d v="2014-06-13T00:00:00"/>
        <d v="2014-06-16T00:00:00"/>
        <d v="2014-06-17T00:00:00"/>
        <d v="2014-06-18T00:00:00"/>
        <d v="2014-06-19T00:00:00"/>
        <d v="2014-06-20T00:00:00"/>
        <d v="2014-06-23T00:00:00"/>
        <d v="2014-06-24T00:00:00"/>
        <d v="2014-06-25T00:00:00"/>
        <d v="2014-06-26T00:00:00"/>
        <d v="2014-06-27T00:00:00"/>
        <d v="2014-06-30T00:00:00"/>
        <d v="2014-07-01T00:00:00"/>
        <d v="2014-07-02T00:00:00"/>
        <d v="2014-07-03T00:00:00"/>
        <d v="2014-07-07T00:00:00"/>
        <d v="2014-07-08T00:00:00"/>
        <d v="2014-07-09T00:00:00"/>
        <d v="2014-07-10T00:00:00"/>
        <d v="2014-07-11T00:00:00"/>
        <d v="2014-07-14T00:00:00"/>
        <d v="2014-07-15T00:00:00"/>
        <d v="2014-07-16T00:00:00"/>
        <d v="2014-07-17T00:00:00"/>
        <d v="2014-07-18T00:00:00"/>
        <d v="2014-07-21T00:00:00"/>
        <d v="2014-07-22T00:00:00"/>
        <d v="2014-07-23T00:00:00"/>
        <d v="2014-07-24T00:00:00"/>
        <d v="2014-07-25T00:00:00"/>
        <d v="2014-07-28T00:00:00"/>
        <d v="2014-07-29T00:00:00"/>
        <d v="2014-07-30T00:00:00"/>
        <d v="2014-07-31T00:00:00"/>
        <d v="2014-08-01T00:00:00"/>
        <d v="2014-08-05T00:00:00"/>
        <d v="2014-08-06T00:00:00"/>
        <d v="2014-08-07T00:00:00"/>
        <d v="2014-08-08T00:00:00"/>
        <d v="2014-08-11T00:00:00"/>
        <d v="2014-08-12T00:00:00"/>
        <d v="2014-08-13T00:00:00"/>
        <d v="2014-08-14T00:00:00"/>
        <d v="2014-08-15T00:00:00"/>
        <d v="2014-08-18T00:00:00"/>
        <d v="2014-08-19T00:00:00"/>
        <d v="2014-08-20T00:00:00"/>
        <d v="2014-08-21T00:00:00"/>
        <d v="2014-08-22T00:00:00"/>
        <d v="2014-08-25T00:00:00"/>
        <d v="2014-08-26T00:00:00"/>
        <d v="2014-08-27T00:00:00"/>
        <d v="2014-08-28T00:00:00"/>
        <d v="2014-08-29T00:00:00"/>
        <d v="2014-09-02T00:00:00"/>
        <d v="2014-09-03T00:00:00"/>
        <d v="2014-09-04T00:00:00"/>
        <d v="2014-09-05T00:00:00"/>
        <d v="2014-09-08T00:00:00"/>
        <d v="2014-09-09T00:00:00"/>
        <d v="2014-09-10T00:00:00"/>
        <d v="2014-09-11T00:00:00"/>
        <d v="2014-09-12T00:00:00"/>
        <d v="2014-09-15T00:00:00"/>
        <d v="2014-09-16T00:00:00"/>
        <d v="2014-09-17T00:00:00"/>
        <d v="2014-09-18T00:00:00"/>
        <d v="2014-09-19T00:00:00"/>
        <d v="2014-09-22T00:00:00"/>
        <d v="2014-09-23T00:00:00"/>
        <d v="2014-09-24T00:00:00"/>
        <d v="2014-09-25T00:00:00"/>
        <d v="2014-09-26T00:00:00"/>
        <d v="2014-09-29T00:00:00"/>
        <d v="2014-09-30T00:00:00"/>
        <d v="2014-10-01T00:00:00"/>
      </sharedItems>
    </cacheField>
    <cacheField name="C_SHARE" numFmtId="0">
      <sharedItems/>
    </cacheField>
    <cacheField name="P_SHARE" numFmtId="0">
      <sharedItems containsSemiMixedTypes="0" containsString="0" containsNumber="1" minValue="10.0345" maxValue="24.050699999999999"/>
    </cacheField>
    <cacheField name="Q_SHARE_SUB" numFmtId="0">
      <sharedItems containsSemiMixedTypes="0" containsString="0" containsNumber="1" minValue="0" maxValue="3639388.6170000001"/>
    </cacheField>
    <cacheField name="Q_SHARE_RED" numFmtId="0">
      <sharedItems containsSemiMixedTypes="0" containsString="0" containsNumber="1" minValue="0" maxValue="2815130.3569999998"/>
    </cacheField>
    <cacheField name="A_SHARE_SUB" numFmtId="0">
      <sharedItems containsSemiMixedTypes="0" containsString="0" containsNumber="1" minValue="0" maxValue="78948529.370000005"/>
    </cacheField>
    <cacheField name="A_SHARE_RED" numFmtId="0">
      <sharedItems containsSemiMixedTypes="0" containsString="0" containsNumber="1" minValue="-49729893.090000004" maxValue="0" count="1386">
        <n v="-693096.57"/>
        <n v="0"/>
        <n v="-1180"/>
        <n v="-11378.22"/>
        <n v="-635931.81000000006"/>
        <n v="-2216832.94"/>
        <n v="-48156.9"/>
        <n v="-87094.45"/>
        <n v="-136546.95000000001"/>
        <n v="-374430.47"/>
        <n v="-39257.85"/>
        <n v="-438538.53"/>
        <n v="-52412.38"/>
        <n v="-252488.1"/>
        <n v="-8840.33"/>
        <n v="-4708972.66"/>
        <n v="-145545.97"/>
        <n v="-62984.14"/>
        <n v="-349699.08"/>
        <n v="-969237.09"/>
        <n v="-300036.73"/>
        <n v="-52874.26"/>
        <n v="-4616.01"/>
        <n v="-7270502.9900000002"/>
        <n v="-29.58"/>
        <n v="-247243.7"/>
        <n v="-71675.509999999995"/>
        <n v="-414553.18"/>
        <n v="-11942.92"/>
        <n v="-3279.43"/>
        <n v="-6994.72"/>
        <n v="-8353.48"/>
        <n v="-3164.51"/>
        <n v="-5678.19"/>
        <n v="-623730.98"/>
        <n v="-50.74"/>
        <n v="-16411"/>
        <n v="-7474.84"/>
        <n v="-18263.48"/>
        <n v="-895377.39"/>
        <n v="-63221"/>
        <n v="-364880.83"/>
        <n v="-71707.56"/>
        <n v="-396903.1"/>
        <n v="-914458.67"/>
        <n v="-189688.01"/>
        <n v="-14508.67"/>
        <n v="-7912438.1900000004"/>
        <n v="-6053.87"/>
        <n v="-147148.72"/>
        <n v="-104771.98"/>
        <n v="-10122.18"/>
        <n v="-19289.990000000002"/>
        <n v="-18090.330000000002"/>
        <n v="-6391.02"/>
        <n v="-37126.44"/>
        <n v="-33698.410000000003"/>
        <n v="-1151.1199999999999"/>
        <n v="-110249.99"/>
        <n v="-720191.59"/>
        <n v="-43317.52"/>
        <n v="-1269480.1499999999"/>
        <n v="-241670.76"/>
        <n v="-230795.97"/>
        <n v="-40328.519999999997"/>
        <n v="-10983.12"/>
        <n v="-1164790.79"/>
        <n v="-106642.38"/>
        <n v="-728.59"/>
        <n v="-3392380.6"/>
        <n v="-16735.53"/>
        <n v="-1096241.78"/>
        <n v="-771144.54"/>
        <n v="-302247.38"/>
        <n v="-14471.11"/>
        <n v="-47.34"/>
        <n v="-524043.67"/>
        <n v="-11936.18"/>
        <n v="-25908.99"/>
        <n v="-65359.33"/>
        <n v="-170860.75"/>
        <n v="-5817993.0800000001"/>
        <n v="-2562853.6800000002"/>
        <n v="-483727.65"/>
        <n v="-32725699.870000001"/>
        <n v="-50153.94"/>
        <n v="-87264.39"/>
        <n v="-137752.24"/>
        <n v="-9800.84"/>
        <n v="-887195.58"/>
        <n v="-28061.48"/>
        <n v="-724001.79"/>
        <n v="-164746.01999999999"/>
        <n v="-17390.310000000001"/>
        <n v="-172987.99"/>
        <n v="-16269.3"/>
        <n v="-649.24"/>
        <n v="-1375.95"/>
        <n v="-2455233.52"/>
        <n v="-1211396.3799999999"/>
        <n v="-809509.55"/>
        <n v="-262105.51"/>
        <n v="-3276.86"/>
        <n v="-36.01"/>
        <n v="-786520.11"/>
        <n v="-117436.95"/>
        <n v="-728646.57"/>
        <n v="-12797.27"/>
        <n v="-383787.07"/>
        <n v="-11620.89"/>
        <n v="-2494491.9"/>
        <n v="-938217.72"/>
        <n v="-31633.19"/>
        <n v="-360007.85"/>
        <n v="-1346705.7"/>
        <n v="-22014.66"/>
        <n v="-269078.43"/>
        <n v="-238877.75"/>
        <n v="-553345.38"/>
        <n v="-9258.2199999999993"/>
        <n v="-29158.7"/>
        <n v="-25147.3"/>
        <n v="-22916.52"/>
        <n v="-26879.93"/>
        <n v="-1162547.83"/>
        <n v="-1911045.82"/>
        <n v="-78231.19"/>
        <n v="-86178.45"/>
        <n v="-17301.849999999999"/>
        <n v="-805140.89"/>
        <n v="-11469.95"/>
        <n v="-236060.67"/>
        <n v="-18891.21"/>
        <n v="-942.78"/>
        <n v="-509778.83"/>
        <n v="-358933.26"/>
        <n v="-136484.41"/>
        <n v="-34.770000000000003"/>
        <n v="-1663622.09"/>
        <n v="-2127933.12"/>
        <n v="-2662164.16"/>
        <n v="-552545.74"/>
        <n v="-22.93"/>
        <n v="-16143004.75"/>
        <n v="-312186.53000000003"/>
        <n v="-1415166.17"/>
        <n v="-10601.41"/>
        <n v="-4875077.62"/>
        <n v="-3069729.18"/>
        <n v="-458823.05"/>
        <n v="-410784.62"/>
        <n v="-93252.85"/>
        <n v="-2513949.94"/>
        <n v="-303520.09999999998"/>
        <n v="-589114.38"/>
        <n v="-338992.56"/>
        <n v="-10548.3"/>
        <n v="-1048.52"/>
        <n v="-9531.64"/>
        <n v="-117.03"/>
        <n v="-537967.62"/>
        <n v="-959489.88"/>
        <n v="-269883.78000000003"/>
        <n v="-1071148.2"/>
        <n v="-161.91999999999999"/>
        <n v="-1158941.5"/>
        <n v="-212497.64"/>
        <n v="-668562.07999999996"/>
        <n v="-28380.45"/>
        <n v="-58533.9"/>
        <n v="-39878.83"/>
        <n v="-64.08"/>
        <n v="-30137.34"/>
        <n v="-256410.41"/>
        <n v="-100936.4"/>
        <n v="-3125.39"/>
        <n v="-141020.01"/>
        <n v="-223866.85"/>
        <n v="-801942.82"/>
        <n v="-195.73"/>
        <n v="-1656444.13"/>
        <n v="-52970.21"/>
        <n v="-18061.099999999999"/>
        <n v="-1322090.57"/>
        <n v="-1508680.54"/>
        <n v="-631377.72"/>
        <n v="-6882.07"/>
        <n v="-93307.35"/>
        <n v="-5847.36"/>
        <n v="-821794.13"/>
        <n v="-15154.42"/>
        <n v="-1273.06"/>
        <n v="-2042.16"/>
        <n v="-78350.75"/>
        <n v="-31726.67"/>
        <n v="-110184.53"/>
        <n v="-9663.4599999999991"/>
        <n v="-48022.35"/>
        <n v="-700726.88"/>
        <n v="-55554.44"/>
        <n v="-53174.33"/>
        <n v="-7443.98"/>
        <n v="-57.64"/>
        <n v="-321500.09000000003"/>
        <n v="-80267.399999999994"/>
        <n v="-42100.06"/>
        <n v="-136825.92000000001"/>
        <n v="-475023.37"/>
        <n v="-179086.5"/>
        <n v="-41404.58"/>
        <n v="-10871.6"/>
        <n v="-604.20000000000005"/>
        <n v="-684154.28"/>
        <n v="-260127.5"/>
        <n v="-6963.76"/>
        <n v="-1370781.8"/>
        <n v="-22545.96"/>
        <n v="-6140.45"/>
        <n v="-66.87"/>
        <n v="-893729.81"/>
        <n v="-111384.45"/>
        <n v="-184521.09"/>
        <n v="-2039531.84"/>
        <n v="-1401.27"/>
        <n v="-51.77"/>
        <n v="-92625.94"/>
        <n v="-122776.78"/>
        <n v="-23687.33"/>
        <n v="-302955.07"/>
        <n v="-28532.400000000001"/>
        <n v="-3337624.7"/>
        <n v="-2838.7"/>
        <n v="-94734.61"/>
        <n v="-557576.30000000005"/>
        <n v="-11433.93"/>
        <n v="-18004.61"/>
        <n v="-22249205.170000002"/>
        <n v="-6295148.1799999997"/>
        <n v="-316791.90999999997"/>
        <n v="-193471.84"/>
        <n v="-567703.5"/>
        <n v="-435100.58"/>
        <n v="-2244687.2599999998"/>
        <n v="-601106.34"/>
        <n v="-20942.55"/>
        <n v="-19854.72"/>
        <n v="-166853.23000000001"/>
        <n v="-24695.51"/>
        <n v="-144070.01999999999"/>
        <n v="-25353.03"/>
        <n v="-87480.78"/>
        <n v="-44080.97"/>
        <n v="-1277629.01"/>
        <n v="-830463.94"/>
        <n v="-3567409.13"/>
        <n v="-529345.07999999996"/>
        <n v="-218590.73"/>
        <n v="-645242.4"/>
        <n v="-29431.87"/>
        <n v="-49124.44"/>
        <n v="-2999936.27"/>
        <n v="-24733.11"/>
        <n v="-37139.85"/>
        <n v="-1733947.4"/>
        <n v="-21440.7"/>
        <n v="-1977.9"/>
        <n v="-229886.05"/>
        <n v="-47605.61"/>
        <n v="-387909.58"/>
        <n v="-1417487.22"/>
        <n v="-97477.68"/>
        <n v="-638521.12"/>
        <n v="-611210.26"/>
        <n v="-199751.78"/>
        <n v="-170262.15"/>
        <n v="-164.63"/>
        <n v="-131770.35999999999"/>
        <n v="-48451.5"/>
        <n v="-12674.02"/>
        <n v="-9556.75"/>
        <n v="-441755.27"/>
        <n v="-199071.96"/>
        <n v="-25177.64"/>
        <n v="-22024.49"/>
        <n v="-209304.76"/>
        <n v="-26139.37"/>
        <n v="-238293.73"/>
        <n v="-1035.6300000000001"/>
        <n v="-62.68"/>
        <n v="-409796.25"/>
        <n v="-511975.61"/>
        <n v="-603854.05000000005"/>
        <n v="-20540.150000000001"/>
        <n v="-533728.75"/>
        <n v="-1045.27"/>
        <n v="-7488.96"/>
        <n v="-123690.19"/>
        <n v="-25698.11"/>
        <n v="-124312.15"/>
        <n v="-83282.7"/>
        <n v="-311596.87"/>
        <n v="-206306.39"/>
        <n v="-619422.71"/>
        <n v="-799819.24"/>
        <n v="-139156.29"/>
        <n v="-209546"/>
        <n v="-734643.49"/>
        <n v="-87701.68"/>
        <n v="-954006.01"/>
        <n v="-170910.76"/>
        <n v="-17.89"/>
        <n v="-385404.2"/>
        <n v="-132174.71"/>
        <n v="-7601.6"/>
        <n v="-22074.6"/>
        <n v="-12136.49"/>
        <n v="-226197.88"/>
        <n v="-24156.02"/>
        <n v="-16.559999999999999"/>
        <n v="-499402.79"/>
        <n v="-974.84"/>
        <n v="-50251.67"/>
        <n v="-10781.98"/>
        <n v="-8044.97"/>
        <n v="-2428.9899999999998"/>
        <n v="-310106.23999999999"/>
        <n v="-152829.81"/>
        <n v="-25422.44"/>
        <n v="-14689.62"/>
        <n v="-31512.16"/>
        <n v="-254244.69"/>
        <n v="-1359.6"/>
        <n v="-271142.09999999998"/>
        <n v="-254509.79"/>
        <n v="-36249.42"/>
        <n v="-4894.5600000000004"/>
        <n v="-57961.31"/>
        <n v="-1875.58"/>
        <n v="-143413.41"/>
        <n v="-2045888"/>
        <n v="-273277.17"/>
        <n v="-190981.75"/>
        <n v="-4004.71"/>
        <n v="-35029.279999999999"/>
        <n v="-166.03"/>
        <n v="-56517.79"/>
        <n v="-163666.79"/>
        <n v="-218664.36"/>
        <n v="-314126.3"/>
        <n v="-997.71"/>
        <n v="-70.89"/>
        <n v="-29088.79"/>
        <n v="-74448.929999999993"/>
        <n v="-10961.37"/>
        <n v="-11983.4"/>
        <n v="-1934.62"/>
        <n v="-1174104.74"/>
        <n v="-17835.12"/>
        <n v="-747528.07"/>
        <n v="-91457.87"/>
        <n v="-41916.53"/>
        <n v="-53295.14"/>
        <n v="-47821.45"/>
        <n v="-17675.45"/>
        <n v="-12761.73"/>
        <n v="-943.51"/>
        <n v="-353300.27"/>
        <n v="-120540.21"/>
        <n v="-11241.52"/>
        <n v="-10952.42"/>
        <n v="-19122.22"/>
        <n v="-358.31"/>
        <n v="-21684"/>
        <n v="-362417.75"/>
        <n v="-51001.34"/>
        <n v="-360237.23"/>
        <n v="-13887.06"/>
        <n v="-30760.400000000001"/>
        <n v="-29632.46"/>
        <n v="-630484.14"/>
        <n v="-941323.47"/>
        <n v="-473285.65"/>
        <n v="-1225108.1499999999"/>
        <n v="-1398502.26"/>
        <n v="-3399.62"/>
        <n v="-31269.68"/>
        <n v="-2346861.34"/>
        <n v="-255550.68"/>
        <n v="-53523.25"/>
        <n v="-46061.1"/>
        <n v="-11076496.539999999"/>
        <n v="-964010.83"/>
        <n v="-65030.42"/>
        <n v="-49729893.090000004"/>
        <n v="-2331045.77"/>
        <n v="-26374.57"/>
        <n v="-104622.96"/>
        <n v="-91038.81"/>
        <n v="-218065.65"/>
        <n v="-7503.38"/>
        <n v="-895064.8"/>
        <n v="-122302.74"/>
        <n v="-28658.33"/>
        <n v="-23370.639999999999"/>
        <n v="-4333955.47"/>
        <n v="-2940.15"/>
        <n v="-195039.57"/>
        <n v="-44217.45"/>
        <n v="-157742.23000000001"/>
        <n v="-2572674.9900000002"/>
        <n v="-2942734.81"/>
        <n v="-11202.71"/>
        <n v="-167729.25"/>
        <n v="-1263880.43"/>
        <n v="-5160134.6100000003"/>
        <n v="-9054.86"/>
        <n v="-13448.25"/>
        <n v="-771704.78"/>
        <n v="-1176.44"/>
        <n v="-22869.25"/>
        <n v="-16373.65"/>
        <n v="-45402"/>
        <n v="-226126.49"/>
        <n v="-1433848.87"/>
        <n v="-1941930.34"/>
        <n v="-298208.01"/>
        <n v="-7975.92"/>
        <n v="-9169.2900000000009"/>
        <n v="-236.58"/>
        <n v="-19034.2"/>
        <n v="-865.98"/>
        <n v="-35727.65"/>
        <n v="-43059.75"/>
        <n v="-117435.32"/>
        <n v="-64.430000000000007"/>
        <n v="-1233402.44"/>
        <n v="-911185.28"/>
        <n v="-753592.76"/>
        <n v="-2786221.15"/>
        <n v="-21757.53"/>
        <n v="-169.13"/>
        <n v="-300575.86"/>
        <n v="-1638.63"/>
        <n v="-11349870.35"/>
        <n v="-22446.38"/>
        <n v="-128827.31"/>
        <n v="-115208.15"/>
        <n v="-254255.51"/>
        <n v="-180994.74"/>
        <n v="-468729.4"/>
        <n v="-5419.68"/>
        <n v="-26414.639999999999"/>
        <n v="-67.59"/>
        <n v="-3636311.51"/>
        <n v="-627769.47"/>
        <n v="-120217.02"/>
        <n v="-5055.67"/>
        <n v="-3177387.13"/>
        <n v="-96087.59"/>
        <n v="-28014.16"/>
        <n v="-617053"/>
        <n v="-9552.9500000000007"/>
        <n v="-33010.339999999997"/>
        <n v="-5895.99"/>
        <n v="-180978.09"/>
        <n v="-140345.45000000001"/>
        <n v="-299384.12"/>
        <n v="-546326.15"/>
        <n v="-513126"/>
        <n v="-5932.06"/>
        <n v="-23446.09"/>
        <n v="-312326.96000000002"/>
        <n v="-858272.33"/>
        <n v="-302006.14"/>
        <n v="-266442.40000000002"/>
        <n v="-8240.44"/>
        <n v="-4494.67"/>
        <n v="-282745.7"/>
        <n v="-2101245.83"/>
        <n v="-544124.6"/>
        <n v="-2739.5"/>
        <n v="-5814.66"/>
        <n v="-181.87"/>
        <n v="-211634.95"/>
        <n v="-17207.64"/>
        <n v="-230690.95"/>
        <n v="-5411.99"/>
        <n v="-21548.59"/>
        <n v="-164.16"/>
        <n v="-14465846.859999999"/>
        <n v="-39055.230000000003"/>
        <n v="-203796.06"/>
        <n v="-1663.95"/>
        <n v="-7225.85"/>
        <n v="-2106678.0299999998"/>
        <n v="-16199.85"/>
        <n v="-162414.96"/>
        <n v="-4262.1400000000003"/>
        <n v="-21958.83"/>
        <n v="-19406.8"/>
        <n v="-9763.56"/>
        <n v="-16579.46"/>
        <n v="-8394766.5999999996"/>
        <n v="-663937.85"/>
        <n v="-277678.42"/>
        <n v="-281508.63"/>
        <n v="-39164.120000000003"/>
        <n v="-16.690000000000001"/>
        <n v="-184832.9"/>
        <n v="-62329.69"/>
        <n v="-3925.71"/>
        <n v="-25672.38"/>
        <n v="-4621664.43"/>
        <n v="-699950.61"/>
        <n v="-718215.11"/>
        <n v="-272519.45"/>
        <n v="-231735.97"/>
        <n v="-7657.42"/>
        <n v="-13096605.16"/>
        <n v="-18560.93"/>
        <n v="-59348.21"/>
        <n v="-237472.11"/>
        <n v="-249712.82"/>
        <n v="-191365.3"/>
        <n v="-3328152.03"/>
        <n v="-30370.25"/>
        <n v="-2150233.4500000002"/>
        <n v="-280189.56"/>
        <n v="-243812.63"/>
        <n v="-63.43"/>
        <n v="-9290199.1099999994"/>
        <n v="-34943.040000000001"/>
        <n v="-103552.09"/>
        <n v="-334.82"/>
        <n v="-9518.68"/>
        <n v="-5303.56"/>
        <n v="-6847.96"/>
        <n v="-4640909.24"/>
        <n v="-2137823.0699999998"/>
        <n v="-308233"/>
        <n v="-235690.13"/>
        <n v="-6394.63"/>
        <n v="-633019.43999999994"/>
        <n v="-29985.15"/>
        <n v="-164630.65"/>
        <n v="-381805.69"/>
        <n v="-1010.39"/>
        <n v="-50886"/>
        <n v="-429.37"/>
        <n v="-1457503.49"/>
        <n v="-181730.6"/>
        <n v="-57606.47"/>
        <n v="-2611899.5499999998"/>
        <n v="-28604.959999999999"/>
        <n v="-17624.599999999999"/>
        <n v="-68.38"/>
        <n v="-9712705.0299999993"/>
        <n v="-52668.83"/>
        <n v="-349588.05"/>
        <n v="-5024.34"/>
        <n v="-334137.28000000003"/>
        <n v="-1037.6400000000001"/>
        <n v="-50535.31"/>
        <n v="-267633.02"/>
        <n v="-784775.51"/>
        <n v="-151473.62"/>
        <n v="-268.33999999999997"/>
        <n v="-2405533.14"/>
        <n v="-175304.83"/>
        <n v="-304301.58"/>
        <n v="-1109277.1299999999"/>
        <n v="-89059.839999999997"/>
        <n v="-212.6"/>
        <n v="-14354971.59"/>
        <n v="-21741.05"/>
        <n v="-101766.53"/>
        <n v="-42230.18"/>
        <n v="-3687.8"/>
        <n v="-1134.07"/>
        <n v="-213.98"/>
        <n v="-12395.25"/>
        <n v="-910309.41"/>
        <n v="-930574.88"/>
        <n v="-150466.07999999999"/>
        <n v="-1518.73"/>
        <n v="-159189.57999999999"/>
        <n v="-56998.48"/>
        <n v="-2032.16"/>
        <n v="-335560.95"/>
        <n v="-15526"/>
        <n v="-14470.54"/>
        <n v="-413643.58"/>
        <n v="-22647.27"/>
        <n v="-166.29"/>
        <n v="-16.62"/>
        <n v="-27888.5"/>
        <n v="-34364.050000000003"/>
        <n v="-20553.919999999998"/>
        <n v="-203855.89"/>
        <n v="-162713.26"/>
        <n v="-18374.77"/>
        <n v="-310682.13"/>
        <n v="-140032.38"/>
        <n v="-16590.79"/>
        <n v="-431.87"/>
        <n v="-410.79"/>
        <n v="-22064.799999999999"/>
        <n v="-668272.21"/>
        <n v="-53643.51"/>
        <n v="-22570.41"/>
        <n v="-9653.35"/>
        <n v="-8592.93"/>
        <n v="-9971.93"/>
        <n v="-12349.98"/>
        <n v="-9712.43"/>
        <n v="-93403.44"/>
        <n v="-42770.95"/>
        <n v="-18.53"/>
        <n v="-9482.39"/>
        <n v="-191.57"/>
        <n v="-149783.29999999999"/>
        <n v="-40438.910000000003"/>
        <n v="-90090.13"/>
        <n v="-1443.74"/>
        <n v="-24146.61"/>
        <n v="-312.36"/>
        <n v="-139097.96"/>
        <n v="-12595.83"/>
        <n v="-6615.59"/>
        <n v="-541.58000000000004"/>
        <n v="-1113727.69"/>
        <n v="-289922"/>
        <n v="-7550848.2400000002"/>
        <n v="-5335.68"/>
        <n v="-17292.7"/>
        <n v="-1472195.21"/>
        <n v="-553679.46"/>
        <n v="-455736.64"/>
        <n v="-11135.74"/>
        <n v="-271.51"/>
        <n v="-499030.52"/>
        <n v="-1855856.94"/>
        <n v="-216224.21"/>
        <n v="-174863.05"/>
        <n v="-1668.04"/>
        <n v="-204.44"/>
        <n v="-98159.75"/>
        <n v="-53588.36"/>
        <n v="-2501.38"/>
        <n v="-2958506.76"/>
        <n v="-1576628.87"/>
        <n v="-333287.64"/>
        <n v="-8325945.4900000002"/>
        <n v="-116.98"/>
        <n v="-376320.71"/>
        <n v="-127362.46"/>
        <n v="-66975.509999999995"/>
        <n v="-32810.199999999997"/>
        <n v="-551543.75"/>
        <n v="-61836.88"/>
        <n v="-51584.32"/>
        <n v="-8722.66"/>
        <n v="-4298.21"/>
        <n v="-8026.48"/>
        <n v="-527.05999999999995"/>
        <n v="-13808.3"/>
        <n v="-45136.160000000003"/>
        <n v="-370840"/>
        <n v="-10996.08"/>
        <n v="-3740.19"/>
        <n v="-1203.8699999999999"/>
        <n v="-741994.72"/>
        <n v="-93804.89"/>
        <n v="-51965.53"/>
        <n v="-23617.25"/>
        <n v="-16389.03"/>
        <n v="-11113.78"/>
        <n v="-642.85"/>
        <n v="-177639.48"/>
        <n v="-45751.62"/>
        <n v="-100821.28"/>
        <n v="-33413.47"/>
        <n v="-85210.93"/>
        <n v="-353764.85"/>
        <n v="-7805.2"/>
        <n v="-68676.55"/>
        <n v="-154765.22"/>
        <n v="-19828.22"/>
        <n v="-104.77"/>
        <n v="-1241.3499999999999"/>
        <n v="-212508.02"/>
        <n v="-2708.43"/>
        <n v="-108451.5"/>
        <n v="-2562.38"/>
        <n v="-294.94"/>
        <n v="-231.45"/>
        <n v="-178221.03"/>
        <n v="-1375070.21"/>
        <n v="-971111.48"/>
        <n v="-19420.87"/>
        <n v="-12268.68"/>
        <n v="-5993.79"/>
        <n v="-9909.73"/>
        <n v="-168.28"/>
        <n v="-101.57"/>
        <n v="-310824"/>
        <n v="-213199.6"/>
        <n v="-348054.39"/>
        <n v="-171462.77"/>
        <n v="-6051.06"/>
        <n v="-34.119999999999997"/>
        <n v="-386728.67"/>
        <n v="-30219.15"/>
        <n v="-66824.03"/>
        <n v="-10065.049999999999"/>
        <n v="-22481.31"/>
        <n v="-22367.14"/>
        <n v="-16.940000000000001"/>
        <n v="-9032842.4100000001"/>
        <n v="-21835.22"/>
        <n v="-283793.25"/>
        <n v="-360528.79"/>
        <n v="-6804.17"/>
        <n v="-529.29"/>
        <n v="-143.15"/>
        <n v="-541690.69999999995"/>
        <n v="-184496.64000000001"/>
        <n v="-709016.36"/>
        <n v="-620452.75"/>
        <n v="-419940.66"/>
        <n v="-3894.88"/>
        <n v="-46947.92"/>
        <n v="-1653999.53"/>
        <n v="-25157.3"/>
        <n v="-94009.47"/>
        <n v="-731.29"/>
        <n v="-898844.69"/>
        <n v="-281.45"/>
        <n v="-903924.96"/>
        <n v="-268841.09999999998"/>
        <n v="-734816.28"/>
        <n v="-60967.47"/>
        <n v="-154339.03"/>
        <n v="-647878.14"/>
        <n v="-581126.43000000005"/>
        <n v="-42589.34"/>
        <n v="-8727.16"/>
        <n v="-35274.18"/>
        <n v="-16676.46"/>
        <n v="-6212.59"/>
        <n v="-29376.92"/>
        <n v="-314355.71000000002"/>
        <n v="-25750.65"/>
        <n v="-3927.21"/>
        <n v="-16.899999999999999"/>
        <n v="-40987.050000000003"/>
        <n v="-8978.58"/>
        <n v="-7115.68"/>
        <n v="-15820.83"/>
        <n v="-40846.82"/>
        <n v="-278.56"/>
        <n v="-128222.02"/>
        <n v="-48816.13"/>
        <n v="-178559.53"/>
        <n v="-88908.65"/>
        <n v="-181181.92"/>
        <n v="-433620.17"/>
        <n v="-25454.53"/>
        <n v="-22394.36"/>
        <n v="-11224.19"/>
        <n v="-39.21"/>
        <n v="-658032.97"/>
        <n v="-20084.22"/>
        <n v="-136882.48000000001"/>
        <n v="-397823.29"/>
        <n v="-1119.67"/>
        <n v="-205867.69"/>
        <n v="-120703.7"/>
        <n v="-85861.5"/>
        <n v="-3329.67"/>
        <n v="-22.13"/>
        <n v="-2584168.9900000002"/>
        <n v="-186700"/>
        <n v="-96.8"/>
        <n v="-48056.69"/>
        <n v="-42427.43"/>
        <n v="-142.03"/>
        <n v="-680.45"/>
        <n v="-211435.47"/>
        <n v="-31820.13"/>
        <n v="-52127.72"/>
        <n v="-36486.379999999997"/>
        <n v="-1511.56"/>
        <n v="-607454.5"/>
        <n v="-120678.64"/>
        <n v="-133439.43"/>
        <n v="-100281.05"/>
        <n v="-2291.6999999999998"/>
        <n v="-20716.22"/>
        <n v="-15691.73"/>
        <n v="-99.68"/>
        <n v="-103054.96"/>
        <n v="-357104.72"/>
        <n v="-1052.3599999999999"/>
        <n v="-1651842"/>
        <n v="-118188.13"/>
        <n v="-18961.32"/>
        <n v="-1486.1"/>
        <n v="-3734561.55"/>
        <n v="-217048.98"/>
        <n v="-336430.1"/>
        <n v="-43615.040000000001"/>
        <n v="-4696309.63"/>
        <n v="-409.22"/>
        <n v="-594.78"/>
        <n v="-24687"/>
        <n v="-2056059.47"/>
        <n v="-98045.45"/>
        <n v="-158558.79"/>
        <n v="-183467.1"/>
        <n v="-9815295.2200000007"/>
        <n v="-2307745.42"/>
        <n v="-169.37"/>
        <n v="-274.44"/>
        <n v="-6789.17"/>
        <n v="-194091.6"/>
        <n v="-45160.22"/>
        <n v="-201294.5"/>
        <n v="-7287.61"/>
        <n v="-20825.57"/>
        <n v="-165.49"/>
        <n v="-1747.97"/>
        <n v="-425879.13"/>
        <n v="-62027.83"/>
        <n v="-41712.61"/>
        <n v="-1893953.04"/>
        <n v="-41772.339999999997"/>
        <n v="-475807.9"/>
        <n v="-8247.6299999999992"/>
        <n v="-726845.66"/>
        <n v="-306.02"/>
        <n v="-220.74"/>
        <n v="-77428.12"/>
        <n v="-204103.73"/>
        <n v="-37530.78"/>
        <n v="-9980.42"/>
        <n v="-4326.22"/>
        <n v="-15533.83"/>
        <n v="-85134.8"/>
        <n v="-52065.5"/>
        <n v="-221492.44"/>
        <n v="-232391.38"/>
        <n v="-2127289.59"/>
        <n v="-32412.94"/>
        <n v="-550.73"/>
        <n v="-4086.15"/>
        <n v="-941021.55"/>
        <n v="-40435.870000000003"/>
        <n v="-178326.93"/>
        <n v="-8644.86"/>
        <n v="-820.14"/>
        <n v="-29412.16"/>
        <n v="-2358.46"/>
        <n v="-129027.19"/>
        <n v="-2176144.6"/>
        <n v="-10060.15"/>
        <n v="-168.91"/>
        <n v="-76628.73"/>
        <n v="-442658.31"/>
        <n v="-673706.61"/>
        <n v="-852168.34"/>
        <n v="-101296.79"/>
        <n v="-34777.629999999997"/>
        <n v="-2679.39"/>
        <n v="-411249.42"/>
        <n v="-10528.43"/>
        <n v="-309702.81"/>
        <n v="-14765731.199999999"/>
        <n v="-24070.42"/>
        <n v="-8818.98"/>
        <n v="-7472.46"/>
        <n v="-409.44"/>
        <n v="-141936.23000000001"/>
        <n v="-103379.82"/>
        <n v="-294717.78999999998"/>
        <n v="-40683.22"/>
        <n v="-159.52000000000001"/>
        <n v="-109585.04"/>
        <n v="-56297.72"/>
        <n v="-85272.69"/>
        <n v="-18.78"/>
        <n v="-1145176.74"/>
        <n v="-7072.07"/>
        <n v="-12358.74"/>
        <n v="-62.37"/>
        <n v="-10905.2"/>
        <n v="-451997.46"/>
        <n v="-70118.77"/>
        <n v="-123101.5"/>
        <n v="-345193.03"/>
        <n v="-7955.79"/>
        <n v="-72.28"/>
        <n v="-746.53"/>
        <n v="-423908.41"/>
        <n v="-26451.97"/>
        <n v="-46842.99"/>
        <n v="-7936.05"/>
        <n v="-8892.1"/>
        <n v="-2078.8200000000002"/>
        <n v="-606621.47"/>
        <n v="-391474.22"/>
        <n v="-42089.78"/>
        <n v="-144731.79"/>
        <n v="-614297.55000000005"/>
        <n v="-247125.1"/>
        <n v="-16103.26"/>
        <n v="-175"/>
        <n v="-606.14"/>
        <n v="-1845022.42"/>
        <n v="-84766.23"/>
        <n v="-64663.68"/>
        <n v="-156426.04"/>
        <n v="-91248.5"/>
        <n v="-19029.88"/>
        <n v="-172.95"/>
        <n v="-21636"/>
        <n v="-598243.86"/>
        <n v="-91515.78"/>
        <n v="-100180.54"/>
        <n v="-145999.1"/>
        <n v="-76.42"/>
        <n v="-1314.99"/>
        <n v="-208294.23"/>
        <n v="-70422.42"/>
        <n v="-2243.75"/>
        <n v="-1346148.13"/>
        <n v="-86311.92"/>
        <n v="-14158.66"/>
        <n v="-131.49"/>
        <n v="-216063.4"/>
        <n v="-80597.52"/>
        <n v="-317975.7"/>
        <n v="-478268.81"/>
        <n v="-16769.919999999998"/>
        <n v="-3467629.6"/>
        <n v="-1362.28"/>
        <n v="-309804.89"/>
        <n v="-53349.35"/>
        <n v="-147918.6"/>
        <n v="-65008.54"/>
        <n v="-33721.910000000003"/>
        <n v="-1481.95"/>
        <n v="-405.23"/>
        <n v="-56983.5"/>
        <n v="-75990.679999999993"/>
        <n v="-112020.28"/>
        <n v="-300245.71000000002"/>
        <n v="-35578.71"/>
        <n v="-432"/>
        <n v="-24951.8"/>
        <n v="-12137.07"/>
        <n v="-87001.18"/>
        <n v="-223679.49"/>
        <n v="-51667.19"/>
        <n v="-2210.64"/>
        <n v="-708.22"/>
        <n v="-191424.21"/>
        <n v="-260208.98"/>
        <n v="-730922.75"/>
        <n v="-57818.91"/>
        <n v="-18855.43"/>
        <n v="-169.09"/>
        <n v="-104.24"/>
        <n v="-2590331.2599999998"/>
        <n v="-37142.730000000003"/>
        <n v="-553797.93000000005"/>
        <n v="-219267.62"/>
        <n v="-13112.36"/>
        <n v="-63237.33"/>
        <n v="-5405.05"/>
        <n v="-35.39"/>
        <n v="-195231.44"/>
        <n v="-180259.87"/>
        <n v="-363815.61"/>
        <n v="-504952"/>
        <n v="-139886.99"/>
        <n v="-77123.94"/>
        <n v="-757631.57"/>
        <n v="-46072.57"/>
        <n v="-297503.51"/>
        <n v="-129434.64"/>
        <n v="-1099.08"/>
        <n v="-40840.5"/>
        <n v="-538809.64"/>
        <n v="-22511.43"/>
        <n v="-356502.21"/>
        <n v="-14459474.92"/>
        <n v="-16873.97"/>
        <n v="-46616.81"/>
        <n v="-7662.6"/>
        <n v="-227.68"/>
        <n v="-234711.75"/>
        <n v="-273974.90000000002"/>
        <n v="-131366.91"/>
        <n v="-94.8"/>
        <n v="-8862085.5999999996"/>
        <n v="-121916.26"/>
        <n v="-1497.57"/>
        <n v="-7669.64"/>
        <n v="-39099.370000000003"/>
        <n v="-28252.44"/>
        <n v="-209321.27"/>
        <n v="-29462.02"/>
        <n v="-650.96"/>
        <n v="-216408.68"/>
        <n v="-24044.15"/>
        <n v="-46470.21"/>
        <n v="-2223.08"/>
        <n v="-33024.5"/>
        <n v="-54.39"/>
        <n v="-120065.60000000001"/>
        <n v="-42687.35"/>
        <n v="-145603.04999999999"/>
        <n v="-3456422.21"/>
        <n v="-991.96"/>
        <n v="-21024.1"/>
        <n v="-7622.45"/>
        <n v="-272.05"/>
        <n v="-114979.07"/>
        <n v="-364288.26"/>
        <n v="-269826.59999999998"/>
        <n v="-5493676.0599999996"/>
        <n v="-24835.43"/>
        <n v="-18443.060000000001"/>
        <n v="-3288.12"/>
        <n v="-285543.49"/>
        <n v="-199837.58"/>
        <n v="-1127622.28"/>
        <n v="-41669.57"/>
        <n v="-5333.84"/>
        <n v="-104.6"/>
        <n v="-3961.47"/>
        <n v="-2872068.26"/>
        <n v="-18447.86"/>
        <n v="-117042.55"/>
        <n v="-634925.66"/>
        <n v="-105605.16"/>
        <n v="-797.81"/>
        <n v="-24502.5"/>
        <n v="-2313775.63"/>
        <n v="-94154.85"/>
        <n v="-30242.36"/>
        <n v="-2616751.31"/>
        <n v="-11642.81"/>
        <n v="-22918.3"/>
        <n v="-38.96"/>
        <n v="-3018.86"/>
        <n v="-1548046.73"/>
        <n v="-10769.07"/>
        <n v="-682138.71"/>
        <n v="-846470.51"/>
        <n v="-1669.43"/>
        <n v="-646826.03"/>
        <n v="-74584.08"/>
        <n v="-1579.89"/>
        <n v="-4016545.74"/>
        <n v="-49419.59"/>
        <n v="-100.22"/>
        <n v="-610063.39"/>
        <n v="-66325.289999999994"/>
        <n v="-2565.66"/>
        <n v="-13031.88"/>
        <n v="-77.22"/>
        <n v="-1151.8800000000001"/>
        <n v="-24000"/>
        <n v="-16629.88"/>
        <n v="-4010.42"/>
        <n v="-229477.45"/>
        <n v="-2469947.88"/>
        <n v="-34501.5"/>
        <n v="-2616.34"/>
        <n v="-1267.45"/>
        <n v="-13532.5"/>
        <n v="-226565.62"/>
        <n v="-40357.74"/>
        <n v="-14451.95"/>
        <n v="-4208.5"/>
        <n v="-875510.58"/>
        <n v="-37950.54"/>
        <n v="-1135071.83"/>
        <n v="-71381.63"/>
        <n v="-13655.97"/>
        <n v="-1002.05"/>
        <n v="-996.61"/>
        <n v="-64637.52"/>
        <n v="-91636.19"/>
        <n v="-982152.95"/>
        <n v="-37412.769999999997"/>
        <n v="-99309.57"/>
        <n v="-326.55"/>
        <n v="-1027.3399999999999"/>
        <n v="-123555.19"/>
        <n v="-90919.55"/>
        <n v="-274986.3"/>
        <n v="-81731.520000000004"/>
        <n v="-1181681.1000000001"/>
        <n v="-171.48"/>
        <n v="-1748.38"/>
        <n v="-228568.12"/>
        <n v="-61045.279999999999"/>
        <n v="-137285.9"/>
        <n v="-780.63"/>
        <n v="-12247"/>
        <n v="-209407.92"/>
        <n v="-43664.86"/>
        <n v="-3302.97"/>
        <n v="-135531.16"/>
        <n v="-8983.57"/>
        <n v="-1066105.06"/>
        <n v="-6461.11"/>
        <n v="-1992.54"/>
        <n v="-204086.18"/>
        <n v="-311857.74"/>
        <n v="-787.62"/>
        <n v="-532954.74"/>
        <n v="-7739.25"/>
        <n v="-1473112.86"/>
        <n v="-3534.89"/>
        <n v="-279.20999999999998"/>
        <n v="-532180.47"/>
        <n v="-17822.169999999998"/>
        <n v="-1149.08"/>
        <n v="-2089026.44"/>
        <n v="-26300.14"/>
        <n v="-4629.16"/>
        <n v="-369197.55"/>
        <n v="-80160.31"/>
        <n v="-119076.87"/>
        <n v="-14046.29"/>
        <n v="-35664.78"/>
        <n v="-1069.8900000000001"/>
        <n v="-921709.5"/>
        <n v="-143355.87"/>
        <n v="-242531.28"/>
        <n v="-1545.65"/>
        <n v="-95120.68"/>
        <n v="-4896.74"/>
        <n v="-246102.68"/>
        <n v="-535482.61"/>
        <n v="-4303.84"/>
        <n v="-863.22"/>
        <n v="-94261.27"/>
        <n v="-37660.82"/>
        <n v="-216621.08"/>
        <n v="-114507.66"/>
        <n v="-4766113.62"/>
        <n v="-4826.29"/>
        <n v="-5354.03"/>
        <n v="-20000"/>
        <n v="-15152.38"/>
        <n v="-388405.06"/>
        <n v="-63052.56"/>
        <n v="-3759235.3"/>
        <n v="-31311.09"/>
        <n v="-699.91"/>
        <n v="-48106.400000000001"/>
        <n v="-13972.47"/>
        <n v="-3803.1"/>
        <n v="-17083.04"/>
        <n v="-4555.08"/>
        <n v="-2472.67"/>
        <n v="-381305.17"/>
        <n v="-393844.16"/>
        <n v="-1150988.94"/>
        <n v="-759132.59"/>
        <n v="-67082.06"/>
        <n v="-62.48"/>
        <n v="-85571.71"/>
        <n v="-100923.45"/>
        <n v="-2429.88"/>
        <n v="-297138.12"/>
        <n v="-12934.01"/>
        <n v="-604.79"/>
        <n v="-5235.76"/>
        <n v="-64187.58"/>
        <n v="-8890.8700000000008"/>
        <n v="-113050.36"/>
        <n v="-758.67"/>
        <n v="-44133.51"/>
        <n v="-3252.86"/>
        <n v="-15573.43"/>
        <n v="-2111471.44"/>
        <n v="-905114.96"/>
        <n v="-7243.85"/>
        <n v="-923.84"/>
        <n v="-155580.51"/>
        <n v="-18599.89"/>
        <n v="-117003.63"/>
        <n v="-17876.580000000002"/>
        <n v="-469.7"/>
        <n v="-99621.13"/>
        <n v="-68229.59"/>
        <n v="-472412.86"/>
        <n v="-2020.55"/>
        <n v="-63207.03"/>
        <n v="-47860.51"/>
        <n v="-5532.44"/>
        <n v="-82087.16"/>
        <n v="-198719.98"/>
        <n v="-53740.45"/>
        <n v="-4838.79"/>
        <n v="-24286.3"/>
        <n v="-1153.22"/>
        <n v="-348212.37"/>
        <n v="-65346.91"/>
        <n v="-2030.26"/>
        <n v="-8386.8799999999992"/>
        <n v="-13167.79"/>
        <n v="-1158.75"/>
        <n v="-288634.12"/>
        <n v="-150005.26"/>
        <n v="-1018130.66"/>
        <n v="-1113644.4099999999"/>
        <n v="-53862.66"/>
        <n v="-30946.36"/>
        <n v="-6225.64"/>
        <n v="-312.08999999999997"/>
        <n v="-965437.75"/>
        <n v="-27096.77"/>
        <n v="-188167.7"/>
        <n v="-9553.99"/>
        <n v="-2799680.8"/>
        <n v="-2297.58"/>
        <n v="-7998.69"/>
        <n v="-376.95"/>
        <n v="-224182.95"/>
        <n v="-95600.48"/>
        <n v="-526489.30000000005"/>
        <n v="-598.11"/>
        <n v="-158424.39000000001"/>
        <n v="-3715.7"/>
        <n v="-103.59"/>
        <n v="-109008.89"/>
        <n v="-28486.560000000001"/>
        <n v="-321478.86"/>
        <n v="-8601.7900000000009"/>
        <n v="-1649.31"/>
        <n v="-318813.26"/>
        <n v="-49926.67"/>
        <n v="-776382.34"/>
        <n v="-18675.05"/>
        <n v="-3487.85"/>
        <n v="-1960397.05"/>
        <n v="-162483.93"/>
        <n v="-223549.05"/>
        <n v="-73813.17"/>
        <n v="-17368.79"/>
        <n v="-182798.34"/>
        <n v="-962.04"/>
        <n v="-364553.27"/>
        <n v="-42075.4"/>
        <n v="-45833.1"/>
        <n v="-493.76"/>
        <n v="-397038.41"/>
        <n v="-41126.230000000003"/>
        <n v="-58579.35"/>
        <n v="-13709.98"/>
        <n v="-487.03"/>
        <n v="-465.17"/>
        <n v="-84330.81"/>
        <n v="-120460.01"/>
        <n v="-4624479.2"/>
        <n v="-13895.49"/>
        <n v="-83028.36"/>
        <n v="-1676.72"/>
        <n v="-2243826.27"/>
        <n v="-724801.15"/>
        <n v="-236501.33"/>
        <n v="-854330.13"/>
        <n v="-1522103.67"/>
        <n v="-12404.89"/>
        <n v="-32711.41"/>
        <n v="-2211.3000000000002"/>
        <n v="-70256.490000000005"/>
        <n v="-32153.63"/>
        <n v="-16100.6"/>
        <n v="-165.16"/>
        <n v="-39880.620000000003"/>
        <n v="-108.09"/>
        <n v="-4446.03"/>
        <n v="-44355.6"/>
        <n v="-3147.62"/>
        <n v="-68486.429999999993"/>
        <n v="-4868042.49"/>
        <n v="-87725.08"/>
        <n v="-29121.279999999999"/>
        <n v="-78.709999999999994"/>
        <n v="-4100.57"/>
        <n v="-2942877.75"/>
        <n v="-789953.15"/>
        <n v="-94797.43"/>
        <n v="-5146.8900000000003"/>
        <n v="-4576.38"/>
        <n v="-14159968.65"/>
        <n v="-756271.85"/>
        <n v="-1604253.89"/>
        <n v="-24424.41"/>
        <n v="-336.07"/>
        <n v="-456365.39"/>
        <n v="-43069.63"/>
        <n v="-887901.77"/>
        <n v="-1984534.56"/>
        <n v="-1357825.01"/>
        <n v="-75.650000000000006"/>
        <n v="-3118.35"/>
        <n v="-563788.78"/>
        <n v="-89970.87"/>
        <n v="-237972.96"/>
        <n v="-2913986.27"/>
        <n v="-1417973.4"/>
        <n v="-16674.46"/>
        <n v="-980235.31"/>
        <n v="-10739.76"/>
        <n v="-429534.35"/>
        <n v="-20379.05"/>
        <n v="-52589.760000000002"/>
        <n v="-4940.2"/>
        <n v="-6478.25"/>
        <n v="-93329.31"/>
        <n v="-33937.99"/>
        <n v="-93486.51"/>
        <n v="-8153.5"/>
        <n v="-1775.98"/>
        <n v="-193643.51"/>
        <n v="-208248.7"/>
        <n v="-52144.91"/>
        <n v="-2196.1799999999998"/>
        <n v="-2147.5"/>
        <n v="-800417.81"/>
        <n v="-24350.92"/>
        <n v="-2100"/>
        <n v="-749.31"/>
        <n v="-560.54999999999995"/>
        <n v="-7009243.0800000001"/>
        <n v="-2345535.64"/>
        <n v="-674655.44"/>
        <n v="-744099.5"/>
        <n v="-416921.15"/>
        <n v="-1140821.8"/>
        <n v="-235786.92"/>
        <n v="-10319.1"/>
        <n v="-723.27"/>
        <n v="-72965.2"/>
        <n v="-141656.10999999999"/>
        <n v="-511199.08"/>
        <n v="-13395.3"/>
        <n v="-34261.089999999997"/>
        <n v="-6786.19"/>
        <n v="-127785.91"/>
        <n v="-12568.2"/>
        <n v="-110981.15"/>
        <n v="-38446.980000000003"/>
        <n v="-1727240.43"/>
        <n v="-33778.6"/>
        <n v="-1020.24"/>
        <n v="-283898.08"/>
        <n v="-14234.93"/>
        <n v="-361381.87"/>
        <n v="-1111.3699999999999"/>
        <n v="-5141839.55"/>
        <n v="-16570.73"/>
        <n v="-11776.26"/>
        <n v="-791.81"/>
        <n v="-2000014.22"/>
        <n v="-1257780.18"/>
        <n v="-944568.86"/>
        <n v="-35644.89"/>
        <n v="-133.59"/>
        <n v="-123.2"/>
        <n v="-6852.52"/>
        <n v="-27956.67"/>
        <n v="-57617.42"/>
        <n v="-2216041.25"/>
        <n v="-9153.1"/>
        <n v="-10684.86"/>
        <n v="-531.79999999999995"/>
      </sharedItems>
    </cacheField>
    <cacheField name="A_OUTSTANDING" numFmtId="0">
      <sharedItems containsSemiMixedTypes="0" containsString="0" containsNumber="1" minValue="333.45" maxValue="310771593.25"/>
    </cacheField>
    <cacheField name="Q_OUTSTANDING" numFmtId="0">
      <sharedItems containsSemiMixedTypes="0" containsString="0" containsNumber="1" minValue="25.027999999999999" maxValue="14070465.4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84">
  <r>
    <s v="SK14"/>
    <d v="2013-10-02T00:00:00"/>
    <x v="0"/>
    <s v="AA"/>
    <n v="20.464200000000002"/>
    <n v="98327.607000000004"/>
    <n v="34152.784"/>
    <n v="1995460.48"/>
    <x v="0"/>
    <n v="116535880.19"/>
    <n v="5694608.3820000002"/>
  </r>
  <r>
    <s v="SK14"/>
    <d v="2013-10-02T00:00:00"/>
    <x v="0"/>
    <s v="AB"/>
    <n v="16.475200000000001"/>
    <n v="8286.5110000000004"/>
    <n v="0"/>
    <n v="135391.65"/>
    <x v="1"/>
    <n v="14056268.02"/>
    <n v="853177.74800000002"/>
  </r>
  <r>
    <s v="SK14"/>
    <d v="2013-10-02T00:00:00"/>
    <x v="0"/>
    <s v="AC"/>
    <n v="17.0913"/>
    <n v="11741.258"/>
    <n v="69.617000000000004"/>
    <n v="199011.97"/>
    <x v="2"/>
    <n v="30604323.18"/>
    <n v="1790632.3910000001"/>
  </r>
  <r>
    <s v="SK14"/>
    <d v="2013-10-02T00:00:00"/>
    <x v="0"/>
    <s v="AGH"/>
    <n v="16.5014"/>
    <n v="6852"/>
    <n v="693.98"/>
    <n v="112342.72"/>
    <x v="3"/>
    <n v="123479201.48999999"/>
    <n v="7482939.4529999997"/>
  </r>
  <r>
    <s v="SK14"/>
    <d v="2013-10-02T00:00:00"/>
    <x v="0"/>
    <s v="AI"/>
    <n v="15.696099999999999"/>
    <n v="0"/>
    <n v="40856"/>
    <n v="0"/>
    <x v="4"/>
    <n v="39407180.68"/>
    <n v="2510632.483"/>
  </r>
  <r>
    <s v="SK14"/>
    <d v="2013-10-02T00:00:00"/>
    <x v="0"/>
    <s v="BUI"/>
    <n v="10.067299999999999"/>
    <n v="2111.6170000000002"/>
    <n v="0"/>
    <n v="21082.38"/>
    <x v="1"/>
    <n v="916675.53"/>
    <n v="91054.395000000004"/>
  </r>
  <r>
    <s v="SK14"/>
    <d v="2013-10-02T00:00:00"/>
    <x v="0"/>
    <s v="RGI"/>
    <n v="15.703099999999999"/>
    <n v="2662.723"/>
    <n v="0"/>
    <n v="41464.410000000003"/>
    <x v="1"/>
    <n v="23567473.870000001"/>
    <n v="1500815.257"/>
  </r>
  <r>
    <s v="SK14"/>
    <d v="2013-10-03T00:00:00"/>
    <x v="1"/>
    <s v="AA"/>
    <n v="20.417300000000001"/>
    <n v="6422.5510000000004"/>
    <n v="108327.36900000001"/>
    <n v="131432.38"/>
    <x v="5"/>
    <n v="114187793.54000001"/>
    <n v="5592703.5640000002"/>
  </r>
  <r>
    <s v="SK14"/>
    <d v="2013-10-03T00:00:00"/>
    <x v="1"/>
    <s v="AB"/>
    <n v="16.436699999999998"/>
    <n v="0"/>
    <n v="2922.9929999999999"/>
    <n v="0"/>
    <x v="6"/>
    <n v="13975384.1"/>
    <n v="850254.755"/>
  </r>
  <r>
    <s v="SK14"/>
    <d v="2013-10-03T00:00:00"/>
    <x v="1"/>
    <s v="AC"/>
    <n v="17.051400000000001"/>
    <n v="0"/>
    <n v="5095.8360000000002"/>
    <n v="0"/>
    <x v="7"/>
    <n v="30445931.640000001"/>
    <n v="1785536.5549999999"/>
  </r>
  <r>
    <s v="SK14"/>
    <d v="2013-10-03T00:00:00"/>
    <x v="1"/>
    <s v="AGH"/>
    <n v="16.561499999999999"/>
    <n v="0"/>
    <n v="8274.89"/>
    <n v="0"/>
    <x v="8"/>
    <n v="123791939.97"/>
    <n v="7474664.5630000001"/>
  </r>
  <r>
    <s v="SK14"/>
    <d v="2013-10-03T00:00:00"/>
    <x v="1"/>
    <s v="AI"/>
    <n v="15.660399999999999"/>
    <n v="0"/>
    <n v="23855"/>
    <n v="0"/>
    <x v="9"/>
    <n v="38943964.5"/>
    <n v="2486777.483"/>
  </r>
  <r>
    <s v="SK14"/>
    <d v="2013-10-03T00:00:00"/>
    <x v="1"/>
    <s v="RGI"/>
    <n v="15.667400000000001"/>
    <n v="19385.439999999999"/>
    <n v="2500"/>
    <n v="304412.26"/>
    <x v="10"/>
    <n v="23778417.460000001"/>
    <n v="1517700.6969999999"/>
  </r>
  <r>
    <s v="SK14"/>
    <d v="2013-10-04T00:00:00"/>
    <x v="2"/>
    <s v="AA"/>
    <n v="20.280899999999999"/>
    <n v="780.28899999999999"/>
    <n v="21478.771000000001"/>
    <n v="15931.41"/>
    <x v="11"/>
    <n v="113005492.25"/>
    <n v="5572005.0820000004"/>
  </r>
  <r>
    <s v="SK14"/>
    <d v="2013-10-04T00:00:00"/>
    <x v="2"/>
    <s v="AB"/>
    <n v="16.3263"/>
    <n v="3491.5419999999999"/>
    <n v="3188.741"/>
    <n v="57389.43"/>
    <x v="12"/>
    <n v="13886429.42"/>
    <n v="850557.55599999998"/>
  </r>
  <r>
    <s v="SK14"/>
    <d v="2013-10-04T00:00:00"/>
    <x v="2"/>
    <s v="AC"/>
    <n v="16.936900000000001"/>
    <n v="593.46100000000001"/>
    <n v="14807.471"/>
    <n v="10119.34"/>
    <x v="13"/>
    <n v="30000630.140000001"/>
    <n v="1771322.5449999999"/>
  </r>
  <r>
    <s v="SK14"/>
    <d v="2013-10-04T00:00:00"/>
    <x v="2"/>
    <s v="AGH"/>
    <n v="16.444900000000001"/>
    <n v="0"/>
    <n v="533.78899999999999"/>
    <n v="0"/>
    <x v="14"/>
    <n v="122911250.03"/>
    <n v="7474130.7740000002"/>
  </r>
  <r>
    <s v="SK14"/>
    <d v="2013-10-04T00:00:00"/>
    <x v="2"/>
    <s v="AI"/>
    <n v="15.5562"/>
    <n v="0"/>
    <n v="300693"/>
    <n v="0"/>
    <x v="15"/>
    <n v="34007082.950000003"/>
    <n v="2186084.483"/>
  </r>
  <r>
    <s v="SK14"/>
    <d v="2013-10-04T00:00:00"/>
    <x v="2"/>
    <s v="RGI"/>
    <n v="15.5631"/>
    <n v="12412.361999999999"/>
    <n v="0"/>
    <n v="194469.81"/>
    <x v="1"/>
    <n v="23813295.18"/>
    <n v="1530113.0589999999"/>
  </r>
  <r>
    <s v="SK14"/>
    <d v="2013-10-07T00:00:00"/>
    <x v="3"/>
    <s v="AA"/>
    <n v="20.384599999999999"/>
    <n v="4716.7640000000001"/>
    <n v="7176.5039999999999"/>
    <n v="95660.23"/>
    <x v="16"/>
    <n v="113532706.91"/>
    <n v="5569545.3420000002"/>
  </r>
  <r>
    <s v="SK14"/>
    <d v="2013-10-07T00:00:00"/>
    <x v="3"/>
    <s v="AB"/>
    <n v="16.407699999999998"/>
    <n v="10326.415000000001"/>
    <n v="3857.8330000000001"/>
    <n v="168592.14"/>
    <x v="17"/>
    <n v="14061798.970000001"/>
    <n v="857026.13800000004"/>
  </r>
  <r>
    <s v="SK14"/>
    <d v="2013-10-07T00:00:00"/>
    <x v="3"/>
    <s v="AC"/>
    <n v="17.0213"/>
    <n v="241.35"/>
    <n v="20647.171999999999"/>
    <n v="4087.71"/>
    <x v="18"/>
    <n v="29802872.829999998"/>
    <n v="1750916.723"/>
  </r>
  <r>
    <s v="SK14"/>
    <d v="2013-10-07T00:00:00"/>
    <x v="3"/>
    <s v="AGH"/>
    <n v="16.506"/>
    <n v="7606.9459999999999"/>
    <n v="0"/>
    <n v="125095.05"/>
    <x v="1"/>
    <n v="123493345.56999999"/>
    <n v="7481737.7199999997"/>
  </r>
  <r>
    <s v="SK14"/>
    <d v="2013-10-07T00:00:00"/>
    <x v="3"/>
    <s v="AI"/>
    <n v="15.6366"/>
    <n v="43029"/>
    <n v="0"/>
    <n v="669367.73"/>
    <x v="1"/>
    <n v="34855753.390000001"/>
    <n v="2229113.483"/>
  </r>
  <r>
    <s v="SK14"/>
    <d v="2013-10-07T00:00:00"/>
    <x v="3"/>
    <s v="RGI"/>
    <n v="15.643599999999999"/>
    <n v="6058.067"/>
    <n v="0"/>
    <n v="94281.94"/>
    <x v="1"/>
    <n v="24031196.84"/>
    <n v="1536171.1259999999"/>
  </r>
  <r>
    <s v="SK14"/>
    <d v="2013-10-08T00:00:00"/>
    <x v="4"/>
    <s v="A3"/>
    <n v="16.422799999999999"/>
    <n v="16.431000000000001"/>
    <n v="0"/>
    <n v="271.52999999999997"/>
    <x v="1"/>
    <n v="27023.65"/>
    <n v="1645.492"/>
  </r>
  <r>
    <s v="SK14"/>
    <d v="2013-10-08T00:00:00"/>
    <x v="4"/>
    <s v="AA"/>
    <n v="20.2575"/>
    <n v="49697.184999999998"/>
    <n v="47547.516000000003"/>
    <n v="1013057.23"/>
    <x v="19"/>
    <n v="112868431.36"/>
    <n v="5571695.0109999999"/>
  </r>
  <r>
    <s v="SK14"/>
    <d v="2013-10-08T00:00:00"/>
    <x v="4"/>
    <s v="AB"/>
    <n v="16.3047"/>
    <n v="3488.91"/>
    <n v="18286.335999999999"/>
    <n v="57244.99"/>
    <x v="20"/>
    <n v="13732284.4"/>
    <n v="842228.71200000006"/>
  </r>
  <r>
    <s v="SK14"/>
    <d v="2013-10-08T00:00:00"/>
    <x v="4"/>
    <s v="AC"/>
    <n v="16.9145"/>
    <n v="6927.491"/>
    <n v="3106.3580000000002"/>
    <n v="117914.91"/>
    <x v="21"/>
    <n v="29680473.780000001"/>
    <n v="1754737.8559999999"/>
  </r>
  <r>
    <s v="SK14"/>
    <d v="2013-10-08T00:00:00"/>
    <x v="4"/>
    <s v="AGH"/>
    <n v="16.396999999999998"/>
    <n v="2"/>
    <n v="279.65600000000001"/>
    <n v="33.020000000000003"/>
    <x v="22"/>
    <n v="122673525.59"/>
    <n v="7481460.0640000002"/>
  </r>
  <r>
    <s v="SK14"/>
    <d v="2013-10-08T00:00:00"/>
    <x v="4"/>
    <s v="AI"/>
    <n v="15.539400000000001"/>
    <n v="36493"/>
    <n v="464967"/>
    <n v="570626.43999999994"/>
    <x v="23"/>
    <n v="27980916.859999999"/>
    <n v="1800639.483"/>
  </r>
  <r>
    <s v="SK14"/>
    <d v="2013-10-08T00:00:00"/>
    <x v="4"/>
    <s v="AUI"/>
    <n v="10.202500000000001"/>
    <n v="9753.625"/>
    <n v="0"/>
    <n v="100135.59"/>
    <x v="1"/>
    <n v="134394.67000000001"/>
    <n v="13172.727999999999"/>
  </r>
  <r>
    <s v="SK14"/>
    <d v="2013-10-08T00:00:00"/>
    <x v="4"/>
    <s v="RGI"/>
    <n v="15.5464"/>
    <n v="1027.2529999999999"/>
    <n v="0"/>
    <n v="16070"/>
    <x v="1"/>
    <n v="23897837.66"/>
    <n v="1537198.379"/>
  </r>
  <r>
    <s v="SK14"/>
    <d v="2013-10-08T00:00:00"/>
    <x v="4"/>
    <s v="S4"/>
    <n v="16.408100000000001"/>
    <n v="0"/>
    <n v="1.792"/>
    <n v="0"/>
    <x v="24"/>
    <n v="373366.81"/>
    <n v="22755.016"/>
  </r>
  <r>
    <s v="SK14"/>
    <d v="2013-10-09T00:00:00"/>
    <x v="5"/>
    <s v="AA"/>
    <n v="20.013400000000001"/>
    <n v="2551.817"/>
    <n v="12205.045"/>
    <n v="51693.45"/>
    <x v="25"/>
    <n v="111315556.70999999"/>
    <n v="5562041.7829999998"/>
  </r>
  <r>
    <s v="SK14"/>
    <d v="2013-10-09T00:00:00"/>
    <x v="5"/>
    <s v="AB"/>
    <n v="16.099499999999999"/>
    <n v="30215.938999999998"/>
    <n v="4396.0029999999997"/>
    <n v="492661.81"/>
    <x v="26"/>
    <n v="13975142.32"/>
    <n v="868048.64800000004"/>
  </r>
  <r>
    <s v="SK14"/>
    <d v="2013-10-09T00:00:00"/>
    <x v="5"/>
    <s v="AC"/>
    <n v="16.710799999999999"/>
    <n v="25067.602999999999"/>
    <n v="24508.745999999999"/>
    <n v="424005.97"/>
    <x v="27"/>
    <n v="29332377.140000001"/>
    <n v="1755296.713"/>
  </r>
  <r>
    <s v="SK14"/>
    <d v="2013-10-09T00:00:00"/>
    <x v="5"/>
    <s v="AGH"/>
    <n v="16.137599999999999"/>
    <n v="0"/>
    <n v="728.36199999999997"/>
    <n v="0"/>
    <x v="28"/>
    <n v="120720769.09999999"/>
    <n v="7480731.7019999996"/>
  </r>
  <r>
    <s v="SK14"/>
    <d v="2013-10-09T00:00:00"/>
    <x v="5"/>
    <s v="AI"/>
    <n v="15.353"/>
    <n v="33788"/>
    <n v="0"/>
    <n v="525045.25"/>
    <x v="1"/>
    <n v="28163886.27"/>
    <n v="1834427.483"/>
  </r>
  <r>
    <s v="SK14"/>
    <d v="2013-10-09T00:00:00"/>
    <x v="5"/>
    <s v="RGI"/>
    <n v="15.358000000000001"/>
    <n v="5134.4679999999998"/>
    <n v="0"/>
    <n v="79822.850000000006"/>
    <x v="1"/>
    <n v="23687120.859999999"/>
    <n v="1542332.8470000001"/>
  </r>
  <r>
    <s v="SK14"/>
    <d v="2013-10-09T00:00:00"/>
    <x v="5"/>
    <s v="S4"/>
    <n v="16.206099999999999"/>
    <n v="0"/>
    <n v="199.86600000000001"/>
    <n v="0"/>
    <x v="29"/>
    <n v="365530.68"/>
    <n v="22555.15"/>
  </r>
  <r>
    <s v="SK14"/>
    <d v="2013-10-10T00:00:00"/>
    <x v="6"/>
    <s v="AA"/>
    <n v="20.040800000000001"/>
    <n v="60817.067000000003"/>
    <n v="349.50200000000001"/>
    <n v="1217156.32"/>
    <x v="30"/>
    <n v="112679852.3"/>
    <n v="5622509.3480000002"/>
  </r>
  <r>
    <s v="SK14"/>
    <d v="2013-10-10T00:00:00"/>
    <x v="6"/>
    <s v="AB"/>
    <n v="16.120899999999999"/>
    <n v="28914.11"/>
    <n v="518.86599999999999"/>
    <n v="465502.71"/>
    <x v="31"/>
    <n v="14451467.289999999"/>
    <n v="896443.89199999999"/>
  </r>
  <r>
    <s v="SK14"/>
    <d v="2013-10-10T00:00:00"/>
    <x v="6"/>
    <s v="AC"/>
    <n v="16.733000000000001"/>
    <n v="8899.73"/>
    <n v="189.369"/>
    <n v="148721.60999999999"/>
    <x v="32"/>
    <n v="29517100.73"/>
    <n v="1764007.074"/>
  </r>
  <r>
    <s v="SK14"/>
    <d v="2013-10-10T00:00:00"/>
    <x v="6"/>
    <s v="AGH"/>
    <n v="16.169899999999998"/>
    <n v="0"/>
    <n v="351.86200000000002"/>
    <n v="0"/>
    <x v="33"/>
    <n v="120956955.47"/>
    <n v="7480379.8399999999"/>
  </r>
  <r>
    <s v="SK14"/>
    <d v="2013-10-10T00:00:00"/>
    <x v="6"/>
    <s v="AI"/>
    <n v="15.3743"/>
    <n v="0"/>
    <n v="40626"/>
    <n v="0"/>
    <x v="34"/>
    <n v="27578444.780000001"/>
    <n v="1793801.483"/>
  </r>
  <r>
    <s v="SK14"/>
    <d v="2013-10-10T00:00:00"/>
    <x v="6"/>
    <s v="RGI"/>
    <n v="15.379300000000001"/>
    <n v="3183.8829999999998"/>
    <n v="0"/>
    <n v="48898.18"/>
    <x v="1"/>
    <n v="23769019.600000001"/>
    <n v="1545516.73"/>
  </r>
  <r>
    <s v="SK14"/>
    <d v="2013-10-10T00:00:00"/>
    <x v="6"/>
    <s v="S4"/>
    <n v="16.2285"/>
    <n v="0"/>
    <n v="3.1309999999999998"/>
    <n v="0"/>
    <x v="35"/>
    <n v="365985.58"/>
    <n v="22552.019"/>
  </r>
  <r>
    <s v="SK14"/>
    <d v="2013-10-11T00:00:00"/>
    <x v="7"/>
    <s v="AA"/>
    <n v="20.516200000000001"/>
    <n v="474036.65"/>
    <n v="818.87900000000002"/>
    <n v="9500073.6999999993"/>
    <x v="36"/>
    <n v="125061402.73"/>
    <n v="6095727.1189999999"/>
  </r>
  <r>
    <s v="SK14"/>
    <d v="2013-10-11T00:00:00"/>
    <x v="7"/>
    <s v="AC"/>
    <n v="17.129200000000001"/>
    <n v="40.773000000000003"/>
    <n v="446.71199999999999"/>
    <n v="682.25"/>
    <x v="37"/>
    <n v="30209120.75"/>
    <n v="1763601.135"/>
  </r>
  <r>
    <s v="SK14"/>
    <d v="2013-10-11T00:00:00"/>
    <x v="7"/>
    <s v="AGH"/>
    <n v="16.601099999999999"/>
    <n v="0"/>
    <n v="1129.471"/>
    <n v="0"/>
    <x v="38"/>
    <n v="124163992.33"/>
    <n v="7479250.3689999999"/>
  </r>
  <r>
    <s v="SK14"/>
    <d v="2013-10-11T00:00:00"/>
    <x v="7"/>
    <s v="AI"/>
    <n v="15.7393"/>
    <n v="49330"/>
    <n v="0"/>
    <n v="758414.22"/>
    <x v="1"/>
    <n v="29009630.77"/>
    <n v="1843131.483"/>
  </r>
  <r>
    <s v="SK14"/>
    <d v="2013-10-11T00:00:00"/>
    <x v="7"/>
    <s v="RGI"/>
    <n v="15.7445"/>
    <n v="8810.9809999999998"/>
    <n v="0"/>
    <n v="135506.48000000001"/>
    <x v="1"/>
    <n v="24472065.73"/>
    <n v="1554327.7109999999"/>
  </r>
  <r>
    <s v="SK14"/>
    <d v="2013-10-11T00:00:00"/>
    <x v="7"/>
    <s v="S4"/>
    <n v="16.613700000000001"/>
    <n v="9.0139999999999993"/>
    <n v="0"/>
    <n v="146.28"/>
    <x v="1"/>
    <n v="374822.03"/>
    <n v="22561.032999999999"/>
  </r>
  <r>
    <s v="SK14"/>
    <d v="2013-10-14T00:00:00"/>
    <x v="8"/>
    <s v="A3"/>
    <n v="16.638100000000001"/>
    <n v="16.347999999999999"/>
    <n v="0"/>
    <n v="271.37"/>
    <x v="1"/>
    <n v="27649.78"/>
    <n v="1661.84"/>
  </r>
  <r>
    <s v="SK14"/>
    <d v="2013-10-14T00:00:00"/>
    <x v="8"/>
    <s v="AA"/>
    <n v="20.563600000000001"/>
    <n v="29688.428"/>
    <n v="43642.457999999999"/>
    <n v="609093.73"/>
    <x v="39"/>
    <n v="125063279.55"/>
    <n v="6081773.0889999997"/>
  </r>
  <r>
    <s v="SK14"/>
    <d v="2013-10-14T00:00:00"/>
    <x v="8"/>
    <s v="AB"/>
    <n v="16.538699999999999"/>
    <n v="30837.29"/>
    <n v="3830.9720000000002"/>
    <n v="508895.5"/>
    <x v="40"/>
    <n v="15272672.25"/>
    <n v="923450.21"/>
  </r>
  <r>
    <s v="SK14"/>
    <d v="2013-10-14T00:00:00"/>
    <x v="8"/>
    <s v="AC"/>
    <n v="17.166699999999999"/>
    <n v="17592.401999999998"/>
    <n v="21301.686000000002"/>
    <n v="301343.76"/>
    <x v="41"/>
    <n v="30211486.48"/>
    <n v="1759891.851"/>
  </r>
  <r>
    <s v="SK14"/>
    <d v="2013-10-14T00:00:00"/>
    <x v="8"/>
    <s v="AGH"/>
    <n v="16.628499999999999"/>
    <n v="0"/>
    <n v="4319.4560000000001"/>
    <n v="0"/>
    <x v="42"/>
    <n v="124297200.41"/>
    <n v="7474930.9129999997"/>
  </r>
  <r>
    <s v="SK14"/>
    <d v="2013-10-14T00:00:00"/>
    <x v="8"/>
    <s v="AI"/>
    <n v="15.7766"/>
    <n v="174697"/>
    <n v="0"/>
    <n v="2749608.49"/>
    <x v="1"/>
    <n v="31834543.039999999"/>
    <n v="2017828.483"/>
  </r>
  <r>
    <s v="SK14"/>
    <d v="2013-10-14T00:00:00"/>
    <x v="8"/>
    <s v="RGI"/>
    <n v="15.7818"/>
    <n v="41091.050000000003"/>
    <n v="0"/>
    <n v="646958.93000000005"/>
    <x v="1"/>
    <n v="25178583.93"/>
    <n v="1595418.7609999999"/>
  </r>
  <r>
    <s v="SK14"/>
    <d v="2013-10-15T00:00:00"/>
    <x v="9"/>
    <s v="AA"/>
    <n v="20.657699999999998"/>
    <n v="106845.342"/>
    <n v="19301.244999999999"/>
    <n v="2197124.89"/>
    <x v="43"/>
    <n v="127443756.98999999"/>
    <n v="6169317.1859999998"/>
  </r>
  <r>
    <s v="SK14"/>
    <d v="2013-10-15T00:00:00"/>
    <x v="9"/>
    <s v="AB"/>
    <n v="16.613700000000001"/>
    <n v="6786.0590000000002"/>
    <n v="55292.053"/>
    <n v="112232.6"/>
    <x v="44"/>
    <n v="14536037.25"/>
    <n v="874944.21600000001"/>
  </r>
  <r>
    <s v="SK14"/>
    <d v="2013-10-15T00:00:00"/>
    <x v="9"/>
    <s v="AC"/>
    <n v="17.244499999999999"/>
    <n v="3152.5050000000001"/>
    <n v="11049.766"/>
    <n v="54118.1"/>
    <x v="45"/>
    <n v="30212243.52"/>
    <n v="1751994.59"/>
  </r>
  <r>
    <s v="SK14"/>
    <d v="2013-10-15T00:00:00"/>
    <x v="9"/>
    <s v="AGH"/>
    <n v="16.618600000000001"/>
    <n v="17"/>
    <n v="872.51499999999999"/>
    <n v="282.69"/>
    <x v="46"/>
    <n v="124208407.64"/>
    <n v="7474075.398"/>
  </r>
  <r>
    <s v="SK14"/>
    <d v="2013-10-15T00:00:00"/>
    <x v="9"/>
    <s v="AI"/>
    <n v="15.8491"/>
    <n v="156080"/>
    <n v="501530"/>
    <n v="2462411.73"/>
    <x v="47"/>
    <n v="26505737.75"/>
    <n v="1672378.483"/>
  </r>
  <r>
    <s v="SK14"/>
    <d v="2013-10-15T00:00:00"/>
    <x v="9"/>
    <s v="RGI"/>
    <n v="15.8543"/>
    <n v="6622.8410000000003"/>
    <n v="383.59699999999998"/>
    <n v="104520.65"/>
    <x v="48"/>
    <n v="25393183.719999999"/>
    <n v="1601658.0049999999"/>
  </r>
  <r>
    <s v="SK14"/>
    <d v="2013-10-16T00:00:00"/>
    <x v="10"/>
    <s v="AA"/>
    <n v="20.5063"/>
    <n v="24849.077000000001"/>
    <n v="7123.19"/>
    <n v="513324.79"/>
    <x v="49"/>
    <n v="126873407.58"/>
    <n v="6187043.0729999999"/>
  </r>
  <r>
    <s v="SK14"/>
    <d v="2013-10-16T00:00:00"/>
    <x v="10"/>
    <s v="AB"/>
    <n v="16.491299999999999"/>
    <n v="7468.43"/>
    <n v="6306.36"/>
    <n v="124078.26"/>
    <x v="50"/>
    <n v="14448091.32"/>
    <n v="876106.28599999996"/>
  </r>
  <r>
    <s v="SK14"/>
    <d v="2013-10-16T00:00:00"/>
    <x v="10"/>
    <s v="AC"/>
    <n v="17.1174"/>
    <n v="1915.4570000000001"/>
    <n v="586.98"/>
    <n v="33031.089999999997"/>
    <x v="51"/>
    <n v="30012362.260000002"/>
    <n v="1753323.067"/>
  </r>
  <r>
    <s v="SK14"/>
    <d v="2013-10-16T00:00:00"/>
    <x v="10"/>
    <s v="AGH"/>
    <n v="16.565799999999999"/>
    <n v="0"/>
    <n v="1160.7429999999999"/>
    <n v="0"/>
    <x v="52"/>
    <n v="123794791.94"/>
    <n v="7472914.6550000003"/>
  </r>
  <r>
    <s v="SK14"/>
    <d v="2013-10-16T00:00:00"/>
    <x v="10"/>
    <s v="AI"/>
    <n v="15.7333"/>
    <n v="155209"/>
    <n v="0"/>
    <n v="2459922.96"/>
    <x v="1"/>
    <n v="28754010.449999999"/>
    <n v="1827587.483"/>
  </r>
  <r>
    <s v="SK14"/>
    <d v="2013-10-16T00:00:00"/>
    <x v="10"/>
    <s v="BUI"/>
    <n v="10.0769"/>
    <n v="0"/>
    <n v="1782"/>
    <n v="0"/>
    <x v="53"/>
    <n v="899586.78"/>
    <n v="89272.395000000004"/>
  </r>
  <r>
    <s v="SK14"/>
    <d v="2013-10-16T00:00:00"/>
    <x v="10"/>
    <s v="RGI"/>
    <n v="15.752599999999999"/>
    <n v="11986.554"/>
    <n v="403.11200000000002"/>
    <n v="190037.63"/>
    <x v="54"/>
    <n v="25412749.73"/>
    <n v="1613241.4469999999"/>
  </r>
  <r>
    <s v="SK14"/>
    <d v="2013-10-17T00:00:00"/>
    <x v="11"/>
    <s v="A3"/>
    <n v="16.780200000000001"/>
    <n v="8290.7690000000002"/>
    <n v="0"/>
    <n v="137681.88"/>
    <x v="1"/>
    <n v="167006.47"/>
    <n v="9952.6090000000004"/>
  </r>
  <r>
    <s v="SK14"/>
    <d v="2013-10-17T00:00:00"/>
    <x v="11"/>
    <s v="AA"/>
    <n v="20.7392"/>
    <n v="1090740.219"/>
    <n v="1808.866"/>
    <n v="22387115.800000001"/>
    <x v="55"/>
    <n v="150897880.97999999"/>
    <n v="7275974.426"/>
  </r>
  <r>
    <s v="SK14"/>
    <d v="2013-10-17T00:00:00"/>
    <x v="11"/>
    <s v="AB"/>
    <n v="16.677900000000001"/>
    <n v="133702.18"/>
    <n v="2041.5730000000001"/>
    <n v="2206901.54"/>
    <x v="56"/>
    <n v="16807411.370000001"/>
    <n v="1007766.893"/>
  </r>
  <r>
    <s v="SK14"/>
    <d v="2013-10-17T00:00:00"/>
    <x v="11"/>
    <s v="AC"/>
    <n v="17.3111"/>
    <n v="29487.052"/>
    <n v="67.188000000000002"/>
    <n v="505195.72"/>
    <x v="57"/>
    <n v="30861278.469999999"/>
    <n v="1782742.9310000001"/>
  </r>
  <r>
    <s v="SK14"/>
    <d v="2013-10-17T00:00:00"/>
    <x v="11"/>
    <s v="AGH"/>
    <n v="16.849799999999998"/>
    <n v="1260"/>
    <n v="6649.3209999999999"/>
    <n v="20891.599999999999"/>
    <x v="58"/>
    <n v="125826548.28"/>
    <n v="7467525.3339999998"/>
  </r>
  <r>
    <s v="SK14"/>
    <d v="2013-10-17T00:00:00"/>
    <x v="11"/>
    <s v="AI"/>
    <n v="15.9123"/>
    <n v="6314"/>
    <n v="45734"/>
    <n v="99429.08"/>
    <x v="59"/>
    <n v="28453906.5"/>
    <n v="1788167.483"/>
  </r>
  <r>
    <s v="SK14"/>
    <d v="2013-10-17T00:00:00"/>
    <x v="11"/>
    <s v="AUI"/>
    <n v="10.4244"/>
    <n v="13.159000000000001"/>
    <n v="0"/>
    <n v="135.76"/>
    <x v="1"/>
    <n v="137455.54999999999"/>
    <n v="13185.887000000001"/>
  </r>
  <r>
    <s v="SK14"/>
    <d v="2013-10-17T00:00:00"/>
    <x v="11"/>
    <s v="BUI"/>
    <n v="10.190899999999999"/>
    <n v="2925.415"/>
    <n v="4294.8590000000004"/>
    <n v="29505.439999999999"/>
    <x v="60"/>
    <n v="895810.81"/>
    <n v="87902.951000000001"/>
  </r>
  <r>
    <s v="SK14"/>
    <d v="2013-10-17T00:00:00"/>
    <x v="11"/>
    <s v="RGI"/>
    <n v="15.9175"/>
    <n v="3333.6770000000001"/>
    <n v="0"/>
    <n v="52513.919999999998"/>
    <x v="1"/>
    <n v="25731888.050000001"/>
    <n v="1616575.1240000001"/>
  </r>
  <r>
    <s v="SK14"/>
    <d v="2013-10-18T00:00:00"/>
    <x v="12"/>
    <s v="A3"/>
    <n v="16.955300000000001"/>
    <n v="14254.803"/>
    <n v="0"/>
    <n v="239198.53"/>
    <x v="1"/>
    <n v="410443.59"/>
    <n v="24207.412"/>
  </r>
  <r>
    <s v="SK14"/>
    <d v="2013-10-18T00:00:00"/>
    <x v="12"/>
    <s v="AA"/>
    <n v="20.9556"/>
    <n v="47143.622000000003"/>
    <n v="61211.625999999997"/>
    <n v="977720.98"/>
    <x v="61"/>
    <n v="152177634.72"/>
    <n v="7261906.4220000003"/>
  </r>
  <r>
    <s v="SK14"/>
    <d v="2013-10-18T00:00:00"/>
    <x v="12"/>
    <s v="AB"/>
    <n v="16.851199999999999"/>
    <n v="2683.1770000000001"/>
    <n v="14490.48"/>
    <n v="44749.760000000002"/>
    <x v="62"/>
    <n v="16783131.350000001"/>
    <n v="995959.59"/>
  </r>
  <r>
    <s v="SK14"/>
    <d v="2013-10-18T00:00:00"/>
    <x v="12"/>
    <s v="AC"/>
    <n v="17.491"/>
    <n v="4081.252"/>
    <n v="13332.254000000001"/>
    <n v="70650.960000000006"/>
    <x v="63"/>
    <n v="31020225.440000001"/>
    <n v="1773491.929"/>
  </r>
  <r>
    <s v="SK14"/>
    <d v="2013-10-18T00:00:00"/>
    <x v="12"/>
    <s v="AGH"/>
    <n v="17.114799999999999"/>
    <n v="0"/>
    <n v="2393.4079999999999"/>
    <n v="0"/>
    <x v="64"/>
    <n v="127764210.59999999"/>
    <n v="7465131.926"/>
  </r>
  <r>
    <s v="SK14"/>
    <d v="2013-10-18T00:00:00"/>
    <x v="12"/>
    <s v="AI"/>
    <n v="16.078700000000001"/>
    <n v="50547"/>
    <n v="0"/>
    <n v="804319.03"/>
    <x v="1"/>
    <n v="29564124.280000001"/>
    <n v="1838714.483"/>
  </r>
  <r>
    <s v="SK14"/>
    <d v="2013-10-18T00:00:00"/>
    <x v="12"/>
    <s v="RGI"/>
    <n v="16.084"/>
    <n v="5184.49"/>
    <n v="690"/>
    <n v="82524.44"/>
    <x v="65"/>
    <n v="26073207.739999998"/>
    <n v="1621069.6140000001"/>
  </r>
  <r>
    <s v="SK14"/>
    <d v="2013-10-21T00:00:00"/>
    <x v="13"/>
    <s v="A3"/>
    <n v="16.980399999999999"/>
    <n v="88051.588000000003"/>
    <n v="0"/>
    <n v="1492936.02"/>
    <x v="1"/>
    <n v="1906201.78"/>
    <n v="112259"/>
  </r>
  <r>
    <s v="SK14"/>
    <d v="2013-10-21T00:00:00"/>
    <x v="13"/>
    <s v="AA"/>
    <n v="20.986699999999999"/>
    <n v="7593.5959999999995"/>
    <n v="55583.748"/>
    <n v="159128.38"/>
    <x v="66"/>
    <n v="151396118.71000001"/>
    <n v="7213916.2699999996"/>
  </r>
  <r>
    <s v="SK14"/>
    <d v="2013-10-21T00:00:00"/>
    <x v="13"/>
    <s v="AB"/>
    <n v="16.874099999999999"/>
    <n v="2675.1750000000002"/>
    <n v="6328.4740000000002"/>
    <n v="45079.9"/>
    <x v="67"/>
    <n v="16744300.800000001"/>
    <n v="992306.29099999997"/>
  </r>
  <r>
    <s v="SK14"/>
    <d v="2013-10-21T00:00:00"/>
    <x v="13"/>
    <s v="AC"/>
    <n v="17.514800000000001"/>
    <n v="33657.904999999999"/>
    <n v="41.655000000000001"/>
    <n v="588710.40000000002"/>
    <x v="68"/>
    <n v="31651176.629999999"/>
    <n v="1807108.179"/>
  </r>
  <r>
    <s v="SK14"/>
    <d v="2013-10-21T00:00:00"/>
    <x v="13"/>
    <s v="AGH"/>
    <n v="17.115600000000001"/>
    <n v="244088.22"/>
    <n v="0"/>
    <n v="4177524.09"/>
    <x v="1"/>
    <n v="131947939.63"/>
    <n v="7709220.1459999997"/>
  </r>
  <r>
    <s v="SK14"/>
    <d v="2013-10-21T00:00:00"/>
    <x v="13"/>
    <s v="AI"/>
    <n v="16.1035"/>
    <n v="0"/>
    <n v="210986"/>
    <n v="0"/>
    <x v="69"/>
    <n v="26212162.510000002"/>
    <n v="1627728.483"/>
  </r>
  <r>
    <s v="SK14"/>
    <d v="2013-10-21T00:00:00"/>
    <x v="13"/>
    <s v="AUI"/>
    <n v="10.5488"/>
    <n v="9493.7909999999993"/>
    <n v="1588.836"/>
    <n v="100000"/>
    <x v="70"/>
    <n v="222483.69"/>
    <n v="21090.842000000001"/>
  </r>
  <r>
    <s v="SK14"/>
    <d v="2013-10-21T00:00:00"/>
    <x v="13"/>
    <s v="RGI"/>
    <n v="16.108799999999999"/>
    <n v="6863.9350000000004"/>
    <n v="0"/>
    <n v="110399.02"/>
    <x v="1"/>
    <n v="26224043.899999999"/>
    <n v="1627933.5490000001"/>
  </r>
  <r>
    <s v="SK14"/>
    <d v="2013-10-21T00:00:00"/>
    <x v="13"/>
    <s v="S4"/>
    <n v="16.997"/>
    <n v="1500"/>
    <n v="0"/>
    <n v="25456.57"/>
    <x v="1"/>
    <n v="408964.5"/>
    <n v="24061.032999999999"/>
  </r>
  <r>
    <s v="SK14"/>
    <d v="2013-10-22T00:00:00"/>
    <x v="14"/>
    <s v="A3"/>
    <n v="16.953099999999999"/>
    <n v="296588.90999999997"/>
    <n v="0"/>
    <n v="5036181.33"/>
    <x v="1"/>
    <n v="6931233.4299999997"/>
    <n v="408847.91"/>
  </r>
  <r>
    <s v="SK14"/>
    <d v="2013-10-22T00:00:00"/>
    <x v="14"/>
    <s v="AA"/>
    <n v="20.952999999999999"/>
    <n v="14756.227000000001"/>
    <n v="52235.071000000004"/>
    <n v="309684.47999999998"/>
    <x v="71"/>
    <n v="150367678.18000001"/>
    <n v="7176437.426"/>
  </r>
  <r>
    <s v="SK14"/>
    <d v="2013-10-22T00:00:00"/>
    <x v="14"/>
    <s v="AB"/>
    <n v="16.846299999999999"/>
    <n v="11562.402"/>
    <n v="45699.892999999996"/>
    <n v="195105.11"/>
    <x v="72"/>
    <n v="16141630.25"/>
    <n v="958168.8"/>
  </r>
  <r>
    <s v="SK14"/>
    <d v="2013-10-22T00:00:00"/>
    <x v="14"/>
    <s v="AC"/>
    <n v="17.486000000000001"/>
    <n v="6639.7979999999998"/>
    <n v="17256.684000000001"/>
    <n v="116294.74"/>
    <x v="73"/>
    <n v="31413396.870000001"/>
    <n v="1796491.2930000001"/>
  </r>
  <r>
    <s v="SK14"/>
    <d v="2013-10-22T00:00:00"/>
    <x v="14"/>
    <s v="AGH"/>
    <n v="17.082999999999998"/>
    <n v="9087"/>
    <n v="845.49199999999996"/>
    <n v="155529.57"/>
    <x v="74"/>
    <n v="131837633.91"/>
    <n v="7717461.6540000001"/>
  </r>
  <r>
    <s v="SK14"/>
    <d v="2013-10-22T00:00:00"/>
    <x v="14"/>
    <s v="AI"/>
    <n v="16.077999999999999"/>
    <n v="32065"/>
    <n v="0"/>
    <n v="516358.73"/>
    <x v="1"/>
    <n v="26686143.699999999"/>
    <n v="1659793.483"/>
  </r>
  <r>
    <s v="SK14"/>
    <d v="2013-10-22T00:00:00"/>
    <x v="14"/>
    <s v="RGI"/>
    <n v="16.083300000000001"/>
    <n v="6463.2569999999996"/>
    <n v="0"/>
    <n v="104115.22"/>
    <x v="1"/>
    <n v="26286416.350000001"/>
    <n v="1634396.8060000001"/>
  </r>
  <r>
    <s v="SK14"/>
    <d v="2013-10-22T00:00:00"/>
    <x v="14"/>
    <s v="S4"/>
    <n v="16.969899999999999"/>
    <n v="13.47"/>
    <n v="2.7850000000000001"/>
    <n v="228.95"/>
    <x v="75"/>
    <n v="408494.61"/>
    <n v="24071.718000000001"/>
  </r>
  <r>
    <s v="SK14"/>
    <d v="2013-10-23T00:00:00"/>
    <x v="15"/>
    <s v="AA"/>
    <n v="21.011800000000001"/>
    <n v="7386.7439999999997"/>
    <n v="25010.436000000002"/>
    <n v="154774.48000000001"/>
    <x v="76"/>
    <n v="150419498.80000001"/>
    <n v="7158813.7340000002"/>
  </r>
  <r>
    <s v="SK14"/>
    <d v="2013-10-23T00:00:00"/>
    <x v="15"/>
    <s v="AB"/>
    <n v="16.892900000000001"/>
    <n v="0"/>
    <n v="708.53399999999999"/>
    <n v="0"/>
    <x v="77"/>
    <n v="16174312.029999999"/>
    <n v="957460.26599999995"/>
  </r>
  <r>
    <s v="SK14"/>
    <d v="2013-10-23T00:00:00"/>
    <x v="15"/>
    <s v="AC"/>
    <n v="17.534300000000002"/>
    <n v="13496.177"/>
    <n v="1481.6990000000001"/>
    <n v="235994.16"/>
    <x v="78"/>
    <n v="31710958.890000001"/>
    <n v="1808505.7709999999"/>
  </r>
  <r>
    <s v="SK14"/>
    <d v="2013-10-23T00:00:00"/>
    <x v="15"/>
    <s v="AGH"/>
    <n v="17.219100000000001"/>
    <n v="11"/>
    <n v="3825.99"/>
    <n v="187.91"/>
    <x v="79"/>
    <n v="132822086.79000001"/>
    <n v="7713646.6639999999"/>
  </r>
  <r>
    <s v="SK14"/>
    <d v="2013-10-23T00:00:00"/>
    <x v="15"/>
    <s v="AI"/>
    <n v="16.1235"/>
    <n v="62691"/>
    <n v="0"/>
    <n v="1007945.9"/>
    <x v="1"/>
    <n v="27772404.16"/>
    <n v="1722484.483"/>
  </r>
  <r>
    <s v="SK14"/>
    <d v="2013-10-23T00:00:00"/>
    <x v="15"/>
    <s v="BUI"/>
    <n v="10.3223"/>
    <n v="292.22300000000001"/>
    <n v="0"/>
    <n v="3008.08"/>
    <x v="1"/>
    <n v="910378.39"/>
    <n v="88195.173999999999"/>
  </r>
  <r>
    <s v="SK14"/>
    <d v="2013-10-23T00:00:00"/>
    <x v="15"/>
    <s v="C1M"/>
    <n v="10.52"/>
    <n v="0"/>
    <n v="16286.257"/>
    <n v="0"/>
    <x v="80"/>
    <n v="52835.46"/>
    <n v="5022.3739999999998"/>
  </r>
  <r>
    <s v="SK14"/>
    <d v="2013-10-23T00:00:00"/>
    <x v="15"/>
    <s v="RGI"/>
    <n v="16.128699999999998"/>
    <n v="10237.573"/>
    <n v="0"/>
    <n v="164653.76000000001"/>
    <x v="1"/>
    <n v="26525869.609999999"/>
    <n v="1644634.379"/>
  </r>
  <r>
    <s v="SK14"/>
    <d v="2013-10-24T00:00:00"/>
    <x v="16"/>
    <s v="AA"/>
    <n v="20.980499999999999"/>
    <n v="847.178"/>
    <n v="276891.70199999999"/>
    <n v="17800.740000000002"/>
    <x v="81"/>
    <n v="144403816.25999999"/>
    <n v="6882769.21"/>
  </r>
  <r>
    <s v="SK14"/>
    <d v="2013-10-24T00:00:00"/>
    <x v="16"/>
    <s v="AB"/>
    <n v="16.867100000000001"/>
    <n v="0"/>
    <n v="151711.88399999999"/>
    <n v="0"/>
    <x v="82"/>
    <n v="13590617.18"/>
    <n v="805748.38199999998"/>
  </r>
  <r>
    <s v="SK14"/>
    <d v="2013-10-24T00:00:00"/>
    <x v="16"/>
    <s v="AC"/>
    <n v="17.5075"/>
    <n v="4619.9570000000003"/>
    <n v="27587.508000000002"/>
    <n v="81007.7"/>
    <x v="83"/>
    <n v="31260301.399999999"/>
    <n v="1785538.22"/>
  </r>
  <r>
    <s v="SK14"/>
    <d v="2013-10-24T00:00:00"/>
    <x v="16"/>
    <s v="AGH"/>
    <n v="17.267900000000001"/>
    <n v="0"/>
    <n v="1900553.878"/>
    <n v="0"/>
    <x v="84"/>
    <n v="100380094.91"/>
    <n v="5813092.7860000003"/>
  </r>
  <r>
    <s v="SK14"/>
    <d v="2013-10-24T00:00:00"/>
    <x v="16"/>
    <s v="RGI"/>
    <n v="16.105"/>
    <n v="1425"/>
    <n v="0"/>
    <n v="22983.43"/>
    <x v="1"/>
    <n v="26509839.399999999"/>
    <n v="1646059.379"/>
  </r>
  <r>
    <s v="SK14"/>
    <d v="2013-10-25T00:00:00"/>
    <x v="17"/>
    <s v="A3"/>
    <n v="17.015699999999999"/>
    <n v="398.96"/>
    <n v="0"/>
    <n v="6772.48"/>
    <x v="1"/>
    <n v="6963637.4500000002"/>
    <n v="409246.87"/>
  </r>
  <r>
    <s v="SK14"/>
    <d v="2013-10-25T00:00:00"/>
    <x v="17"/>
    <s v="AA"/>
    <n v="21.0304"/>
    <n v="192709.20800000001"/>
    <n v="2390.502"/>
    <n v="4043135.56"/>
    <x v="85"/>
    <n v="148749903.13999999"/>
    <n v="7073087.9160000002"/>
  </r>
  <r>
    <s v="SK14"/>
    <d v="2013-10-25T00:00:00"/>
    <x v="17"/>
    <s v="AB"/>
    <n v="16.906500000000001"/>
    <n v="105313.213"/>
    <n v="5173.6450000000004"/>
    <n v="1776328.52"/>
    <x v="86"/>
    <n v="15315410.869999999"/>
    <n v="905887.95"/>
  </r>
  <r>
    <s v="SK14"/>
    <d v="2013-10-25T00:00:00"/>
    <x v="17"/>
    <s v="AC"/>
    <n v="17.548400000000001"/>
    <n v="67222.370999999999"/>
    <n v="7868.1840000000002"/>
    <n v="1176895.6599999999"/>
    <x v="87"/>
    <n v="32374972.920000002"/>
    <n v="1844892.4069999999"/>
  </r>
  <r>
    <s v="SK14"/>
    <d v="2013-10-25T00:00:00"/>
    <x v="17"/>
    <s v="AGH"/>
    <n v="17.3033"/>
    <n v="70776"/>
    <n v="567.57799999999997"/>
    <n v="1222148.49"/>
    <x v="88"/>
    <n v="101800590.11"/>
    <n v="5883301.2079999996"/>
  </r>
  <r>
    <s v="SK14"/>
    <d v="2013-10-25T00:00:00"/>
    <x v="17"/>
    <s v="AI"/>
    <n v="16.138400000000001"/>
    <n v="0"/>
    <n v="55106"/>
    <n v="0"/>
    <x v="89"/>
    <n v="26908823.899999999"/>
    <n v="1667378.483"/>
  </r>
  <r>
    <s v="SK14"/>
    <d v="2013-10-25T00:00:00"/>
    <x v="17"/>
    <s v="BUI"/>
    <n v="10.3306"/>
    <n v="0"/>
    <n v="2722.6970000000001"/>
    <n v="0"/>
    <x v="90"/>
    <n v="882982.93"/>
    <n v="85472.476999999999"/>
  </r>
  <r>
    <s v="SK14"/>
    <d v="2013-10-25T00:00:00"/>
    <x v="17"/>
    <s v="RGI"/>
    <n v="16.143699999999999"/>
    <n v="11435.179"/>
    <n v="0"/>
    <n v="184163.26"/>
    <x v="1"/>
    <n v="26758068.690000001"/>
    <n v="1657494.558"/>
  </r>
  <r>
    <s v="SK14"/>
    <d v="2013-10-29T00:00:00"/>
    <x v="18"/>
    <s v="AA"/>
    <n v="21.177399999999999"/>
    <n v="3852.654"/>
    <n v="34426.438999999998"/>
    <n v="81022.87"/>
    <x v="91"/>
    <n v="149142475.90000001"/>
    <n v="7042514.1310000001"/>
  </r>
  <r>
    <s v="SK14"/>
    <d v="2013-10-29T00:00:00"/>
    <x v="18"/>
    <s v="AB"/>
    <n v="17.021899999999999"/>
    <n v="4501.0290000000005"/>
    <n v="9744.5370000000003"/>
    <n v="76096.649999999994"/>
    <x v="92"/>
    <n v="15330722.76"/>
    <n v="900644.44200000004"/>
  </r>
  <r>
    <s v="SK14"/>
    <d v="2013-10-29T00:00:00"/>
    <x v="18"/>
    <s v="AC"/>
    <n v="17.668199999999999"/>
    <n v="2948.8870000000002"/>
    <n v="990.99099999999999"/>
    <n v="51748.24"/>
    <x v="93"/>
    <n v="32630606.73"/>
    <n v="1846850.3030000001"/>
  </r>
  <r>
    <s v="SK14"/>
    <d v="2013-10-29T00:00:00"/>
    <x v="18"/>
    <s v="AGH"/>
    <n v="17.370799999999999"/>
    <n v="0"/>
    <n v="9997.3809999999994"/>
    <n v="0"/>
    <x v="94"/>
    <n v="102024060.91"/>
    <n v="5873303.8269999996"/>
  </r>
  <r>
    <s v="SK14"/>
    <d v="2013-10-29T00:00:00"/>
    <x v="18"/>
    <s v="AI"/>
    <n v="16.252600000000001"/>
    <n v="339223"/>
    <n v="0"/>
    <n v="5474516.46"/>
    <x v="1"/>
    <n v="32612423.710000001"/>
    <n v="2006601.483"/>
  </r>
  <r>
    <s v="SK14"/>
    <d v="2013-10-29T00:00:00"/>
    <x v="18"/>
    <s v="BUI"/>
    <n v="10.4011"/>
    <n v="3245.165"/>
    <n v="0"/>
    <n v="33524.5"/>
    <x v="1"/>
    <n v="922764.91"/>
    <n v="88717.642000000007"/>
  </r>
  <r>
    <s v="SK14"/>
    <d v="2013-10-29T00:00:00"/>
    <x v="18"/>
    <s v="RGI"/>
    <n v="16.257899999999999"/>
    <n v="7220"/>
    <n v="1007.78"/>
    <n v="116557.6"/>
    <x v="95"/>
    <n v="27048355.989999998"/>
    <n v="1663706.7779999999"/>
  </r>
  <r>
    <s v="SK14"/>
    <d v="2013-10-29T00:00:00"/>
    <x v="18"/>
    <s v="S4"/>
    <n v="17.153300000000002"/>
    <n v="0"/>
    <n v="38.116"/>
    <n v="0"/>
    <x v="96"/>
    <n v="412256.63"/>
    <n v="24033.601999999999"/>
  </r>
  <r>
    <s v="SK14"/>
    <d v="2013-10-30T00:00:00"/>
    <x v="19"/>
    <s v="A3"/>
    <n v="17.2498"/>
    <n v="16.059999999999999"/>
    <n v="80.302000000000007"/>
    <n v="275.19"/>
    <x v="97"/>
    <n v="7058307.4000000004"/>
    <n v="409182.62800000003"/>
  </r>
  <r>
    <s v="SK14"/>
    <d v="2013-10-30T00:00:00"/>
    <x v="19"/>
    <s v="AA"/>
    <n v="21.319700000000001"/>
    <n v="546514.60600000003"/>
    <n v="115936.49400000001"/>
    <n v="11573758.380000001"/>
    <x v="98"/>
    <n v="159323748.80000001"/>
    <n v="7473092.2429999998"/>
  </r>
  <r>
    <s v="SK14"/>
    <d v="2013-10-30T00:00:00"/>
    <x v="19"/>
    <s v="AB"/>
    <n v="17.1356"/>
    <n v="2173.67"/>
    <n v="71166.930999999997"/>
    <n v="37000"/>
    <x v="99"/>
    <n v="14250806.630000001"/>
    <n v="831651.18099999998"/>
  </r>
  <r>
    <s v="SK14"/>
    <d v="2013-10-30T00:00:00"/>
    <x v="19"/>
    <s v="AC"/>
    <n v="17.786200000000001"/>
    <n v="49170.336000000003"/>
    <n v="45817.32"/>
    <n v="868751.35999999999"/>
    <x v="100"/>
    <n v="32908022.699999999"/>
    <n v="1850203.3189999999"/>
  </r>
  <r>
    <s v="SK14"/>
    <d v="2013-10-30T00:00:00"/>
    <x v="19"/>
    <s v="AGH"/>
    <n v="17.488399999999999"/>
    <n v="609.91999999999996"/>
    <n v="15088.841"/>
    <n v="10594.82"/>
    <x v="101"/>
    <n v="102461288.44"/>
    <n v="5858824.9060000004"/>
  </r>
  <r>
    <s v="SK14"/>
    <d v="2013-10-30T00:00:00"/>
    <x v="19"/>
    <s v="AI"/>
    <n v="16.361999999999998"/>
    <n v="149807"/>
    <n v="0"/>
    <n v="2434753.25"/>
    <x v="1"/>
    <n v="35283244.509999998"/>
    <n v="2156408.483"/>
  </r>
  <r>
    <s v="SK14"/>
    <d v="2013-10-30T00:00:00"/>
    <x v="19"/>
    <s v="RGI"/>
    <n v="16.3674"/>
    <n v="14801.152"/>
    <n v="201.55600000000001"/>
    <n v="240634.66"/>
    <x v="102"/>
    <n v="27469502.399999999"/>
    <n v="1678306.3740000001"/>
  </r>
  <r>
    <s v="SK14"/>
    <d v="2013-10-30T00:00:00"/>
    <x v="19"/>
    <s v="S4"/>
    <n v="17.268799999999999"/>
    <n v="0"/>
    <n v="2.0990000000000002"/>
    <n v="0"/>
    <x v="103"/>
    <n v="414994.4"/>
    <n v="24031.503000000001"/>
  </r>
  <r>
    <s v="SK14"/>
    <d v="2013-10-31T00:00:00"/>
    <x v="20"/>
    <s v="AA"/>
    <n v="21.2288"/>
    <n v="9834.2279999999992"/>
    <n v="36891.705999999998"/>
    <n v="209662.78"/>
    <x v="104"/>
    <n v="158070684.96000001"/>
    <n v="7446034.7649999997"/>
  </r>
  <r>
    <s v="SK14"/>
    <d v="2013-10-31T00:00:00"/>
    <x v="20"/>
    <s v="AB"/>
    <n v="17.061900000000001"/>
    <n v="21309.241000000002"/>
    <n v="6853.39"/>
    <n v="365146.63"/>
    <x v="105"/>
    <n v="14436161.82"/>
    <n v="846107.03200000001"/>
  </r>
  <r>
    <s v="SK14"/>
    <d v="2013-10-31T00:00:00"/>
    <x v="20"/>
    <s v="AC"/>
    <n v="17.709700000000002"/>
    <n v="308.57"/>
    <n v="40966.961000000003"/>
    <n v="5488.3"/>
    <x v="106"/>
    <n v="32046445.449999999"/>
    <n v="1809544.9280000001"/>
  </r>
  <r>
    <s v="SK14"/>
    <d v="2013-10-31T00:00:00"/>
    <x v="20"/>
    <s v="AGH"/>
    <n v="17.258800000000001"/>
    <n v="0"/>
    <n v="731.75900000000001"/>
    <n v="0"/>
    <x v="107"/>
    <n v="101103709.3"/>
    <n v="5858093.1469999999"/>
  </r>
  <r>
    <s v="SK14"/>
    <d v="2013-10-31T00:00:00"/>
    <x v="20"/>
    <s v="AI"/>
    <n v="16.2927"/>
    <n v="0"/>
    <n v="23456"/>
    <n v="0"/>
    <x v="108"/>
    <n v="34751515"/>
    <n v="2132952.483"/>
  </r>
  <r>
    <s v="SK14"/>
    <d v="2013-10-31T00:00:00"/>
    <x v="20"/>
    <s v="RGI"/>
    <n v="16.297999999999998"/>
    <n v="17487.919999999998"/>
    <n v="710"/>
    <n v="286232.64"/>
    <x v="109"/>
    <n v="27626503.960000001"/>
    <n v="1695084.294"/>
  </r>
  <r>
    <s v="SK14"/>
    <d v="2013-11-01T00:00:00"/>
    <x v="21"/>
    <s v="AA"/>
    <n v="21.156099999999999"/>
    <n v="1075.6420000000001"/>
    <n v="117505.083"/>
    <n v="22834.62"/>
    <x v="110"/>
    <n v="155065836.63"/>
    <n v="7329605.324"/>
  </r>
  <r>
    <s v="SK14"/>
    <d v="2013-11-01T00:00:00"/>
    <x v="21"/>
    <s v="AB"/>
    <n v="17.002700000000001"/>
    <n v="0"/>
    <n v="54989.053999999996"/>
    <n v="0"/>
    <x v="111"/>
    <n v="13451136.01"/>
    <n v="791117.978"/>
  </r>
  <r>
    <s v="SK14"/>
    <d v="2013-11-01T00:00:00"/>
    <x v="21"/>
    <s v="AC"/>
    <n v="17.648299999999999"/>
    <n v="0"/>
    <n v="1786.2070000000001"/>
    <n v="0"/>
    <x v="112"/>
    <n v="31903791.449999999"/>
    <n v="1807758.7209999999"/>
  </r>
  <r>
    <s v="SK14"/>
    <d v="2013-11-01T00:00:00"/>
    <x v="21"/>
    <s v="AGH"/>
    <n v="17.0412"/>
    <n v="0"/>
    <n v="20859.330000000002"/>
    <n v="0"/>
    <x v="113"/>
    <n v="99473211.400000006"/>
    <n v="5837233.8169999998"/>
  </r>
  <r>
    <s v="SK14"/>
    <d v="2013-11-01T00:00:00"/>
    <x v="21"/>
    <s v="AI"/>
    <n v="16.237200000000001"/>
    <n v="0"/>
    <n v="82657"/>
    <n v="0"/>
    <x v="114"/>
    <n v="33291027.48"/>
    <n v="2050295.483"/>
  </r>
  <r>
    <s v="SK14"/>
    <d v="2013-11-01T00:00:00"/>
    <x v="21"/>
    <s v="BUI"/>
    <n v="10.3894"/>
    <n v="0"/>
    <n v="2111.6170000000002"/>
    <n v="0"/>
    <x v="115"/>
    <n v="899782.67"/>
    <n v="86606.024999999994"/>
  </r>
  <r>
    <s v="SK14"/>
    <d v="2013-11-01T00:00:00"/>
    <x v="21"/>
    <s v="RGI"/>
    <n v="16.2425"/>
    <n v="7837.232"/>
    <n v="0"/>
    <n v="127730.81"/>
    <x v="1"/>
    <n v="27659699.649999999"/>
    <n v="1702921.5260000001"/>
  </r>
  <r>
    <s v="SK14"/>
    <d v="2013-11-04T00:00:00"/>
    <x v="22"/>
    <s v="AA"/>
    <n v="21.255400000000002"/>
    <n v="4368.5789999999997"/>
    <n v="12718.716"/>
    <n v="92422.09"/>
    <x v="116"/>
    <n v="155616402.69"/>
    <n v="7321255.1869999999"/>
  </r>
  <r>
    <s v="SK14"/>
    <d v="2013-11-04T00:00:00"/>
    <x v="22"/>
    <s v="AB"/>
    <n v="17.080400000000001"/>
    <n v="102372.14200000001"/>
    <n v="14049.4"/>
    <n v="1740602.8"/>
    <x v="117"/>
    <n v="15021222.939999999"/>
    <n v="879440.72"/>
  </r>
  <r>
    <s v="SK14"/>
    <d v="2013-11-04T00:00:00"/>
    <x v="22"/>
    <s v="AC"/>
    <n v="17.728899999999999"/>
    <n v="2946.4589999999998"/>
    <n v="31354.034"/>
    <n v="52000"/>
    <x v="118"/>
    <n v="31546012.620000001"/>
    <n v="1779351.1459999999"/>
  </r>
  <r>
    <s v="SK14"/>
    <d v="2013-11-04T00:00:00"/>
    <x v="22"/>
    <s v="AGH"/>
    <n v="17.113499999999998"/>
    <n v="4650"/>
    <n v="0"/>
    <n v="79241.58"/>
    <x v="1"/>
    <n v="99974895.549999997"/>
    <n v="5841883.8169999998"/>
  </r>
  <r>
    <s v="SK14"/>
    <d v="2013-11-04T00:00:00"/>
    <x v="22"/>
    <s v="AI"/>
    <n v="16.314399999999999"/>
    <n v="29620"/>
    <n v="0"/>
    <n v="480945.86"/>
    <x v="1"/>
    <n v="33932618.460000001"/>
    <n v="2079915.483"/>
  </r>
  <r>
    <s v="SK14"/>
    <d v="2013-11-04T00:00:00"/>
    <x v="22"/>
    <s v="RGI"/>
    <n v="16.319800000000001"/>
    <n v="8538.6170000000002"/>
    <n v="570"/>
    <n v="138688.34"/>
    <x v="119"/>
    <n v="27921315.93"/>
    <n v="1710890.1429999999"/>
  </r>
  <r>
    <s v="SK14"/>
    <d v="2013-11-05T00:00:00"/>
    <x v="23"/>
    <s v="AA"/>
    <n v="21.340800000000002"/>
    <n v="47883.233999999997"/>
    <n v="1371.826"/>
    <n v="1017777.29"/>
    <x v="120"/>
    <n v="157234092.06999999"/>
    <n v="7367766.5949999997"/>
  </r>
  <r>
    <s v="SK14"/>
    <d v="2013-11-05T00:00:00"/>
    <x v="23"/>
    <s v="AB"/>
    <n v="17.148299999999999"/>
    <n v="2715.9810000000002"/>
    <n v="1472.29"/>
    <n v="46390.05"/>
    <x v="121"/>
    <n v="15102271.99"/>
    <n v="880684.41099999996"/>
  </r>
  <r>
    <s v="SK14"/>
    <d v="2013-11-05T00:00:00"/>
    <x v="23"/>
    <s v="AC"/>
    <n v="17.799399999999999"/>
    <n v="166729.60800000001"/>
    <n v="1292.6079999999999"/>
    <n v="2955932.39"/>
    <x v="122"/>
    <n v="34616111.259999998"/>
    <n v="1944788.1459999999"/>
  </r>
  <r>
    <s v="SK14"/>
    <d v="2013-11-05T00:00:00"/>
    <x v="23"/>
    <s v="AGH"/>
    <n v="17.1645"/>
    <n v="3"/>
    <n v="1570.6890000000001"/>
    <n v="51.34"/>
    <x v="123"/>
    <n v="100245931.95999999"/>
    <n v="5840316.1279999996"/>
  </r>
  <r>
    <s v="SK14"/>
    <d v="2013-11-05T00:00:00"/>
    <x v="23"/>
    <s v="AI"/>
    <n v="16.380299999999998"/>
    <n v="0"/>
    <n v="71259"/>
    <n v="0"/>
    <x v="124"/>
    <n v="32902378.960000001"/>
    <n v="2008656.483"/>
  </r>
  <r>
    <s v="SK14"/>
    <d v="2013-11-05T00:00:00"/>
    <x v="23"/>
    <s v="RGI"/>
    <n v="16.3857"/>
    <n v="17965"/>
    <n v="0"/>
    <n v="293186.46999999997"/>
    <x v="1"/>
    <n v="28328417.710000001"/>
    <n v="1728855.1429999999"/>
  </r>
  <r>
    <s v="SK14"/>
    <d v="2013-11-06T00:00:00"/>
    <x v="24"/>
    <s v="AA"/>
    <n v="21.249700000000001"/>
    <n v="16958.598999999998"/>
    <n v="89548.930999999997"/>
    <n v="361910.08"/>
    <x v="125"/>
    <n v="155020667.86000001"/>
    <n v="7295176.2630000003"/>
  </r>
  <r>
    <s v="SK14"/>
    <d v="2013-11-06T00:00:00"/>
    <x v="24"/>
    <s v="AB"/>
    <n v="17.0745"/>
    <n v="4544.5789999999997"/>
    <n v="4562.0379999999996"/>
    <n v="77931.81"/>
    <x v="126"/>
    <n v="15036913.720000001"/>
    <n v="880666.95200000005"/>
  </r>
  <r>
    <s v="SK14"/>
    <d v="2013-11-06T00:00:00"/>
    <x v="24"/>
    <s v="AC"/>
    <n v="17.7227"/>
    <n v="33489.326000000001"/>
    <n v="4841.6499999999996"/>
    <n v="596089.97"/>
    <x v="127"/>
    <n v="34974700.829999998"/>
    <n v="1973435.8219999999"/>
  </r>
  <r>
    <s v="SK14"/>
    <d v="2013-11-06T00:00:00"/>
    <x v="24"/>
    <s v="AGH"/>
    <n v="17.110199999999999"/>
    <n v="4466.1980000000003"/>
    <n v="1008"/>
    <n v="76660.240000000005"/>
    <x v="128"/>
    <n v="99988091.590000004"/>
    <n v="5843774.3260000004"/>
  </r>
  <r>
    <s v="SK14"/>
    <d v="2013-11-06T00:00:00"/>
    <x v="24"/>
    <s v="AI"/>
    <n v="16.310700000000001"/>
    <n v="0"/>
    <n v="49153"/>
    <n v="0"/>
    <x v="129"/>
    <n v="31960942.649999999"/>
    <n v="1959503.483"/>
  </r>
  <r>
    <s v="SK14"/>
    <d v="2013-11-06T00:00:00"/>
    <x v="24"/>
    <s v="BUI"/>
    <n v="10.433199999999999"/>
    <n v="1699.5630000000001"/>
    <n v="0"/>
    <n v="17808.7"/>
    <x v="1"/>
    <n v="921312.61"/>
    <n v="88305.588000000003"/>
  </r>
  <r>
    <s v="SK14"/>
    <d v="2013-11-06T00:00:00"/>
    <x v="24"/>
    <s v="RGI"/>
    <n v="16.316099999999999"/>
    <n v="5985.86"/>
    <n v="700"/>
    <n v="98082.21"/>
    <x v="130"/>
    <n v="28294370.43"/>
    <n v="1734141.003"/>
  </r>
  <r>
    <s v="SK14"/>
    <d v="2013-11-07T00:00:00"/>
    <x v="25"/>
    <s v="AA"/>
    <n v="21.386500000000002"/>
    <n v="805783.96699999995"/>
    <n v="11108.895"/>
    <n v="17122667.600000001"/>
    <x v="131"/>
    <n v="173013546.30000001"/>
    <n v="8089851.335"/>
  </r>
  <r>
    <s v="SK14"/>
    <d v="2013-11-07T00:00:00"/>
    <x v="25"/>
    <s v="AB"/>
    <n v="17.183599999999998"/>
    <n v="75598.792000000001"/>
    <n v="1106.3989999999999"/>
    <n v="1290811.6100000001"/>
    <x v="132"/>
    <n v="16413115.810000001"/>
    <n v="955159.34499999997"/>
  </r>
  <r>
    <s v="SK14"/>
    <d v="2013-11-07T00:00:00"/>
    <x v="25"/>
    <s v="AC"/>
    <n v="17.836099999999998"/>
    <n v="42053.091999999997"/>
    <n v="53.195999999999998"/>
    <n v="745294.28"/>
    <x v="133"/>
    <n v="35947446.560000002"/>
    <n v="2015435.7180000001"/>
  </r>
  <r>
    <s v="SK14"/>
    <d v="2013-11-07T00:00:00"/>
    <x v="25"/>
    <s v="AGH"/>
    <n v="17.219100000000001"/>
    <n v="9132"/>
    <n v="29793.967000000001"/>
    <n v="156249.76999999999"/>
    <x v="134"/>
    <n v="100269036.77"/>
    <n v="5823112.3590000002"/>
  </r>
  <r>
    <s v="SK14"/>
    <d v="2013-11-07T00:00:00"/>
    <x v="25"/>
    <s v="AI"/>
    <n v="16.416"/>
    <n v="0"/>
    <n v="22006"/>
    <n v="0"/>
    <x v="135"/>
    <n v="31806026.550000001"/>
    <n v="1937497.483"/>
  </r>
  <r>
    <s v="SK14"/>
    <d v="2013-11-07T00:00:00"/>
    <x v="25"/>
    <s v="AUI"/>
    <n v="10.7498"/>
    <n v="12.704000000000001"/>
    <n v="0"/>
    <n v="135.69"/>
    <x v="1"/>
    <n v="226858.8"/>
    <n v="21103.545999999998"/>
  </r>
  <r>
    <s v="SK14"/>
    <d v="2013-11-07T00:00:00"/>
    <x v="25"/>
    <s v="BUI"/>
    <n v="10.4999"/>
    <n v="1410.904"/>
    <n v="0"/>
    <n v="14720.24"/>
    <x v="1"/>
    <n v="942018.03"/>
    <n v="89716.491999999998"/>
  </r>
  <r>
    <s v="SK14"/>
    <d v="2013-11-07T00:00:00"/>
    <x v="25"/>
    <s v="RGI"/>
    <n v="16.421399999999998"/>
    <n v="7268.2219999999998"/>
    <n v="8365"/>
    <n v="118589.25"/>
    <x v="136"/>
    <n v="28459023.350000001"/>
    <n v="1733044.2250000001"/>
  </r>
  <r>
    <s v="SK14"/>
    <d v="2013-11-07T00:00:00"/>
    <x v="25"/>
    <s v="S4"/>
    <n v="17.3248"/>
    <n v="3.915"/>
    <n v="2.02"/>
    <n v="67.39"/>
    <x v="137"/>
    <n v="416373.91"/>
    <n v="24033.398000000001"/>
  </r>
  <r>
    <s v="SK14"/>
    <d v="2013-11-08T00:00:00"/>
    <x v="26"/>
    <s v="AA"/>
    <n v="21.159700000000001"/>
    <n v="4482.2960000000003"/>
    <n v="77788.422000000006"/>
    <n v="95860.61"/>
    <x v="138"/>
    <n v="169627837.47"/>
    <n v="8016545.2089999998"/>
  </r>
  <r>
    <s v="SK14"/>
    <d v="2013-11-08T00:00:00"/>
    <x v="26"/>
    <s v="AB"/>
    <n v="17.000699999999998"/>
    <n v="583.00800000000004"/>
    <n v="123835.117"/>
    <n v="10018.17"/>
    <x v="139"/>
    <n v="14143032.4"/>
    <n v="831907.23600000003"/>
  </r>
  <r>
    <s v="SK14"/>
    <d v="2013-11-08T00:00:00"/>
    <x v="26"/>
    <s v="AC"/>
    <n v="17.6462"/>
    <n v="1782.078"/>
    <n v="149257.07800000001"/>
    <n v="31785.31"/>
    <x v="140"/>
    <n v="32962416.699999999"/>
    <n v="1867960.7180000001"/>
  </r>
  <r>
    <s v="SK14"/>
    <d v="2013-11-08T00:00:00"/>
    <x v="26"/>
    <s v="AGH"/>
    <n v="16.9251"/>
    <n v="0"/>
    <n v="32089.135999999999"/>
    <n v="0"/>
    <x v="141"/>
    <n v="98013423.790000007"/>
    <n v="5791023.2230000002"/>
  </r>
  <r>
    <s v="SK14"/>
    <d v="2013-11-08T00:00:00"/>
    <x v="26"/>
    <s v="RGI"/>
    <n v="16.247599999999998"/>
    <n v="455"/>
    <n v="0"/>
    <n v="7471.71"/>
    <x v="1"/>
    <n v="28165231.859999999"/>
    <n v="1733499.2250000001"/>
  </r>
  <r>
    <s v="SK14"/>
    <d v="2013-11-08T00:00:00"/>
    <x v="26"/>
    <s v="S4"/>
    <n v="17.141300000000001"/>
    <n v="0"/>
    <n v="1.323"/>
    <n v="0"/>
    <x v="142"/>
    <n v="411941.84"/>
    <n v="24032.075000000001"/>
  </r>
  <r>
    <s v="SK14"/>
    <d v="2013-11-11T00:00:00"/>
    <x v="27"/>
    <s v="AA"/>
    <n v="21.488600000000002"/>
    <n v="38625.728999999999"/>
    <n v="762912.74199999997"/>
    <n v="817308.83"/>
    <x v="143"/>
    <n v="156700671.34"/>
    <n v="7292258.1960000005"/>
  </r>
  <r>
    <s v="SK14"/>
    <d v="2013-11-11T00:00:00"/>
    <x v="27"/>
    <s v="AB"/>
    <n v="17.262899999999998"/>
    <n v="6121.6279999999997"/>
    <n v="18363.157999999999"/>
    <n v="104071.97"/>
    <x v="144"/>
    <n v="14149809.369999999"/>
    <n v="819665.70600000001"/>
  </r>
  <r>
    <s v="SK14"/>
    <d v="2013-11-11T00:00:00"/>
    <x v="27"/>
    <s v="AC"/>
    <n v="17.918299999999999"/>
    <n v="746.02099999999996"/>
    <n v="80196.653000000006"/>
    <n v="13164.44"/>
    <x v="145"/>
    <n v="32047110.780000001"/>
    <n v="1788510.0859999999"/>
  </r>
  <r>
    <s v="SK14"/>
    <d v="2013-11-11T00:00:00"/>
    <x v="27"/>
    <s v="AGH"/>
    <n v="17.158200000000001"/>
    <n v="0"/>
    <n v="626.37300000000005"/>
    <n v="0"/>
    <x v="146"/>
    <n v="99352729.379999995"/>
    <n v="5790396.8499999996"/>
  </r>
  <r>
    <s v="SK14"/>
    <d v="2013-11-11T00:00:00"/>
    <x v="27"/>
    <s v="AI"/>
    <n v="16.495799999999999"/>
    <n v="0"/>
    <n v="300147"/>
    <n v="0"/>
    <x v="147"/>
    <n v="27009374.899999999"/>
    <n v="1637350.483"/>
  </r>
  <r>
    <s v="SK14"/>
    <d v="2013-11-11T00:00:00"/>
    <x v="27"/>
    <s v="AUI"/>
    <n v="10.8011"/>
    <n v="95.808000000000007"/>
    <n v="0"/>
    <n v="1018.99"/>
    <x v="1"/>
    <n v="228977.07"/>
    <n v="21199.353999999999"/>
  </r>
  <r>
    <s v="SK14"/>
    <d v="2013-11-11T00:00:00"/>
    <x v="27"/>
    <s v="RGI"/>
    <n v="16.501200000000001"/>
    <n v="9678.5390000000007"/>
    <n v="0"/>
    <n v="157253.04"/>
    <x v="1"/>
    <n v="28764486.030000001"/>
    <n v="1743177.764"/>
  </r>
  <r>
    <s v="SK14"/>
    <d v="2013-11-18T00:00:00"/>
    <x v="28"/>
    <s v="AA"/>
    <n v="21.790500000000002"/>
    <n v="3005472.9619999998"/>
    <n v="0"/>
    <n v="65268954.670000002"/>
    <x v="1"/>
    <n v="224392583.80000001"/>
    <n v="10297731.158"/>
  </r>
  <r>
    <s v="SK14"/>
    <d v="2013-11-18T00:00:00"/>
    <x v="28"/>
    <s v="AC"/>
    <n v="18.1648"/>
    <n v="72005.98"/>
    <n v="0"/>
    <n v="1303704.27"/>
    <x v="1"/>
    <n v="33795939.200000003"/>
    <n v="1860516.0660000001"/>
  </r>
  <r>
    <s v="SK14"/>
    <d v="2013-11-18T00:00:00"/>
    <x v="28"/>
    <s v="AI"/>
    <n v="16.729900000000001"/>
    <n v="113021.65300000001"/>
    <n v="0"/>
    <n v="1884319.6"/>
    <x v="1"/>
    <n v="29283549.43"/>
    <n v="1750372.1359999999"/>
  </r>
  <r>
    <s v="SK14"/>
    <d v="2013-11-18T00:00:00"/>
    <x v="28"/>
    <s v="S4"/>
    <n v="17.654699999999998"/>
    <n v="33253.432999999997"/>
    <n v="0"/>
    <n v="585064.93000000005"/>
    <x v="1"/>
    <n v="1011356.18"/>
    <n v="57285.508000000002"/>
  </r>
  <r>
    <s v="SK14"/>
    <d v="2013-11-19T00:00:00"/>
    <x v="29"/>
    <s v="AA"/>
    <n v="21.7729"/>
    <n v="560.14700000000005"/>
    <n v="140874.65599999999"/>
    <n v="12205.9"/>
    <x v="148"/>
    <n v="221156683"/>
    <n v="10157416.649"/>
  </r>
  <r>
    <s v="SK14"/>
    <d v="2013-11-19T00:00:00"/>
    <x v="29"/>
    <s v="AB"/>
    <n v="17.485600000000002"/>
    <n v="986.43200000000002"/>
    <n v="26217.86"/>
    <n v="17262.96"/>
    <x v="149"/>
    <n v="13891125.15"/>
    <n v="794434.27800000005"/>
  </r>
  <r>
    <s v="SK14"/>
    <d v="2013-11-19T00:00:00"/>
    <x v="29"/>
    <s v="AC"/>
    <n v="18.1494"/>
    <n v="1354.133"/>
    <n v="22614.32"/>
    <n v="24597.57"/>
    <x v="150"/>
    <n v="33381453.68"/>
    <n v="1839255.879"/>
  </r>
  <r>
    <s v="SK14"/>
    <d v="2013-11-19T00:00:00"/>
    <x v="29"/>
    <s v="AGH"/>
    <n v="17.508199999999999"/>
    <n v="0"/>
    <n v="5316"/>
    <n v="0"/>
    <x v="151"/>
    <n v="101286199.66"/>
    <n v="5785080.8499999996"/>
  </r>
  <r>
    <s v="SK14"/>
    <d v="2013-11-19T00:00:00"/>
    <x v="29"/>
    <s v="AI"/>
    <n v="16.716799999999999"/>
    <n v="132335"/>
    <n v="0"/>
    <n v="2213951.3199999998"/>
    <x v="1"/>
    <n v="31472763.620000001"/>
    <n v="1882707.1359999999"/>
  </r>
  <r>
    <s v="SK14"/>
    <d v="2013-11-19T00:00:00"/>
    <x v="29"/>
    <s v="AUI"/>
    <n v="10.944000000000001"/>
    <n v="12.336"/>
    <n v="0"/>
    <n v="135.11000000000001"/>
    <x v="1"/>
    <n v="232141.5"/>
    <n v="21211.69"/>
  </r>
  <r>
    <s v="SK14"/>
    <d v="2013-11-19T00:00:00"/>
    <x v="29"/>
    <s v="C1M"/>
    <n v="10.873100000000001"/>
    <n v="17884.419000000002"/>
    <n v="0"/>
    <n v="194623.62"/>
    <x v="1"/>
    <n v="249067.71"/>
    <n v="22906.793000000001"/>
  </r>
  <r>
    <s v="SK14"/>
    <d v="2013-11-19T00:00:00"/>
    <x v="29"/>
    <s v="RGI"/>
    <n v="16.722200000000001"/>
    <n v="20425.384999999998"/>
    <n v="0"/>
    <n v="341828.63"/>
    <x v="1"/>
    <n v="29491381.949999999"/>
    <n v="1763603.149"/>
  </r>
  <r>
    <s v="SK14"/>
    <d v="2013-11-19T00:00:00"/>
    <x v="29"/>
    <s v="S4"/>
    <n v="17.640699999999999"/>
    <n v="1000"/>
    <n v="0"/>
    <n v="17654.68"/>
    <x v="1"/>
    <n v="1028195.66"/>
    <n v="58285.508000000002"/>
  </r>
  <r>
    <s v="SK14"/>
    <d v="2013-11-20T00:00:00"/>
    <x v="30"/>
    <s v="AA"/>
    <n v="21.771599999999999"/>
    <n v="18293.456999999999"/>
    <n v="115462.338"/>
    <n v="398301.63"/>
    <x v="152"/>
    <n v="219028050.77000001"/>
    <n v="10060247.767999999"/>
  </r>
  <r>
    <s v="SK14"/>
    <d v="2013-11-20T00:00:00"/>
    <x v="30"/>
    <s v="AB"/>
    <n v="17.483799999999999"/>
    <n v="1252.4590000000001"/>
    <n v="17358.29"/>
    <n v="21900"/>
    <x v="153"/>
    <n v="13608139.02"/>
    <n v="778328.44700000004"/>
  </r>
  <r>
    <s v="SK14"/>
    <d v="2013-11-20T00:00:00"/>
    <x v="30"/>
    <s v="AC"/>
    <n v="18.147600000000001"/>
    <n v="12031.459000000001"/>
    <n v="32459.165000000001"/>
    <n v="218363.77"/>
    <x v="154"/>
    <n v="33007389.719999999"/>
    <n v="1818828.173"/>
  </r>
  <r>
    <s v="SK14"/>
    <d v="2013-11-20T00:00:00"/>
    <x v="30"/>
    <s v="AGH"/>
    <n v="17.551200000000001"/>
    <n v="0"/>
    <n v="19362"/>
    <n v="0"/>
    <x v="155"/>
    <n v="101195517.89"/>
    <n v="5765718.8499999996"/>
  </r>
  <r>
    <s v="SK14"/>
    <d v="2013-11-20T00:00:00"/>
    <x v="30"/>
    <s v="AI"/>
    <n v="16.716100000000001"/>
    <n v="207271"/>
    <n v="631"/>
    <n v="3464907.85"/>
    <x v="156"/>
    <n v="34925770.530000001"/>
    <n v="2089347.1359999999"/>
  </r>
  <r>
    <s v="SK14"/>
    <d v="2013-11-20T00:00:00"/>
    <x v="30"/>
    <s v="AUI"/>
    <n v="10.9434"/>
    <n v="0"/>
    <n v="95.808000000000007"/>
    <n v="0"/>
    <x v="157"/>
    <n v="231079.29"/>
    <n v="21115.882000000001"/>
  </r>
  <r>
    <s v="SK14"/>
    <d v="2013-11-20T00:00:00"/>
    <x v="30"/>
    <s v="RGI"/>
    <n v="16.721599999999999"/>
    <n v="12405.654"/>
    <n v="570"/>
    <n v="207449.60000000001"/>
    <x v="158"/>
    <n v="29688150.109999999"/>
    <n v="1775438.8030000001"/>
  </r>
  <r>
    <s v="SK14"/>
    <d v="2013-11-20T00:00:00"/>
    <x v="30"/>
    <s v="S4"/>
    <n v="17.639900000000001"/>
    <n v="0"/>
    <n v="6.6340000000000003"/>
    <n v="0"/>
    <x v="159"/>
    <n v="1028031.79"/>
    <n v="58278.874000000003"/>
  </r>
  <r>
    <s v="SK14"/>
    <d v="2013-11-21T00:00:00"/>
    <x v="31"/>
    <s v="A3"/>
    <n v="17.579499999999999"/>
    <n v="15.356999999999999"/>
    <n v="0"/>
    <n v="270.52999999999997"/>
    <x v="1"/>
    <n v="7193500.7699999996"/>
    <n v="409197.98499999999"/>
  </r>
  <r>
    <s v="SK14"/>
    <d v="2013-11-21T00:00:00"/>
    <x v="31"/>
    <s v="AA"/>
    <n v="21.7272"/>
    <n v="5270.8540000000003"/>
    <n v="24709.603999999999"/>
    <n v="114754.93"/>
    <x v="160"/>
    <n v="218158512.31"/>
    <n v="10040809.017999999"/>
  </r>
  <r>
    <s v="SK14"/>
    <d v="2013-11-21T00:00:00"/>
    <x v="31"/>
    <s v="AB"/>
    <n v="17.447399999999998"/>
    <n v="1172.682"/>
    <n v="54878.796000000002"/>
    <n v="20502.93"/>
    <x v="161"/>
    <n v="12642764.77"/>
    <n v="724622.33299999998"/>
  </r>
  <r>
    <s v="SK14"/>
    <d v="2013-11-21T00:00:00"/>
    <x v="31"/>
    <s v="AC"/>
    <n v="18.1098"/>
    <n v="1103.211"/>
    <n v="14871.596"/>
    <n v="20020.650000000001"/>
    <x v="162"/>
    <n v="32689299.32"/>
    <n v="1805059.7879999999"/>
  </r>
  <r>
    <s v="SK14"/>
    <d v="2013-11-21T00:00:00"/>
    <x v="31"/>
    <s v="AGH"/>
    <n v="17.4359"/>
    <n v="0"/>
    <n v="61030"/>
    <n v="0"/>
    <x v="163"/>
    <n v="99466280.060000002"/>
    <n v="5704688.8499999996"/>
  </r>
  <r>
    <s v="SK14"/>
    <d v="2013-11-21T00:00:00"/>
    <x v="31"/>
    <s v="AI"/>
    <n v="16.682300000000001"/>
    <n v="218559"/>
    <n v="0"/>
    <n v="3653454.1"/>
    <x v="1"/>
    <n v="38501250.109999999"/>
    <n v="2307906.1359999999"/>
  </r>
  <r>
    <s v="SK14"/>
    <d v="2013-11-21T00:00:00"/>
    <x v="31"/>
    <s v="RGI"/>
    <n v="16.687799999999999"/>
    <n v="15681.837"/>
    <n v="0"/>
    <n v="262225.83"/>
    <x v="1"/>
    <n v="29889841.649999999"/>
    <n v="1791120.64"/>
  </r>
  <r>
    <s v="SK14"/>
    <d v="2013-11-21T00:00:00"/>
    <x v="31"/>
    <s v="S4"/>
    <n v="17.604099999999999"/>
    <n v="12.959"/>
    <n v="9.1790000000000003"/>
    <n v="228.6"/>
    <x v="164"/>
    <n v="1026013.49"/>
    <n v="58282.654000000002"/>
  </r>
  <r>
    <s v="SK14"/>
    <d v="2013-11-22T00:00:00"/>
    <x v="32"/>
    <s v="AA"/>
    <n v="21.8994"/>
    <n v="8606.0640000000003"/>
    <n v="53340.582999999999"/>
    <n v="186985.67"/>
    <x v="165"/>
    <n v="218907727.49000001"/>
    <n v="9996074.4989999998"/>
  </r>
  <r>
    <s v="SK14"/>
    <d v="2013-11-22T00:00:00"/>
    <x v="32"/>
    <s v="AB"/>
    <n v="17.584900000000001"/>
    <n v="738.29899999999998"/>
    <n v="0"/>
    <n v="12881.39"/>
    <x v="1"/>
    <n v="12755420.17"/>
    <n v="725360.63199999998"/>
  </r>
  <r>
    <s v="SK14"/>
    <d v="2013-11-22T00:00:00"/>
    <x v="32"/>
    <s v="AC"/>
    <n v="18.252600000000001"/>
    <n v="830.31"/>
    <n v="11733.848"/>
    <n v="15036.76"/>
    <x v="166"/>
    <n v="32747996.120000001"/>
    <n v="1794156.25"/>
  </r>
  <r>
    <s v="SK14"/>
    <d v="2013-11-22T00:00:00"/>
    <x v="32"/>
    <s v="AGH"/>
    <n v="17.6373"/>
    <n v="0"/>
    <n v="38343.913999999997"/>
    <n v="0"/>
    <x v="167"/>
    <n v="99939121.079999998"/>
    <n v="5666344.9359999998"/>
  </r>
  <r>
    <s v="SK14"/>
    <d v="2013-11-22T00:00:00"/>
    <x v="32"/>
    <s v="AI"/>
    <n v="16.814900000000002"/>
    <n v="40062"/>
    <n v="0"/>
    <n v="668326.30000000005"/>
    <x v="1"/>
    <n v="39480794.299999997"/>
    <n v="2347968.1359999999"/>
  </r>
  <r>
    <s v="SK14"/>
    <d v="2013-11-22T00:00:00"/>
    <x v="32"/>
    <s v="C1M"/>
    <n v="10.934900000000001"/>
    <n v="3995.0569999999998"/>
    <n v="0"/>
    <n v="43343.97"/>
    <x v="1"/>
    <n v="294168.96999999997"/>
    <n v="26901.85"/>
  </r>
  <r>
    <s v="SK14"/>
    <d v="2013-11-22T00:00:00"/>
    <x v="32"/>
    <s v="RGI"/>
    <n v="16.820399999999999"/>
    <n v="3931.4760000000001"/>
    <n v="0"/>
    <n v="65607.48"/>
    <x v="1"/>
    <n v="30193457.07"/>
    <n v="1795052.1159999999"/>
  </r>
  <r>
    <s v="SK14"/>
    <d v="2013-11-25T00:00:00"/>
    <x v="33"/>
    <s v="A3"/>
    <n v="17.802199999999999"/>
    <n v="0"/>
    <n v="1601.7080000000001"/>
    <n v="0"/>
    <x v="168"/>
    <n v="7256118.7699999996"/>
    <n v="407596.277"/>
  </r>
  <r>
    <s v="SK14"/>
    <d v="2013-11-25T00:00:00"/>
    <x v="33"/>
    <s v="AA"/>
    <n v="22.002400000000002"/>
    <n v="51409.08"/>
    <n v="2672.8539999999998"/>
    <n v="1125828"/>
    <x v="169"/>
    <n v="221010336.05000001"/>
    <n v="10044810.725"/>
  </r>
  <r>
    <s v="SK14"/>
    <d v="2013-11-25T00:00:00"/>
    <x v="33"/>
    <s v="AB"/>
    <n v="17.665500000000002"/>
    <n v="1964.9839999999999"/>
    <n v="2267.788"/>
    <n v="34554.03"/>
    <x v="170"/>
    <n v="12808531.9"/>
    <n v="725057.82799999998"/>
  </r>
  <r>
    <s v="SK14"/>
    <d v="2013-11-25T00:00:00"/>
    <x v="33"/>
    <s v="AC"/>
    <n v="18.336200000000002"/>
    <n v="3273.2460000000001"/>
    <n v="3.5110000000000001"/>
    <n v="59745.25"/>
    <x v="171"/>
    <n v="32958042.129999999"/>
    <n v="1797425.9850000001"/>
  </r>
  <r>
    <s v="SK14"/>
    <d v="2013-11-25T00:00:00"/>
    <x v="33"/>
    <s v="AGH"/>
    <n v="17.734300000000001"/>
    <n v="0"/>
    <n v="1708.7339999999999"/>
    <n v="0"/>
    <x v="172"/>
    <n v="100458195.73999999"/>
    <n v="5664636.2019999996"/>
  </r>
  <r>
    <s v="SK14"/>
    <d v="2013-11-25T00:00:00"/>
    <x v="33"/>
    <s v="AI"/>
    <n v="16.895099999999999"/>
    <n v="0"/>
    <n v="15249"/>
    <n v="0"/>
    <x v="173"/>
    <n v="39411411.759999998"/>
    <n v="2332719.1359999999"/>
  </r>
  <r>
    <s v="SK14"/>
    <d v="2013-11-25T00:00:00"/>
    <x v="33"/>
    <s v="BUI"/>
    <n v="10.7944"/>
    <n v="0"/>
    <n v="9393.7139999999999"/>
    <n v="0"/>
    <x v="174"/>
    <n v="867036.29"/>
    <n v="80322.778000000006"/>
  </r>
  <r>
    <s v="SK14"/>
    <d v="2013-11-25T00:00:00"/>
    <x v="33"/>
    <s v="RGI"/>
    <n v="16.900600000000001"/>
    <n v="6465.0420000000004"/>
    <n v="0"/>
    <n v="108744.3"/>
    <x v="1"/>
    <n v="30446686.899999999"/>
    <n v="1801517.1580000001"/>
  </r>
  <r>
    <s v="SK14"/>
    <d v="2013-11-25T00:00:00"/>
    <x v="33"/>
    <s v="S4"/>
    <n v="17.828099999999999"/>
    <n v="0"/>
    <n v="176.13900000000001"/>
    <n v="0"/>
    <x v="175"/>
    <n v="1035928.09"/>
    <n v="58106.514999999999"/>
  </r>
  <r>
    <s v="SK14"/>
    <d v="2013-11-26T00:00:00"/>
    <x v="34"/>
    <s v="AA"/>
    <n v="21.943000000000001"/>
    <n v="58983.224000000002"/>
    <n v="6409.3010000000004"/>
    <n v="1297772.54"/>
    <x v="176"/>
    <n v="221567290.61000001"/>
    <n v="10097384.648"/>
  </r>
  <r>
    <s v="SK14"/>
    <d v="2013-11-26T00:00:00"/>
    <x v="34"/>
    <s v="AB"/>
    <n v="17.617100000000001"/>
    <n v="56315.341"/>
    <n v="0"/>
    <n v="994838.65"/>
    <x v="1"/>
    <n v="13765537.49"/>
    <n v="781373.16899999999"/>
  </r>
  <r>
    <s v="SK14"/>
    <d v="2013-11-26T00:00:00"/>
    <x v="34"/>
    <s v="AC"/>
    <n v="18.286000000000001"/>
    <n v="27229.375"/>
    <n v="12209.01"/>
    <n v="499283.26"/>
    <x v="177"/>
    <n v="33142370.390000001"/>
    <n v="1812446.35"/>
  </r>
  <r>
    <s v="SK14"/>
    <d v="2013-11-26T00:00:00"/>
    <x v="34"/>
    <s v="AGH"/>
    <n v="17.7121"/>
    <n v="902.51099999999997"/>
    <n v="0"/>
    <n v="16005.46"/>
    <x v="1"/>
    <n v="100348664.56999999"/>
    <n v="5665538.7130000005"/>
  </r>
  <r>
    <s v="SK14"/>
    <d v="2013-11-26T00:00:00"/>
    <x v="34"/>
    <s v="AI"/>
    <n v="16.849799999999998"/>
    <n v="0"/>
    <n v="47466"/>
    <n v="0"/>
    <x v="178"/>
    <n v="38506025.969999999"/>
    <n v="2285253.1359999999"/>
  </r>
  <r>
    <s v="SK14"/>
    <d v="2013-11-26T00:00:00"/>
    <x v="34"/>
    <s v="RGI"/>
    <n v="16.8553"/>
    <n v="630"/>
    <n v="0"/>
    <n v="10647.39"/>
    <x v="1"/>
    <n v="30375732.600000001"/>
    <n v="1802147.1580000001"/>
  </r>
  <r>
    <s v="SK14"/>
    <d v="2013-11-26T00:00:00"/>
    <x v="34"/>
    <s v="S4"/>
    <n v="17.780200000000001"/>
    <n v="0"/>
    <n v="10.978999999999999"/>
    <n v="0"/>
    <x v="179"/>
    <n v="1032950.31"/>
    <n v="58095.536"/>
  </r>
  <r>
    <s v="SK14"/>
    <d v="2013-11-27T00:00:00"/>
    <x v="35"/>
    <s v="A3"/>
    <n v="17.735900000000001"/>
    <n v="22.891999999999999"/>
    <n v="0"/>
    <n v="406.43"/>
    <x v="1"/>
    <n v="7229476.4400000004"/>
    <n v="407619.16899999999"/>
  </r>
  <r>
    <s v="SK14"/>
    <d v="2013-11-27T00:00:00"/>
    <x v="35"/>
    <s v="AA"/>
    <n v="21.920400000000001"/>
    <n v="12472.812"/>
    <n v="75488.498999999996"/>
    <n v="273690.88"/>
    <x v="180"/>
    <n v="219957596.86000001"/>
    <n v="10034368.960999999"/>
  </r>
  <r>
    <s v="SK14"/>
    <d v="2013-11-27T00:00:00"/>
    <x v="35"/>
    <s v="AB"/>
    <n v="17.598199999999999"/>
    <n v="0"/>
    <n v="3006.75"/>
    <n v="0"/>
    <x v="181"/>
    <n v="13697870.43"/>
    <n v="778366.41899999999"/>
  </r>
  <r>
    <s v="SK14"/>
    <d v="2013-11-27T00:00:00"/>
    <x v="35"/>
    <s v="AC"/>
    <n v="18.266400000000001"/>
    <n v="3265.723"/>
    <n v="987.7"/>
    <n v="59717.02"/>
    <x v="182"/>
    <n v="33148460.41"/>
    <n v="1814724.3729999999"/>
  </r>
  <r>
    <s v="SK14"/>
    <d v="2013-11-27T00:00:00"/>
    <x v="35"/>
    <s v="AGH"/>
    <n v="17.7608"/>
    <n v="0"/>
    <n v="74643.198999999993"/>
    <n v="0"/>
    <x v="183"/>
    <n v="99298872.989999995"/>
    <n v="5590895.5140000004"/>
  </r>
  <r>
    <s v="SK14"/>
    <d v="2013-11-27T00:00:00"/>
    <x v="35"/>
    <s v="AI"/>
    <n v="16.832799999999999"/>
    <n v="0"/>
    <n v="89537"/>
    <n v="0"/>
    <x v="184"/>
    <n v="36959973.140000001"/>
    <n v="2195716.1359999999"/>
  </r>
  <r>
    <s v="SK14"/>
    <d v="2013-11-27T00:00:00"/>
    <x v="35"/>
    <s v="C1M"/>
    <n v="10.943199999999999"/>
    <n v="1856.6949999999999"/>
    <n v="0"/>
    <n v="20339.91"/>
    <x v="1"/>
    <n v="314709.51"/>
    <n v="28758.544999999998"/>
  </r>
  <r>
    <s v="SK14"/>
    <d v="2013-11-27T00:00:00"/>
    <x v="35"/>
    <s v="RGI"/>
    <n v="16.8383"/>
    <n v="6419.2120000000004"/>
    <n v="0"/>
    <n v="108198.19"/>
    <x v="1"/>
    <n v="30453137.91"/>
    <n v="1808566.37"/>
  </r>
  <r>
    <s v="SK14"/>
    <d v="2013-11-29T00:00:00"/>
    <x v="36"/>
    <s v="AA"/>
    <n v="21.934799999999999"/>
    <n v="5206.3810000000003"/>
    <n v="28803.202000000001"/>
    <n v="114125.94"/>
    <x v="185"/>
    <n v="219583945.86000001"/>
    <n v="10010772.140000001"/>
  </r>
  <r>
    <s v="SK14"/>
    <d v="2013-11-29T00:00:00"/>
    <x v="36"/>
    <s v="AB"/>
    <n v="17.6083"/>
    <n v="152168.182"/>
    <n v="391.06700000000001"/>
    <n v="2677886.11"/>
    <x v="186"/>
    <n v="16378240.800000001"/>
    <n v="930143.53399999999"/>
  </r>
  <r>
    <s v="SK14"/>
    <d v="2013-11-29T00:00:00"/>
    <x v="36"/>
    <s v="AC"/>
    <n v="18.276800000000001"/>
    <n v="39807.337"/>
    <n v="5108.1419999999998"/>
    <n v="727136.71"/>
    <x v="187"/>
    <n v="33801620.109999999"/>
    <n v="1849423.568"/>
  </r>
  <r>
    <s v="SK14"/>
    <d v="2013-11-29T00:00:00"/>
    <x v="36"/>
    <s v="AGH"/>
    <n v="17.786999999999999"/>
    <n v="0"/>
    <n v="329.22699999999998"/>
    <n v="0"/>
    <x v="188"/>
    <n v="99439350.900000006"/>
    <n v="5590566.2869999995"/>
  </r>
  <r>
    <s v="SK14"/>
    <d v="2013-11-29T00:00:00"/>
    <x v="36"/>
    <s v="AI"/>
    <n v="16.8445"/>
    <n v="0"/>
    <n v="48821"/>
    <n v="0"/>
    <x v="189"/>
    <n v="36163312.789999999"/>
    <n v="2146895.1359999999"/>
  </r>
  <r>
    <s v="SK14"/>
    <d v="2013-11-29T00:00:00"/>
    <x v="36"/>
    <s v="RGI"/>
    <n v="16.850000000000001"/>
    <n v="6377.4669999999996"/>
    <n v="900"/>
    <n v="107385.36"/>
    <x v="190"/>
    <n v="30566612.899999999"/>
    <n v="1814043.8370000001"/>
  </r>
  <r>
    <s v="SK14"/>
    <d v="2013-11-29T00:00:00"/>
    <x v="36"/>
    <s v="S4"/>
    <n v="17.7742"/>
    <n v="0"/>
    <n v="71.673000000000002"/>
    <n v="0"/>
    <x v="191"/>
    <n v="1031329.43"/>
    <n v="58023.862999999998"/>
  </r>
  <r>
    <s v="SK14"/>
    <d v="2013-12-02T00:00:00"/>
    <x v="37"/>
    <s v="A3"/>
    <n v="17.698"/>
    <n v="0"/>
    <n v="115.06699999999999"/>
    <n v="0"/>
    <x v="192"/>
    <n v="7212006.8099999996"/>
    <n v="407504.10200000001"/>
  </r>
  <r>
    <s v="SK14"/>
    <d v="2013-12-02T00:00:00"/>
    <x v="37"/>
    <s v="AA"/>
    <n v="21.8736"/>
    <n v="28941.742999999999"/>
    <n v="3571.9839999999999"/>
    <n v="634831.35"/>
    <x v="193"/>
    <n v="219526823.12"/>
    <n v="10036141.899"/>
  </r>
  <r>
    <s v="SK14"/>
    <d v="2013-12-02T00:00:00"/>
    <x v="37"/>
    <s v="AB"/>
    <n v="17.556999999999999"/>
    <n v="36978.521999999997"/>
    <n v="1801.8019999999999"/>
    <n v="651128.93999999994"/>
    <x v="194"/>
    <n v="16948169.489999998"/>
    <n v="965320.25399999996"/>
  </r>
  <r>
    <s v="SK14"/>
    <d v="2013-12-02T00:00:00"/>
    <x v="37"/>
    <s v="AC"/>
    <n v="18.223600000000001"/>
    <n v="22087.13"/>
    <n v="6028.6549999999997"/>
    <n v="403682.09"/>
    <x v="195"/>
    <n v="33995879.920000002"/>
    <n v="1865482.0430000001"/>
  </r>
  <r>
    <s v="SK14"/>
    <d v="2013-12-02T00:00:00"/>
    <x v="37"/>
    <s v="AGH"/>
    <n v="17.638000000000002"/>
    <n v="260.86200000000002"/>
    <n v="543.28700000000003"/>
    <n v="4639.96"/>
    <x v="196"/>
    <n v="98601578.900000006"/>
    <n v="5590283.8619999997"/>
  </r>
  <r>
    <s v="SK14"/>
    <d v="2013-12-02T00:00:00"/>
    <x v="37"/>
    <s v="BUI"/>
    <n v="10.7281"/>
    <n v="884.87900000000002"/>
    <n v="0"/>
    <n v="9520.77"/>
    <x v="1"/>
    <n v="871205.02"/>
    <n v="81207.657000000007"/>
  </r>
  <r>
    <s v="SK14"/>
    <d v="2013-12-02T00:00:00"/>
    <x v="37"/>
    <s v="RGI"/>
    <n v="16.804099999999998"/>
    <n v="21119.931"/>
    <n v="2850"/>
    <n v="355869.69"/>
    <x v="197"/>
    <n v="30790306.25"/>
    <n v="1832313.7679999999"/>
  </r>
  <r>
    <s v="SK14"/>
    <d v="2013-12-03T00:00:00"/>
    <x v="38"/>
    <s v="AA"/>
    <n v="21.846299999999999"/>
    <n v="28450.829000000002"/>
    <n v="32035.278999999999"/>
    <n v="622322.06000000006"/>
    <x v="198"/>
    <n v="219174668.91999999"/>
    <n v="10032557.448999999"/>
  </r>
  <r>
    <s v="SK14"/>
    <d v="2013-12-03T00:00:00"/>
    <x v="38"/>
    <s v="AB"/>
    <n v="17.534400000000002"/>
    <n v="43147.114000000001"/>
    <n v="3164.2330000000002"/>
    <n v="757533.89"/>
    <x v="199"/>
    <n v="17627406.039999999"/>
    <n v="1005303.135"/>
  </r>
  <r>
    <s v="SK14"/>
    <d v="2013-12-03T00:00:00"/>
    <x v="38"/>
    <s v="AC"/>
    <n v="18.200199999999999"/>
    <n v="20738.597000000002"/>
    <n v="2917.8829999999998"/>
    <n v="377931.85"/>
    <x v="200"/>
    <n v="34276413.950000003"/>
    <n v="1883302.757"/>
  </r>
  <r>
    <s v="SK14"/>
    <d v="2013-12-03T00:00:00"/>
    <x v="38"/>
    <s v="AGH"/>
    <n v="17.667400000000001"/>
    <n v="7480"/>
    <n v="422.041"/>
    <n v="131932.42000000001"/>
    <x v="201"/>
    <n v="98890553.650000006"/>
    <n v="5597341.8210000005"/>
  </r>
  <r>
    <s v="SK14"/>
    <d v="2013-12-03T00:00:00"/>
    <x v="38"/>
    <s v="AI"/>
    <n v="16.777899999999999"/>
    <n v="30611"/>
    <n v="0"/>
    <n v="514221.94"/>
    <x v="1"/>
    <n v="36534086.450000003"/>
    <n v="2177506.1359999999"/>
  </r>
  <r>
    <s v="SK14"/>
    <d v="2013-12-03T00:00:00"/>
    <x v="38"/>
    <s v="RGI"/>
    <n v="16.7834"/>
    <n v="536.15099999999995"/>
    <n v="0"/>
    <n v="9009.5499999999993"/>
    <x v="1"/>
    <n v="30761528.27"/>
    <n v="1832849.919"/>
  </r>
  <r>
    <s v="SK14"/>
    <d v="2013-12-03T00:00:00"/>
    <x v="38"/>
    <s v="S4"/>
    <n v="17.703499999999998"/>
    <n v="0"/>
    <n v="3.2519999999999998"/>
    <n v="0"/>
    <x v="202"/>
    <n v="1027170.7"/>
    <n v="58020.610999999997"/>
  </r>
  <r>
    <s v="SK14"/>
    <d v="2013-12-04T00:00:00"/>
    <x v="39"/>
    <s v="AA"/>
    <n v="21.6996"/>
    <n v="6832.0609999999997"/>
    <n v="14716.455"/>
    <n v="149255.26999999999"/>
    <x v="203"/>
    <n v="217530954.66"/>
    <n v="10024673.055"/>
  </r>
  <r>
    <s v="SK14"/>
    <d v="2013-12-04T00:00:00"/>
    <x v="39"/>
    <s v="AB"/>
    <n v="17.415900000000001"/>
    <n v="1950.97"/>
    <n v="4577.71"/>
    <n v="34209.08"/>
    <x v="204"/>
    <n v="17462496.760000002"/>
    <n v="1002676.395"/>
  </r>
  <r>
    <s v="SK14"/>
    <d v="2013-12-04T00:00:00"/>
    <x v="39"/>
    <s v="AC"/>
    <n v="18.077100000000002"/>
    <n v="884.53200000000004"/>
    <n v="2313.1640000000002"/>
    <n v="16098.66"/>
    <x v="205"/>
    <n v="34018877.719999999"/>
    <n v="1881874.125"/>
  </r>
  <r>
    <s v="SK14"/>
    <d v="2013-12-04T00:00:00"/>
    <x v="39"/>
    <s v="AGH"/>
    <n v="17.568999999999999"/>
    <n v="1"/>
    <n v="7744.5529999999999"/>
    <n v="17.670000000000002"/>
    <x v="206"/>
    <n v="98203396.349999994"/>
    <n v="5589598.2680000002"/>
  </r>
  <r>
    <s v="SK14"/>
    <d v="2013-12-04T00:00:00"/>
    <x v="39"/>
    <s v="AI"/>
    <n v="16.665600000000001"/>
    <n v="14747"/>
    <n v="0"/>
    <n v="247423.69"/>
    <x v="1"/>
    <n v="36535132.299999997"/>
    <n v="2192253.1359999999"/>
  </r>
  <r>
    <s v="SK14"/>
    <d v="2013-12-04T00:00:00"/>
    <x v="39"/>
    <s v="BUI"/>
    <n v="10.6419"/>
    <n v="393.27699999999999"/>
    <n v="0"/>
    <n v="4213.6899999999996"/>
    <x v="1"/>
    <n v="868385.84"/>
    <n v="81600.933999999994"/>
  </r>
  <r>
    <s v="SK14"/>
    <d v="2013-12-04T00:00:00"/>
    <x v="39"/>
    <s v="RGI"/>
    <n v="16.670999999999999"/>
    <n v="24960.58"/>
    <n v="0"/>
    <n v="418922.76"/>
    <x v="1"/>
    <n v="30971591.390000001"/>
    <n v="1857810.4990000001"/>
  </r>
  <r>
    <s v="SK14"/>
    <d v="2013-12-05T00:00:00"/>
    <x v="40"/>
    <s v="AA"/>
    <n v="21.601299999999998"/>
    <n v="6215.7349999999997"/>
    <n v="21890.882000000001"/>
    <n v="134878.98000000001"/>
    <x v="207"/>
    <n v="216206999.71000001"/>
    <n v="10008997.908"/>
  </r>
  <r>
    <s v="SK14"/>
    <d v="2013-12-05T00:00:00"/>
    <x v="40"/>
    <s v="AB"/>
    <n v="17.336300000000001"/>
    <n v="350.77100000000002"/>
    <n v="10282.931"/>
    <n v="6108.99"/>
    <x v="208"/>
    <n v="17210492.27"/>
    <n v="992744.23499999999"/>
  </r>
  <r>
    <s v="SK14"/>
    <d v="2013-12-05T00:00:00"/>
    <x v="40"/>
    <s v="AC"/>
    <n v="17.994499999999999"/>
    <n v="8224.9339999999993"/>
    <n v="2290.444"/>
    <n v="148682.92000000001"/>
    <x v="209"/>
    <n v="33970172.149999999"/>
    <n v="1887808.615"/>
  </r>
  <r>
    <s v="SK14"/>
    <d v="2013-12-05T00:00:00"/>
    <x v="40"/>
    <s v="AGH"/>
    <n v="17.485800000000001"/>
    <n v="1"/>
    <n v="618.79300000000001"/>
    <n v="17.57"/>
    <x v="210"/>
    <n v="97727537.859999999"/>
    <n v="5588980.4749999996"/>
  </r>
  <r>
    <s v="SK14"/>
    <d v="2013-12-05T00:00:00"/>
    <x v="40"/>
    <s v="AI"/>
    <n v="16.590399999999999"/>
    <n v="77421"/>
    <n v="0"/>
    <n v="1290267.42"/>
    <x v="1"/>
    <n v="37654838.990000002"/>
    <n v="2269674.1359999999"/>
  </r>
  <r>
    <s v="SK14"/>
    <d v="2013-12-05T00:00:00"/>
    <x v="40"/>
    <s v="BUI"/>
    <n v="10.5932"/>
    <n v="3960.1060000000002"/>
    <n v="0"/>
    <n v="42143.040000000001"/>
    <x v="1"/>
    <n v="906367.03"/>
    <n v="85561.04"/>
  </r>
  <r>
    <s v="SK14"/>
    <d v="2013-12-05T00:00:00"/>
    <x v="40"/>
    <s v="RGI"/>
    <n v="16.595800000000001"/>
    <n v="196.30600000000001"/>
    <n v="0"/>
    <n v="3272.6"/>
    <x v="1"/>
    <n v="30835193.41"/>
    <n v="1858006.8049999999"/>
  </r>
  <r>
    <s v="SK14"/>
    <d v="2013-12-05T00:00:00"/>
    <x v="40"/>
    <s v="S4"/>
    <n v="17.505400000000002"/>
    <n v="0"/>
    <n v="34.359000000000002"/>
    <n v="0"/>
    <x v="211"/>
    <n v="1015074.17"/>
    <n v="57986.252"/>
  </r>
  <r>
    <s v="SK14"/>
    <d v="2013-12-06T00:00:00"/>
    <x v="41"/>
    <s v="AA"/>
    <n v="21.457000000000001"/>
    <n v="2664.46"/>
    <n v="31671.902999999998"/>
    <n v="57555.79"/>
    <x v="212"/>
    <n v="214141039.53"/>
    <n v="9979990.4649999999"/>
  </r>
  <r>
    <s v="SK14"/>
    <d v="2013-12-06T00:00:00"/>
    <x v="41"/>
    <s v="AB"/>
    <n v="17.219799999999999"/>
    <n v="4079.415"/>
    <n v="15004.788"/>
    <n v="70721.98"/>
    <x v="213"/>
    <n v="16906742.879999999"/>
    <n v="981818.86199999996"/>
  </r>
  <r>
    <s v="SK14"/>
    <d v="2013-12-06T00:00:00"/>
    <x v="41"/>
    <s v="AC"/>
    <n v="17.8736"/>
    <n v="2579.808"/>
    <n v="386.99400000000003"/>
    <n v="46422.36"/>
    <x v="214"/>
    <n v="33781161.630000003"/>
    <n v="1890001.429"/>
  </r>
  <r>
    <s v="SK14"/>
    <d v="2013-12-06T00:00:00"/>
    <x v="41"/>
    <s v="AGH"/>
    <n v="17.477799999999998"/>
    <n v="6348.3429999999998"/>
    <n v="0"/>
    <n v="111005.79"/>
    <x v="1"/>
    <n v="97794188.719999999"/>
    <n v="5595328.818"/>
  </r>
  <r>
    <s v="SK14"/>
    <d v="2013-12-06T00:00:00"/>
    <x v="41"/>
    <s v="AI"/>
    <n v="16.48"/>
    <n v="0"/>
    <n v="82625"/>
    <n v="0"/>
    <x v="215"/>
    <n v="36042545.659999996"/>
    <n v="2187049.1359999999"/>
  </r>
  <r>
    <s v="SK14"/>
    <d v="2013-12-06T00:00:00"/>
    <x v="41"/>
    <s v="BUI"/>
    <n v="10.5221"/>
    <n v="4787.482"/>
    <n v="0"/>
    <n v="50714.75"/>
    <x v="1"/>
    <n v="950652.31"/>
    <n v="90348.521999999997"/>
  </r>
  <r>
    <s v="SK14"/>
    <d v="2013-12-06T00:00:00"/>
    <x v="41"/>
    <s v="C1M"/>
    <n v="10.7079"/>
    <n v="0"/>
    <n v="2091.4029999999998"/>
    <n v="0"/>
    <x v="216"/>
    <n v="285548.03999999998"/>
    <n v="26667.142"/>
  </r>
  <r>
    <s v="SK14"/>
    <d v="2013-12-06T00:00:00"/>
    <x v="41"/>
    <s v="RGI"/>
    <n v="16.485399999999998"/>
    <n v="7094.9790000000003"/>
    <n v="370"/>
    <n v="117746.75"/>
    <x v="217"/>
    <n v="30740813.690000001"/>
    <n v="1864731.784"/>
  </r>
  <r>
    <s v="SK14"/>
    <d v="2013-12-06T00:00:00"/>
    <x v="41"/>
    <s v="S4"/>
    <n v="17.3888"/>
    <n v="0"/>
    <n v="3.82"/>
    <n v="0"/>
    <x v="218"/>
    <n v="1008244.32"/>
    <n v="57982.432000000001"/>
  </r>
  <r>
    <s v="SK14"/>
    <d v="2013-12-09T00:00:00"/>
    <x v="42"/>
    <s v="A3"/>
    <n v="17.566600000000001"/>
    <n v="23.625"/>
    <n v="0"/>
    <n v="410.15"/>
    <x v="1"/>
    <n v="7158876.5800000001"/>
    <n v="407527.72700000001"/>
  </r>
  <r>
    <s v="SK14"/>
    <d v="2013-12-09T00:00:00"/>
    <x v="42"/>
    <s v="AA"/>
    <n v="21.711200000000002"/>
    <n v="30614.048999999999"/>
    <n v="41652.131999999998"/>
    <n v="656885.67000000004"/>
    <x v="219"/>
    <n v="216438188.53"/>
    <n v="9968952.3819999993"/>
  </r>
  <r>
    <s v="SK14"/>
    <d v="2013-12-09T00:00:00"/>
    <x v="42"/>
    <s v="AB"/>
    <n v="17.421700000000001"/>
    <n v="60222.358"/>
    <n v="0"/>
    <n v="1037016.99"/>
    <x v="1"/>
    <n v="18154116.469999999"/>
    <n v="1042041.22"/>
  </r>
  <r>
    <s v="SK14"/>
    <d v="2013-12-09T00:00:00"/>
    <x v="42"/>
    <s v="AC"/>
    <n v="18.083200000000001"/>
    <n v="11933.987999999999"/>
    <n v="6231.7860000000001"/>
    <n v="213303.38"/>
    <x v="220"/>
    <n v="34280295.490000002"/>
    <n v="1895703.6310000001"/>
  </r>
  <r>
    <s v="SK14"/>
    <d v="2013-12-09T00:00:00"/>
    <x v="42"/>
    <s v="AGH"/>
    <n v="17.7439"/>
    <n v="0"/>
    <n v="10557.466"/>
    <n v="0"/>
    <x v="221"/>
    <n v="99095368.620000005"/>
    <n v="5584771.352"/>
  </r>
  <r>
    <s v="SK14"/>
    <d v="2013-12-09T00:00:00"/>
    <x v="42"/>
    <s v="AI"/>
    <n v="16.676200000000001"/>
    <n v="0"/>
    <n v="123758"/>
    <n v="0"/>
    <x v="222"/>
    <n v="34407922.969999999"/>
    <n v="2063291.1359999999"/>
  </r>
  <r>
    <s v="SK14"/>
    <d v="2013-12-09T00:00:00"/>
    <x v="42"/>
    <s v="AUI"/>
    <n v="10.913"/>
    <n v="12.510999999999999"/>
    <n v="0"/>
    <n v="134.93"/>
    <x v="1"/>
    <n v="230574.71"/>
    <n v="21128.393"/>
  </r>
  <r>
    <s v="SK14"/>
    <d v="2013-12-09T00:00:00"/>
    <x v="42"/>
    <s v="BUI"/>
    <n v="10.6454"/>
    <n v="7925.1639999999998"/>
    <n v="0"/>
    <n v="83389.37"/>
    <x v="1"/>
    <n v="1046163.87"/>
    <n v="98273.686000000002"/>
  </r>
  <r>
    <s v="SK14"/>
    <d v="2013-12-09T00:00:00"/>
    <x v="42"/>
    <s v="RGI"/>
    <n v="16.681699999999999"/>
    <n v="4832"/>
    <n v="85"/>
    <n v="79657.649999999994"/>
    <x v="223"/>
    <n v="31186064.739999998"/>
    <n v="1869478.784"/>
  </r>
  <r>
    <s v="SK14"/>
    <d v="2013-12-09T00:00:00"/>
    <x v="42"/>
    <s v="S4"/>
    <n v="17.595500000000001"/>
    <n v="0"/>
    <n v="2.9769999999999999"/>
    <n v="0"/>
    <x v="224"/>
    <n v="1020177.43"/>
    <n v="57979.455000000002"/>
  </r>
  <r>
    <s v="SK14"/>
    <d v="2013-12-10T00:00:00"/>
    <x v="43"/>
    <s v="A3"/>
    <n v="17.5791"/>
    <n v="483.84"/>
    <n v="5272.835"/>
    <n v="8499.4500000000007"/>
    <x v="225"/>
    <n v="7079772.4900000002"/>
    <n v="402738.73200000002"/>
  </r>
  <r>
    <s v="SK14"/>
    <d v="2013-12-10T00:00:00"/>
    <x v="43"/>
    <s v="AA"/>
    <n v="21.726600000000001"/>
    <n v="11202.527"/>
    <n v="5654.9970000000003"/>
    <n v="243220.33"/>
    <x v="226"/>
    <n v="216712368.36000001"/>
    <n v="9974499.9120000005"/>
  </r>
  <r>
    <s v="SK14"/>
    <d v="2013-12-10T00:00:00"/>
    <x v="43"/>
    <s v="AB"/>
    <n v="17.433299999999999"/>
    <n v="16889.54"/>
    <n v="1359.645"/>
    <n v="294244.53999999998"/>
    <x v="227"/>
    <n v="18436996.289999999"/>
    <n v="1057571.115"/>
  </r>
  <r>
    <s v="SK14"/>
    <d v="2013-12-10T00:00:00"/>
    <x v="43"/>
    <s v="AC"/>
    <n v="18.095199999999998"/>
    <n v="25835.062999999998"/>
    <n v="16753.400000000001"/>
    <n v="467180.69"/>
    <x v="228"/>
    <n v="34467557.939999998"/>
    <n v="1904785.294"/>
  </r>
  <r>
    <s v="SK14"/>
    <d v="2013-12-10T00:00:00"/>
    <x v="43"/>
    <s v="AGH"/>
    <n v="17.7913"/>
    <n v="0"/>
    <n v="1608.0150000000001"/>
    <n v="0"/>
    <x v="229"/>
    <n v="99331803.75"/>
    <n v="5583163.3370000003"/>
  </r>
  <r>
    <s v="SK14"/>
    <d v="2013-12-10T00:00:00"/>
    <x v="43"/>
    <s v="AI"/>
    <n v="16.688400000000001"/>
    <n v="0"/>
    <n v="200143"/>
    <n v="0"/>
    <x v="230"/>
    <n v="31092993.68"/>
    <n v="1863148.1359999999"/>
  </r>
  <r>
    <s v="SK14"/>
    <d v="2013-12-10T00:00:00"/>
    <x v="43"/>
    <s v="RGI"/>
    <n v="16.693899999999999"/>
    <n v="4600.7120000000004"/>
    <n v="0"/>
    <n v="76747.789999999994"/>
    <x v="1"/>
    <n v="31285648.57"/>
    <n v="1874079.496"/>
  </r>
  <r>
    <s v="SK14"/>
    <d v="2013-12-10T00:00:00"/>
    <x v="43"/>
    <s v="S4"/>
    <n v="17.6082"/>
    <n v="0.93100000000000005"/>
    <n v="161.33099999999999"/>
    <n v="16.38"/>
    <x v="231"/>
    <n v="1018091.26"/>
    <n v="57819.055"/>
  </r>
  <r>
    <s v="SK14"/>
    <d v="2013-12-11T00:00:00"/>
    <x v="44"/>
    <s v="A3"/>
    <n v="17.5625"/>
    <n v="23.456"/>
    <n v="5389.0540000000001"/>
    <n v="412.34"/>
    <x v="232"/>
    <n v="6978863.2300000004"/>
    <n v="397373.13400000002"/>
  </r>
  <r>
    <s v="SK14"/>
    <d v="2013-12-11T00:00:00"/>
    <x v="44"/>
    <s v="AA"/>
    <n v="21.706199999999999"/>
    <n v="1625.9659999999999"/>
    <n v="25663.302"/>
    <n v="35326.720000000001"/>
    <x v="233"/>
    <n v="215986260.25999999"/>
    <n v="9950462.5759999994"/>
  </r>
  <r>
    <s v="SK14"/>
    <d v="2013-12-11T00:00:00"/>
    <x v="44"/>
    <s v="AB"/>
    <n v="17.4162"/>
    <n v="2009.5239999999999"/>
    <n v="655.86699999999996"/>
    <n v="35032.639999999999"/>
    <x v="234"/>
    <n v="18442428.760000002"/>
    <n v="1058924.7720000001"/>
  </r>
  <r>
    <s v="SK14"/>
    <d v="2013-12-11T00:00:00"/>
    <x v="44"/>
    <s v="AC"/>
    <n v="18.077400000000001"/>
    <n v="4.7759999999999998"/>
    <n v="994.99300000000005"/>
    <n v="86.42"/>
    <x v="235"/>
    <n v="34415739.390000001"/>
    <n v="1903795.077"/>
  </r>
  <r>
    <s v="SK14"/>
    <d v="2013-12-11T00:00:00"/>
    <x v="44"/>
    <s v="AGH"/>
    <n v="17.8017"/>
    <n v="8940"/>
    <n v="1250567.061"/>
    <n v="159054.16"/>
    <x v="236"/>
    <n v="77286939.670000002"/>
    <n v="4341536.2759999996"/>
  </r>
  <r>
    <s v="SK14"/>
    <d v="2013-12-11T00:00:00"/>
    <x v="44"/>
    <s v="AI"/>
    <n v="16.672999999999998"/>
    <n v="0"/>
    <n v="377217"/>
    <n v="0"/>
    <x v="237"/>
    <n v="24774971.670000002"/>
    <n v="1485931.1359999999"/>
  </r>
  <r>
    <s v="SK14"/>
    <d v="2013-12-11T00:00:00"/>
    <x v="44"/>
    <s v="BUI"/>
    <n v="10.641999999999999"/>
    <n v="1028.174"/>
    <n v="0"/>
    <n v="10952.62"/>
    <x v="1"/>
    <n v="1056775.23"/>
    <n v="99301.86"/>
  </r>
  <r>
    <s v="SK14"/>
    <d v="2013-12-11T00:00:00"/>
    <x v="44"/>
    <s v="C1M"/>
    <n v="10.83"/>
    <n v="423.12900000000002"/>
    <n v="0"/>
    <n v="4586.97"/>
    <x v="1"/>
    <n v="293386.73"/>
    <n v="27090.271000000001"/>
  </r>
  <r>
    <s v="SK14"/>
    <d v="2013-12-11T00:00:00"/>
    <x v="44"/>
    <s v="RGI"/>
    <n v="16.6785"/>
    <n v="15622.412"/>
    <n v="0"/>
    <n v="260798.17"/>
    <x v="1"/>
    <n v="31517347.93"/>
    <n v="1889701.9080000001"/>
  </r>
  <r>
    <s v="SK14"/>
    <d v="2013-12-11T00:00:00"/>
    <x v="44"/>
    <s v="S4"/>
    <n v="17.591899999999999"/>
    <n v="27.565000000000001"/>
    <n v="0"/>
    <n v="485.37"/>
    <x v="1"/>
    <n v="1017630.11"/>
    <n v="57846.62"/>
  </r>
  <r>
    <s v="SK14"/>
    <d v="2013-12-12T00:00:00"/>
    <x v="45"/>
    <s v="AA"/>
    <n v="21.425999999999998"/>
    <n v="24602.170999999998"/>
    <n v="14594.536"/>
    <n v="534019.62"/>
    <x v="238"/>
    <n v="213413116.53999999"/>
    <n v="9960470.2109999992"/>
  </r>
  <r>
    <s v="SK14"/>
    <d v="2013-12-12T00:00:00"/>
    <x v="45"/>
    <s v="AB"/>
    <n v="17.1907"/>
    <n v="1359.4639999999999"/>
    <n v="11108.728999999999"/>
    <n v="23676.7"/>
    <x v="239"/>
    <n v="18036051.93"/>
    <n v="1049175.507"/>
  </r>
  <r>
    <s v="SK14"/>
    <d v="2013-12-12T00:00:00"/>
    <x v="45"/>
    <s v="AC"/>
    <n v="17.843399999999999"/>
    <n v="8859.2690000000002"/>
    <n v="31404.046999999999"/>
    <n v="160152.53"/>
    <x v="240"/>
    <n v="33567873.399999999"/>
    <n v="1881250.2990000001"/>
  </r>
  <r>
    <s v="SK14"/>
    <d v="2013-12-12T00:00:00"/>
    <x v="45"/>
    <s v="AGH"/>
    <n v="17.599799999999998"/>
    <n v="60680"/>
    <n v="24441.469000000001"/>
    <n v="1080209.3799999999"/>
    <x v="241"/>
    <n v="77047874.030000001"/>
    <n v="4377774.807"/>
  </r>
  <r>
    <s v="SK14"/>
    <d v="2013-12-12T00:00:00"/>
    <x v="45"/>
    <s v="BUI"/>
    <n v="10.504300000000001"/>
    <n v="6896.442"/>
    <n v="0"/>
    <n v="73391.92"/>
    <x v="1"/>
    <n v="1115534.49"/>
    <n v="106198.302"/>
  </r>
  <r>
    <s v="SK14"/>
    <d v="2013-12-12T00:00:00"/>
    <x v="45"/>
    <s v="RGI"/>
    <n v="16.4636"/>
    <n v="9480.3250000000007"/>
    <n v="0"/>
    <n v="158117.60999999999"/>
    <x v="1"/>
    <n v="31267305.640000001"/>
    <n v="1899182.233"/>
  </r>
  <r>
    <s v="SK14"/>
    <d v="2013-12-13T00:00:00"/>
    <x v="46"/>
    <s v="AA"/>
    <n v="21.381799999999998"/>
    <n v="449.16"/>
    <n v="104764.644"/>
    <n v="9623.7000000000007"/>
    <x v="242"/>
    <n v="210742186.88999999"/>
    <n v="9856154.727"/>
  </r>
  <r>
    <s v="SK14"/>
    <d v="2013-12-13T00:00:00"/>
    <x v="46"/>
    <s v="AB"/>
    <n v="17.146899999999999"/>
    <n v="8111.4539999999997"/>
    <n v="34966.949999999997"/>
    <n v="139441.57999999999"/>
    <x v="243"/>
    <n v="17529666.399999999"/>
    <n v="1022320.0110000001"/>
  </r>
  <r>
    <s v="SK14"/>
    <d v="2013-12-13T00:00:00"/>
    <x v="46"/>
    <s v="AC"/>
    <n v="17.806699999999999"/>
    <n v="855.97699999999998"/>
    <n v="1173.6859999999999"/>
    <n v="15273.54"/>
    <x v="244"/>
    <n v="33493295.879999999"/>
    <n v="1880932.59"/>
  </r>
  <r>
    <s v="SK14"/>
    <d v="2013-12-13T00:00:00"/>
    <x v="46"/>
    <s v="AGH"/>
    <n v="17.480899999999998"/>
    <n v="0"/>
    <n v="1128.1199999999999"/>
    <n v="0"/>
    <x v="245"/>
    <n v="76507787.390000001"/>
    <n v="4376646.6869999999"/>
  </r>
  <r>
    <s v="SK14"/>
    <d v="2013-12-13T00:00:00"/>
    <x v="46"/>
    <s v="AI"/>
    <n v="16.424499999999998"/>
    <n v="0"/>
    <n v="10138"/>
    <n v="0"/>
    <x v="246"/>
    <n v="24239184.18"/>
    <n v="1475793.1359999999"/>
  </r>
  <r>
    <s v="SK14"/>
    <d v="2013-12-13T00:00:00"/>
    <x v="46"/>
    <s v="BUI"/>
    <n v="10.472099999999999"/>
    <n v="812.73299999999995"/>
    <n v="0"/>
    <n v="8537.19"/>
    <x v="1"/>
    <n v="1120631.3799999999"/>
    <n v="107011.035"/>
  </r>
  <r>
    <s v="SK14"/>
    <d v="2013-12-13T00:00:00"/>
    <x v="46"/>
    <s v="RGI"/>
    <n v="16.427700000000002"/>
    <n v="9562.1139999999996"/>
    <n v="1500"/>
    <n v="157427.53"/>
    <x v="247"/>
    <n v="31331560.93"/>
    <n v="1907244.3470000001"/>
  </r>
  <r>
    <s v="SK14"/>
    <d v="2013-12-16T00:00:00"/>
    <x v="47"/>
    <s v="AA"/>
    <n v="21.363800000000001"/>
    <n v="12409.61"/>
    <n v="6737.9740000000002"/>
    <n v="265339.78999999998"/>
    <x v="248"/>
    <n v="210685955.88999999"/>
    <n v="9861826.3629999999"/>
  </r>
  <r>
    <s v="SK14"/>
    <d v="2013-12-16T00:00:00"/>
    <x v="47"/>
    <s v="AB"/>
    <n v="17.130400000000002"/>
    <n v="12868.348"/>
    <n v="1478.578"/>
    <n v="220652.25"/>
    <x v="249"/>
    <n v="17707859.809999999"/>
    <n v="1033709.781"/>
  </r>
  <r>
    <s v="SK14"/>
    <d v="2013-12-16T00:00:00"/>
    <x v="47"/>
    <s v="AC"/>
    <n v="17.7896"/>
    <n v="7404.3869999999997"/>
    <n v="4912.8010000000004"/>
    <n v="131847.69"/>
    <x v="250"/>
    <n v="33505296.670000002"/>
    <n v="1883424.176"/>
  </r>
  <r>
    <s v="SK14"/>
    <d v="2013-12-16T00:00:00"/>
    <x v="47"/>
    <s v="AGH"/>
    <n v="17.544799999999999"/>
    <n v="9045"/>
    <n v="2521.6709999999998"/>
    <n v="158114.35999999999"/>
    <x v="251"/>
    <n v="76901865.099999994"/>
    <n v="4383170.0159999998"/>
  </r>
  <r>
    <s v="SK14"/>
    <d v="2013-12-16T00:00:00"/>
    <x v="47"/>
    <s v="AI"/>
    <n v="16.4117"/>
    <n v="0"/>
    <n v="77788"/>
    <n v="0"/>
    <x v="252"/>
    <n v="22943642"/>
    <n v="1398005.1359999999"/>
  </r>
  <r>
    <s v="SK14"/>
    <d v="2013-12-16T00:00:00"/>
    <x v="47"/>
    <s v="AUI"/>
    <n v="10.7174"/>
    <n v="188.79599999999999"/>
    <n v="0"/>
    <n v="2025.12"/>
    <x v="1"/>
    <n v="228465.44"/>
    <n v="21317.188999999998"/>
  </r>
  <r>
    <s v="SK14"/>
    <d v="2013-12-16T00:00:00"/>
    <x v="47"/>
    <s v="BUI"/>
    <n v="10.462"/>
    <n v="2484.739"/>
    <n v="0"/>
    <n v="26020.44"/>
    <x v="1"/>
    <n v="1145545.23"/>
    <n v="109495.774"/>
  </r>
  <r>
    <s v="SK14"/>
    <d v="2013-12-16T00:00:00"/>
    <x v="47"/>
    <s v="C1M"/>
    <n v="10.636100000000001"/>
    <n v="7092.8180000000002"/>
    <n v="0"/>
    <n v="75512.98"/>
    <x v="1"/>
    <n v="363576.17"/>
    <n v="34183.089"/>
  </r>
  <r>
    <s v="SK14"/>
    <d v="2013-12-16T00:00:00"/>
    <x v="47"/>
    <s v="RGI"/>
    <n v="16.4148"/>
    <n v="4675"/>
    <n v="0"/>
    <n v="76799.69"/>
    <x v="1"/>
    <n v="31383857.809999999"/>
    <n v="1911919.3470000001"/>
  </r>
  <r>
    <s v="SK14"/>
    <d v="2013-12-17T00:00:00"/>
    <x v="48"/>
    <s v="A3"/>
    <n v="17.364999999999998"/>
    <n v="23.928999999999998"/>
    <n v="0"/>
    <n v="413.57"/>
    <x v="1"/>
    <n v="6900799.5300000003"/>
    <n v="397397.06300000002"/>
  </r>
  <r>
    <s v="SK14"/>
    <d v="2013-12-17T00:00:00"/>
    <x v="48"/>
    <s v="AA"/>
    <n v="21.4648"/>
    <n v="2999.6950000000002"/>
    <n v="38872.483"/>
    <n v="64084.88"/>
    <x v="253"/>
    <n v="210911651.69"/>
    <n v="9825953.5749999993"/>
  </r>
  <r>
    <s v="SK14"/>
    <d v="2013-12-17T00:00:00"/>
    <x v="48"/>
    <s v="AB"/>
    <n v="17.210699999999999"/>
    <n v="2644.1509999999998"/>
    <n v="208250.19200000001"/>
    <n v="45295.360000000001"/>
    <x v="254"/>
    <n v="14252204.57"/>
    <n v="828103.74"/>
  </r>
  <r>
    <s v="SK14"/>
    <d v="2013-12-17T00:00:00"/>
    <x v="48"/>
    <s v="AC"/>
    <n v="17.872900000000001"/>
    <n v="473.58499999999998"/>
    <n v="29755.871999999999"/>
    <n v="8424.8799999999992"/>
    <x v="255"/>
    <n v="33138904.32"/>
    <n v="1854141.889"/>
  </r>
  <r>
    <s v="SK14"/>
    <d v="2013-12-17T00:00:00"/>
    <x v="48"/>
    <s v="AGH"/>
    <n v="17.589700000000001"/>
    <n v="361.43599999999998"/>
    <n v="12459"/>
    <n v="6341.33"/>
    <x v="256"/>
    <n v="76885833.790000007"/>
    <n v="4371072.4519999996"/>
  </r>
  <r>
    <s v="SK14"/>
    <d v="2013-12-17T00:00:00"/>
    <x v="48"/>
    <s v="AI"/>
    <n v="16.489599999999999"/>
    <n v="0"/>
    <n v="39316"/>
    <n v="0"/>
    <x v="257"/>
    <n v="22404239.5"/>
    <n v="1358689.1359999999"/>
  </r>
  <r>
    <s v="SK14"/>
    <d v="2013-12-17T00:00:00"/>
    <x v="48"/>
    <s v="AUI"/>
    <n v="10.7681"/>
    <n v="12.568"/>
    <n v="0"/>
    <n v="134.69999999999999"/>
    <x v="1"/>
    <n v="229680.48"/>
    <n v="21329.757000000001"/>
  </r>
  <r>
    <s v="SK14"/>
    <d v="2013-12-17T00:00:00"/>
    <x v="48"/>
    <s v="BUI"/>
    <n v="10.510999999999999"/>
    <n v="2361.3270000000002"/>
    <n v="0"/>
    <n v="24704.2"/>
    <x v="1"/>
    <n v="1175731.92"/>
    <n v="111857.101"/>
  </r>
  <r>
    <s v="SK14"/>
    <d v="2013-12-17T00:00:00"/>
    <x v="48"/>
    <s v="RGI"/>
    <n v="16.492799999999999"/>
    <n v="3238.8820000000001"/>
    <n v="0"/>
    <n v="53165.440000000002"/>
    <x v="1"/>
    <n v="31586239.829999998"/>
    <n v="1915158.2290000001"/>
  </r>
  <r>
    <s v="SK14"/>
    <d v="2013-12-17T00:00:00"/>
    <x v="48"/>
    <s v="S4"/>
    <n v="17.3949"/>
    <n v="0"/>
    <n v="1700"/>
    <n v="0"/>
    <x v="258"/>
    <n v="976666.21"/>
    <n v="56146.62"/>
  </r>
  <r>
    <s v="SK14"/>
    <d v="2013-12-18T00:00:00"/>
    <x v="49"/>
    <s v="A3"/>
    <n v="17.263200000000001"/>
    <n v="1587.9480000000001"/>
    <n v="2828.9430000000002"/>
    <n v="27574.63"/>
    <x v="259"/>
    <n v="6838908.0499999998"/>
    <n v="396156.06800000003"/>
  </r>
  <r>
    <s v="SK14"/>
    <d v="2013-12-18T00:00:00"/>
    <x v="49"/>
    <s v="AA"/>
    <n v="21.338899999999999"/>
    <n v="113149.586"/>
    <n v="139760.73699999999"/>
    <n v="2428733.2200000002"/>
    <x v="260"/>
    <n v="209106958.36000001"/>
    <n v="9799342.4240000006"/>
  </r>
  <r>
    <s v="SK14"/>
    <d v="2013-12-18T00:00:00"/>
    <x v="49"/>
    <s v="AB"/>
    <n v="17.109000000000002"/>
    <n v="6711.857"/>
    <n v="0"/>
    <n v="115515.75"/>
    <x v="1"/>
    <n v="14282873.890000001"/>
    <n v="834815.59699999995"/>
  </r>
  <r>
    <s v="SK14"/>
    <d v="2013-12-18T00:00:00"/>
    <x v="49"/>
    <s v="AC"/>
    <n v="17.767399999999999"/>
    <n v="32223.245999999999"/>
    <n v="1383.8330000000001"/>
    <n v="575922.87"/>
    <x v="261"/>
    <n v="33491142.23"/>
    <n v="1884981.3019999999"/>
  </r>
  <r>
    <s v="SK14"/>
    <d v="2013-12-18T00:00:00"/>
    <x v="49"/>
    <s v="AGH"/>
    <n v="17.479800000000001"/>
    <n v="0"/>
    <n v="2111.453"/>
    <n v="0"/>
    <x v="262"/>
    <n v="76368370.980000004"/>
    <n v="4368960.9989999998"/>
  </r>
  <r>
    <s v="SK14"/>
    <d v="2013-12-18T00:00:00"/>
    <x v="49"/>
    <s v="AI"/>
    <n v="16.3932"/>
    <n v="0"/>
    <n v="105154"/>
    <n v="0"/>
    <x v="263"/>
    <n v="20549500.940000001"/>
    <n v="1253535.1359999999"/>
  </r>
  <r>
    <s v="SK14"/>
    <d v="2013-12-18T00:00:00"/>
    <x v="49"/>
    <s v="RGI"/>
    <n v="16.3964"/>
    <n v="10926.471"/>
    <n v="1300"/>
    <n v="180208.57"/>
    <x v="264"/>
    <n v="31559499.140000001"/>
    <n v="1924784.7"/>
  </r>
  <r>
    <s v="SK14"/>
    <d v="2013-12-18T00:00:00"/>
    <x v="49"/>
    <s v="S4"/>
    <n v="17.293199999999999"/>
    <n v="0"/>
    <n v="113.705"/>
    <n v="0"/>
    <x v="265"/>
    <n v="968985.8"/>
    <n v="56032.915000000001"/>
  </r>
  <r>
    <s v="SK14"/>
    <d v="2013-12-19T00:00:00"/>
    <x v="50"/>
    <s v="AA"/>
    <n v="21.744499999999999"/>
    <n v="5205.8590000000004"/>
    <n v="10773.098"/>
    <n v="111087.29"/>
    <x v="266"/>
    <n v="212960309.63"/>
    <n v="9793775.1850000005"/>
  </r>
  <r>
    <s v="SK14"/>
    <d v="2013-12-19T00:00:00"/>
    <x v="50"/>
    <s v="AB"/>
    <n v="17.433499999999999"/>
    <n v="12830.186"/>
    <n v="0"/>
    <n v="219511.65"/>
    <x v="1"/>
    <n v="14777430.279999999"/>
    <n v="847645.78300000005"/>
  </r>
  <r>
    <s v="SK14"/>
    <d v="2013-12-19T00:00:00"/>
    <x v="50"/>
    <s v="AC"/>
    <n v="18.104299999999999"/>
    <n v="18275.887999999999"/>
    <n v="2679.3789999999999"/>
    <n v="324714.96999999997"/>
    <x v="267"/>
    <n v="34408682.810000002"/>
    <n v="1900577.811"/>
  </r>
  <r>
    <s v="SK14"/>
    <d v="2013-12-19T00:00:00"/>
    <x v="50"/>
    <s v="AGH"/>
    <n v="17.7331"/>
    <n v="0"/>
    <n v="22191.846000000001"/>
    <n v="0"/>
    <x v="268"/>
    <n v="77081566.319999993"/>
    <n v="4346769.1529999999"/>
  </r>
  <r>
    <s v="SK14"/>
    <d v="2013-12-19T00:00:00"/>
    <x v="50"/>
    <s v="AI"/>
    <n v="16.705200000000001"/>
    <n v="0"/>
    <n v="86468"/>
    <n v="0"/>
    <x v="269"/>
    <n v="19496040.960000001"/>
    <n v="1167067.1359999999"/>
  </r>
  <r>
    <s v="SK14"/>
    <d v="2013-12-19T00:00:00"/>
    <x v="50"/>
    <s v="BUI"/>
    <n v="10.6471"/>
    <n v="5694.3540000000003"/>
    <n v="0"/>
    <n v="59499.72"/>
    <x v="1"/>
    <n v="1251583.6000000001"/>
    <n v="117551.455"/>
  </r>
  <r>
    <s v="SK14"/>
    <d v="2013-12-19T00:00:00"/>
    <x v="50"/>
    <s v="RGI"/>
    <n v="16.708400000000001"/>
    <n v="15486.941000000001"/>
    <n v="0"/>
    <n v="253930.07"/>
    <x v="1"/>
    <n v="32418747.390000001"/>
    <n v="1940271.6410000001"/>
  </r>
  <r>
    <s v="SK14"/>
    <d v="2013-12-20T00:00:00"/>
    <x v="51"/>
    <s v="A3"/>
    <n v="17.565200000000001"/>
    <n v="685.44200000000001"/>
    <n v="5541.24"/>
    <n v="12057.83"/>
    <x v="270"/>
    <n v="6873251.8600000003"/>
    <n v="391300.27"/>
  </r>
  <r>
    <s v="SK14"/>
    <d v="2013-12-20T00:00:00"/>
    <x v="51"/>
    <s v="AA"/>
    <n v="21.712199999999999"/>
    <n v="6245.2070000000003"/>
    <n v="29364.719000000001"/>
    <n v="135798.89000000001"/>
    <x v="271"/>
    <n v="212142129.91"/>
    <n v="9770655.6730000004"/>
  </r>
  <r>
    <s v="SK14"/>
    <d v="2013-12-20T00:00:00"/>
    <x v="51"/>
    <s v="AB"/>
    <n v="17.4069"/>
    <n v="4290.37"/>
    <n v="35059.527000000002"/>
    <n v="74796.160000000003"/>
    <x v="272"/>
    <n v="14219285.85"/>
    <n v="816876.62600000005"/>
  </r>
  <r>
    <s v="SK14"/>
    <d v="2013-12-20T00:00:00"/>
    <x v="51"/>
    <s v="AC"/>
    <n v="18.076699999999999"/>
    <n v="2527.4879999999998"/>
    <n v="11033.387000000001"/>
    <n v="45758.42"/>
    <x v="273"/>
    <n v="34202420.270000003"/>
    <n v="1892071.912"/>
  </r>
  <r>
    <s v="SK14"/>
    <d v="2013-12-20T00:00:00"/>
    <x v="51"/>
    <s v="AGH"/>
    <n v="17.6617"/>
    <n v="0"/>
    <n v="9601.3680000000004"/>
    <n v="0"/>
    <x v="274"/>
    <n v="76601540.230000004"/>
    <n v="4337167.7850000001"/>
  </r>
  <r>
    <s v="SK14"/>
    <d v="2013-12-20T00:00:00"/>
    <x v="51"/>
    <s v="AI"/>
    <n v="16.680700000000002"/>
    <n v="29912"/>
    <n v="0"/>
    <n v="499685.94"/>
    <x v="1"/>
    <n v="19966448.059999999"/>
    <n v="1196979.1359999999"/>
  </r>
  <r>
    <s v="SK14"/>
    <d v="2013-12-20T00:00:00"/>
    <x v="51"/>
    <s v="BUI"/>
    <n v="10.6309"/>
    <n v="810.42700000000002"/>
    <n v="0"/>
    <n v="8628.7000000000007"/>
    <x v="1"/>
    <n v="1258289.3400000001"/>
    <n v="118361.882"/>
  </r>
  <r>
    <s v="SK14"/>
    <d v="2013-12-20T00:00:00"/>
    <x v="51"/>
    <s v="RGI"/>
    <n v="16.683900000000001"/>
    <n v="19979.8"/>
    <n v="0"/>
    <n v="333831.01"/>
    <x v="1"/>
    <n v="32704620.300000001"/>
    <n v="1960251.4410000001"/>
  </r>
  <r>
    <s v="SK14"/>
    <d v="2013-12-20T00:00:00"/>
    <x v="51"/>
    <s v="S4"/>
    <n v="17.5962"/>
    <n v="0"/>
    <n v="9.3420000000000005"/>
    <n v="0"/>
    <x v="275"/>
    <n v="985799.2"/>
    <n v="56023.572999999997"/>
  </r>
  <r>
    <s v="SK14"/>
    <d v="2013-12-23T00:00:00"/>
    <x v="52"/>
    <s v="A3"/>
    <n v="17.626300000000001"/>
    <n v="23.317"/>
    <n v="0"/>
    <n v="409.58"/>
    <x v="1"/>
    <n v="6897588.0300000003"/>
    <n v="391323.587"/>
  </r>
  <r>
    <s v="SK14"/>
    <d v="2013-12-23T00:00:00"/>
    <x v="52"/>
    <s v="AA"/>
    <n v="21.787700000000001"/>
    <n v="22792.962"/>
    <n v="6068.9539999999997"/>
    <n v="494885.38"/>
    <x v="276"/>
    <n v="213244956.84999999"/>
    <n v="9787379.6809999999"/>
  </r>
  <r>
    <s v="SK14"/>
    <d v="2013-12-23T00:00:00"/>
    <x v="52"/>
    <s v="AB"/>
    <n v="17.465299999999999"/>
    <n v="31337.488000000001"/>
    <n v="2783.4650000000001"/>
    <n v="545488.5"/>
    <x v="277"/>
    <n v="14765734.75"/>
    <n v="845430.64899999998"/>
  </r>
  <r>
    <s v="SK14"/>
    <d v="2013-12-23T00:00:00"/>
    <x v="52"/>
    <s v="AC"/>
    <n v="18.1374"/>
    <n v="32781.368000000002"/>
    <n v="701.125"/>
    <n v="592578.97"/>
    <x v="278"/>
    <n v="34899111.210000001"/>
    <n v="1924152.155"/>
  </r>
  <r>
    <s v="SK14"/>
    <d v="2013-12-23T00:00:00"/>
    <x v="52"/>
    <s v="AGH"/>
    <n v="17.760100000000001"/>
    <n v="8940"/>
    <n v="541.1"/>
    <n v="157895.53"/>
    <x v="279"/>
    <n v="77177498.019999996"/>
    <n v="4345566.6849999996"/>
  </r>
  <r>
    <s v="SK14"/>
    <d v="2013-12-23T00:00:00"/>
    <x v="52"/>
    <s v="AI"/>
    <n v="16.739799999999999"/>
    <n v="84060"/>
    <n v="0"/>
    <n v="1402179.64"/>
    <x v="1"/>
    <n v="21444327.25"/>
    <n v="1281039.1359999999"/>
  </r>
  <r>
    <s v="SK14"/>
    <d v="2013-12-23T00:00:00"/>
    <x v="52"/>
    <s v="RGI"/>
    <n v="16.742999999999999"/>
    <n v="22320"/>
    <n v="0"/>
    <n v="372383.64"/>
    <x v="1"/>
    <n v="33194181.059999999"/>
    <n v="1982571.4410000001"/>
  </r>
  <r>
    <s v="SK14"/>
    <d v="2013-12-23T00:00:00"/>
    <x v="52"/>
    <s v="S4"/>
    <n v="17.658100000000001"/>
    <n v="29.686"/>
    <n v="0"/>
    <n v="522.34"/>
    <x v="1"/>
    <n v="989795.37"/>
    <n v="56053.258999999998"/>
  </r>
  <r>
    <s v="SK14"/>
    <d v="2013-12-24T00:00:00"/>
    <x v="53"/>
    <s v="AA"/>
    <n v="21.869"/>
    <n v="93439.89"/>
    <n v="20275.442999999999"/>
    <n v="2035840.28"/>
    <x v="280"/>
    <n v="215640458.97"/>
    <n v="9860544.1280000005"/>
  </r>
  <r>
    <s v="SK14"/>
    <d v="2013-12-24T00:00:00"/>
    <x v="53"/>
    <s v="AB"/>
    <n v="17.529800000000002"/>
    <n v="22473.02"/>
    <n v="0"/>
    <n v="392498.06"/>
    <x v="1"/>
    <n v="15214154.810000001"/>
    <n v="867903.66899999999"/>
  </r>
  <r>
    <s v="SK14"/>
    <d v="2013-12-24T00:00:00"/>
    <x v="53"/>
    <s v="AC"/>
    <n v="18.2043"/>
    <n v="24186.68"/>
    <n v="10975.771000000001"/>
    <n v="438683.49"/>
    <x v="281"/>
    <n v="35268357.130000003"/>
    <n v="1937363.064"/>
  </r>
  <r>
    <s v="SK14"/>
    <d v="2013-12-24T00:00:00"/>
    <x v="53"/>
    <s v="AGH"/>
    <n v="17.821300000000001"/>
    <n v="9721.4639999999999"/>
    <n v="1417.653"/>
    <n v="172654.05"/>
    <x v="282"/>
    <n v="77591457.209999993"/>
    <n v="4353870.4960000003"/>
  </r>
  <r>
    <s v="SK14"/>
    <d v="2013-12-24T00:00:00"/>
    <x v="53"/>
    <s v="AI"/>
    <n v="16.802600000000002"/>
    <n v="35929.135999999999"/>
    <n v="0"/>
    <n v="601446.55000000005"/>
    <x v="1"/>
    <n v="22128464.43"/>
    <n v="1316968.2720000001"/>
  </r>
  <r>
    <s v="SK14"/>
    <d v="2013-12-24T00:00:00"/>
    <x v="53"/>
    <s v="AUI"/>
    <n v="10.9709"/>
    <n v="305.274"/>
    <n v="0"/>
    <n v="3336.67"/>
    <x v="1"/>
    <n v="237355.49"/>
    <n v="21635.030999999999"/>
  </r>
  <r>
    <s v="SK14"/>
    <d v="2013-12-24T00:00:00"/>
    <x v="53"/>
    <s v="BUI"/>
    <n v="10.7059"/>
    <n v="1692.296"/>
    <n v="0"/>
    <n v="18051.04"/>
    <x v="1"/>
    <n v="1285289.51"/>
    <n v="120054.178"/>
  </r>
  <r>
    <s v="SK14"/>
    <d v="2013-12-24T00:00:00"/>
    <x v="53"/>
    <s v="RGI"/>
    <n v="16.805800000000001"/>
    <n v="3030"/>
    <n v="0"/>
    <n v="50731.43"/>
    <x v="1"/>
    <n v="33369609.559999999"/>
    <n v="1985601.4410000001"/>
  </r>
  <r>
    <s v="SK14"/>
    <d v="2013-12-30T00:00:00"/>
    <x v="54"/>
    <s v="A3"/>
    <n v="17.8567"/>
    <n v="0"/>
    <n v="1244.8789999999999"/>
    <n v="0"/>
    <x v="283"/>
    <n v="6965527.96"/>
    <n v="390078.70799999998"/>
  </r>
  <r>
    <s v="SK14"/>
    <d v="2013-12-30T00:00:00"/>
    <x v="54"/>
    <s v="AA"/>
    <n v="22.072600000000001"/>
    <n v="26352.113000000001"/>
    <n v="9570.8420000000006"/>
    <n v="576294.37"/>
    <x v="284"/>
    <n v="218017952.87"/>
    <n v="9877325.3990000002"/>
  </r>
  <r>
    <s v="SK14"/>
    <d v="2013-12-30T00:00:00"/>
    <x v="54"/>
    <s v="AB"/>
    <n v="17.688600000000001"/>
    <n v="432.36399999999998"/>
    <n v="1491.1389999999999"/>
    <n v="7579.26"/>
    <x v="285"/>
    <n v="15333281.869999999"/>
    <n v="866844.89399999997"/>
  </r>
  <r>
    <s v="SK14"/>
    <d v="2013-12-30T00:00:00"/>
    <x v="54"/>
    <s v="AC"/>
    <n v="18.369299999999999"/>
    <n v="28921.708999999999"/>
    <n v="13089.97"/>
    <n v="526499.46"/>
    <x v="286"/>
    <n v="35878740.659999996"/>
    <n v="1953194.8030000001"/>
  </r>
  <r>
    <s v="SK14"/>
    <d v="2013-12-30T00:00:00"/>
    <x v="54"/>
    <s v="AUI"/>
    <n v="11.073"/>
    <n v="91.088999999999999"/>
    <n v="94.397999999999996"/>
    <n v="999.33"/>
    <x v="287"/>
    <n v="239528.05"/>
    <n v="21631.722000000002"/>
  </r>
  <r>
    <s v="SK14"/>
    <d v="2013-12-30T00:00:00"/>
    <x v="54"/>
    <s v="BUI"/>
    <n v="10.802899999999999"/>
    <n v="668.71699999999998"/>
    <n v="0"/>
    <n v="7159.22"/>
    <x v="1"/>
    <n v="1304159.5900000001"/>
    <n v="120722.895"/>
  </r>
  <r>
    <s v="SK14"/>
    <d v="2013-12-30T00:00:00"/>
    <x v="54"/>
    <s v="C1M"/>
    <n v="10.982699999999999"/>
    <n v="2214.239"/>
    <n v="0"/>
    <n v="24100"/>
    <x v="1"/>
    <n v="399742.15"/>
    <n v="36397.328000000001"/>
  </r>
  <r>
    <s v="SK14"/>
    <d v="2013-12-30T00:00:00"/>
    <x v="54"/>
    <s v="RGI"/>
    <n v="16.964300000000001"/>
    <n v="389.41199999999998"/>
    <n v="0"/>
    <n v="6544.4"/>
    <x v="1"/>
    <n v="33690919.700000003"/>
    <n v="1985990.8529999999"/>
  </r>
  <r>
    <s v="SK14"/>
    <d v="2013-12-30T00:00:00"/>
    <x v="54"/>
    <s v="S4"/>
    <n v="17.890699999999999"/>
    <n v="0"/>
    <n v="3.536"/>
    <n v="0"/>
    <x v="288"/>
    <n v="1002766.66"/>
    <n v="56049.722999999998"/>
  </r>
  <r>
    <s v="SK14"/>
    <d v="2013-12-31T00:00:00"/>
    <x v="55"/>
    <s v="A3"/>
    <n v="17.838000000000001"/>
    <n v="23.122"/>
    <n v="0"/>
    <n v="412.89"/>
    <x v="1"/>
    <n v="6958631.4000000004"/>
    <n v="390101.83"/>
  </r>
  <r>
    <s v="SK14"/>
    <d v="2013-12-31T00:00:00"/>
    <x v="55"/>
    <s v="AA"/>
    <n v="22.049399999999999"/>
    <n v="16428.921999999999"/>
    <n v="18565.833999999999"/>
    <n v="362629"/>
    <x v="289"/>
    <n v="217742065.18000001"/>
    <n v="9875188.4869999997"/>
  </r>
  <r>
    <s v="SK14"/>
    <d v="2013-12-31T00:00:00"/>
    <x v="55"/>
    <s v="AB"/>
    <n v="17.6693"/>
    <n v="19059.557000000001"/>
    <n v="28943.816999999999"/>
    <n v="337136.88"/>
    <x v="290"/>
    <n v="15141914.18"/>
    <n v="856960.63399999996"/>
  </r>
  <r>
    <s v="SK14"/>
    <d v="2013-12-31T00:00:00"/>
    <x v="55"/>
    <s v="AC"/>
    <n v="18.3492"/>
    <n v="29324.120999999999"/>
    <n v="32873.012000000002"/>
    <n v="538663.56999999995"/>
    <x v="291"/>
    <n v="35774498.640000001"/>
    <n v="1949645.912"/>
  </r>
  <r>
    <s v="SK14"/>
    <d v="2013-12-31T00:00:00"/>
    <x v="55"/>
    <s v="AGH"/>
    <n v="18.082100000000001"/>
    <n v="21113"/>
    <n v="1135.04"/>
    <n v="382069.67"/>
    <x v="292"/>
    <n v="79088210.709999993"/>
    <n v="4373848.4560000002"/>
  </r>
  <r>
    <s v="SK14"/>
    <d v="2013-12-31T00:00:00"/>
    <x v="55"/>
    <s v="AI"/>
    <n v="16.9436"/>
    <n v="0"/>
    <n v="31468"/>
    <n v="0"/>
    <x v="293"/>
    <n v="21780995.420000002"/>
    <n v="1285500.2720000001"/>
  </r>
  <r>
    <s v="SK14"/>
    <d v="2013-12-31T00:00:00"/>
    <x v="55"/>
    <s v="AUI"/>
    <n v="11.061400000000001"/>
    <n v="441.048"/>
    <n v="94.397999999999996"/>
    <n v="4883.72"/>
    <x v="294"/>
    <n v="243111.15"/>
    <n v="21978.371999999999"/>
  </r>
  <r>
    <s v="SK14"/>
    <d v="2013-12-31T00:00:00"/>
    <x v="55"/>
    <s v="BUI"/>
    <n v="10.7911"/>
    <n v="10238.878000000001"/>
    <n v="693.23599999999999"/>
    <n v="110609.58"/>
    <x v="295"/>
    <n v="1405745.69"/>
    <n v="130268.537"/>
  </r>
  <r>
    <s v="SK14"/>
    <d v="2013-12-31T00:00:00"/>
    <x v="55"/>
    <s v="RGI"/>
    <n v="16.9468"/>
    <n v="14541.616"/>
    <n v="0"/>
    <n v="246687.21"/>
    <x v="1"/>
    <n v="33902692.960000001"/>
    <n v="2000532.469"/>
  </r>
  <r>
    <s v="SK14"/>
    <d v="2014-01-02T00:00:00"/>
    <x v="56"/>
    <s v="AA"/>
    <n v="22.150600000000001"/>
    <n v="512.95899999999995"/>
    <n v="5609.6850000000004"/>
    <n v="11310.43"/>
    <x v="296"/>
    <n v="218628098.43000001"/>
    <n v="9870091.7609999999"/>
  </r>
  <r>
    <s v="SK14"/>
    <d v="2014-01-02T00:00:00"/>
    <x v="56"/>
    <s v="AB"/>
    <n v="17.748899999999999"/>
    <n v="829.04"/>
    <n v="1454.393"/>
    <n v="14648.55"/>
    <x v="297"/>
    <n v="15199036.380000001"/>
    <n v="856335.28099999996"/>
  </r>
  <r>
    <s v="SK14"/>
    <d v="2014-01-02T00:00:00"/>
    <x v="56"/>
    <s v="BUI"/>
    <n v="10.7464"/>
    <n v="12983.511"/>
    <n v="0"/>
    <n v="140106.37"/>
    <x v="1"/>
    <n v="1539449.8"/>
    <n v="143252.04800000001"/>
  </r>
  <r>
    <s v="SK14"/>
    <d v="2014-01-02T00:00:00"/>
    <x v="56"/>
    <s v="RGI"/>
    <n v="16.899000000000001"/>
    <n v="4111.6440000000002"/>
    <n v="0"/>
    <n v="69678.960000000006"/>
    <x v="1"/>
    <n v="33876384.299999997"/>
    <n v="2004644.1129999999"/>
  </r>
  <r>
    <s v="SK14"/>
    <d v="2014-01-03T00:00:00"/>
    <x v="57"/>
    <s v="AA"/>
    <n v="21.996400000000001"/>
    <n v="15214.907999999999"/>
    <n v="5612.134"/>
    <n v="337019.34"/>
    <x v="298"/>
    <n v="217317470.84"/>
    <n v="9879694.5350000001"/>
  </r>
  <r>
    <s v="SK14"/>
    <d v="2014-01-03T00:00:00"/>
    <x v="57"/>
    <s v="AB"/>
    <n v="17.624700000000001"/>
    <n v="11888.451999999999"/>
    <n v="4692.2740000000003"/>
    <n v="211006.96"/>
    <x v="299"/>
    <n v="15219442.300000001"/>
    <n v="863531.45900000003"/>
  </r>
  <r>
    <s v="SK14"/>
    <d v="2014-01-03T00:00:00"/>
    <x v="57"/>
    <s v="AC"/>
    <n v="18.302800000000001"/>
    <n v="914.86500000000001"/>
    <n v="16905.304"/>
    <n v="16862.7"/>
    <x v="300"/>
    <n v="35391386.990000002"/>
    <n v="1933655.473"/>
  </r>
  <r>
    <s v="SK14"/>
    <d v="2014-01-03T00:00:00"/>
    <x v="57"/>
    <s v="AGH"/>
    <n v="17.872299999999999"/>
    <n v="0"/>
    <n v="11422.225"/>
    <n v="0"/>
    <x v="301"/>
    <n v="77966496.379999995"/>
    <n v="4362426.2309999997"/>
  </r>
  <r>
    <s v="SK14"/>
    <d v="2014-01-03T00:00:00"/>
    <x v="57"/>
    <s v="AUI"/>
    <n v="10.941599999999999"/>
    <n v="190.02199999999999"/>
    <n v="0"/>
    <n v="2093.7199999999998"/>
    <x v="1"/>
    <n v="242557.52"/>
    <n v="22168.394"/>
  </r>
  <r>
    <s v="SK14"/>
    <d v="2014-01-03T00:00:00"/>
    <x v="57"/>
    <s v="BUI"/>
    <n v="10.671200000000001"/>
    <n v="782.351"/>
    <n v="0"/>
    <n v="8407.4599999999991"/>
    <x v="1"/>
    <n v="1537019.14"/>
    <n v="144034.399"/>
  </r>
  <r>
    <s v="SK14"/>
    <d v="2014-01-03T00:00:00"/>
    <x v="57"/>
    <s v="RGI"/>
    <n v="16.781700000000001"/>
    <n v="1400"/>
    <n v="0"/>
    <n v="23658.63"/>
    <x v="1"/>
    <n v="33664763.799999997"/>
    <n v="2006044.1129999999"/>
  </r>
  <r>
    <s v="SK14"/>
    <d v="2014-01-06T00:00:00"/>
    <x v="58"/>
    <s v="AA"/>
    <n v="22.0762"/>
    <n v="1518.376"/>
    <n v="28160.186000000002"/>
    <n v="33398.81"/>
    <x v="302"/>
    <n v="217517503.88"/>
    <n v="9853052.7249999996"/>
  </r>
  <r>
    <s v="SK14"/>
    <d v="2014-01-06T00:00:00"/>
    <x v="58"/>
    <s v="AB"/>
    <n v="17.686399999999999"/>
    <n v="1024.0899999999999"/>
    <n v="45380.588000000003"/>
    <n v="18049.27"/>
    <x v="303"/>
    <n v="14488255.91"/>
    <n v="819174.96100000001"/>
  </r>
  <r>
    <s v="SK14"/>
    <d v="2014-01-06T00:00:00"/>
    <x v="58"/>
    <s v="AC"/>
    <n v="18.367000000000001"/>
    <n v="2399.84"/>
    <n v="7603.0050000000001"/>
    <n v="43923.81"/>
    <x v="304"/>
    <n v="35419817.490000002"/>
    <n v="1928452.308"/>
  </r>
  <r>
    <s v="SK14"/>
    <d v="2014-01-06T00:00:00"/>
    <x v="58"/>
    <s v="AGH"/>
    <n v="17.8918"/>
    <n v="7630"/>
    <n v="11724.588"/>
    <n v="136366.07999999999"/>
    <x v="305"/>
    <n v="77978217.299999997"/>
    <n v="4358331.6430000002"/>
  </r>
  <r>
    <s v="SK14"/>
    <d v="2014-01-06T00:00:00"/>
    <x v="58"/>
    <s v="AI"/>
    <n v="16.966200000000001"/>
    <n v="0"/>
    <n v="43460"/>
    <n v="0"/>
    <x v="306"/>
    <n v="21072744.449999999"/>
    <n v="1242040.2720000001"/>
  </r>
  <r>
    <s v="SK14"/>
    <d v="2014-01-06T00:00:00"/>
    <x v="58"/>
    <s v="AUI"/>
    <n v="10.981299999999999"/>
    <n v="195.459"/>
    <n v="0"/>
    <n v="2138.63"/>
    <x v="1"/>
    <n v="245583.61"/>
    <n v="22363.852999999999"/>
  </r>
  <r>
    <s v="SK14"/>
    <d v="2014-01-06T00:00:00"/>
    <x v="58"/>
    <s v="RGI"/>
    <n v="16.843599999999999"/>
    <n v="14117.093999999999"/>
    <n v="0"/>
    <n v="236909.63"/>
    <x v="1"/>
    <n v="34026720.25"/>
    <n v="2020161.2069999999"/>
  </r>
  <r>
    <s v="SK14"/>
    <d v="2014-01-07T00:00:00"/>
    <x v="59"/>
    <s v="A3"/>
    <n v="17.882400000000001"/>
    <n v="22.853999999999999"/>
    <n v="0"/>
    <n v="408.17"/>
    <x v="1"/>
    <n v="6976356.04"/>
    <n v="390124.68400000001"/>
  </r>
  <r>
    <s v="SK14"/>
    <d v="2014-01-07T00:00:00"/>
    <x v="59"/>
    <s v="AA"/>
    <n v="22.104299999999999"/>
    <n v="1025.0889999999999"/>
    <n v="3972.68"/>
    <n v="22630.06"/>
    <x v="307"/>
    <n v="217729447.31"/>
    <n v="9850105.1339999996"/>
  </r>
  <r>
    <s v="SK14"/>
    <d v="2014-01-07T00:00:00"/>
    <x v="59"/>
    <s v="AB"/>
    <n v="17.708200000000001"/>
    <n v="0"/>
    <n v="53940.091"/>
    <n v="0"/>
    <x v="308"/>
    <n v="13550935.15"/>
    <n v="765234.87"/>
  </r>
  <r>
    <s v="SK14"/>
    <d v="2014-01-07T00:00:00"/>
    <x v="59"/>
    <s v="AC"/>
    <n v="18.389600000000002"/>
    <n v="5593.4250000000002"/>
    <n v="9305.3179999999993"/>
    <n v="102734.42"/>
    <x v="309"/>
    <n v="35395223.18"/>
    <n v="1924740.415"/>
  </r>
  <r>
    <s v="SK14"/>
    <d v="2014-01-07T00:00:00"/>
    <x v="59"/>
    <s v="AGH"/>
    <n v="17.954699999999999"/>
    <n v="0"/>
    <n v="1"/>
    <n v="0"/>
    <x v="310"/>
    <n v="78252434.040000007"/>
    <n v="4358330.6430000002"/>
  </r>
  <r>
    <s v="SK14"/>
    <d v="2014-01-07T00:00:00"/>
    <x v="59"/>
    <s v="AI"/>
    <n v="16.988199999999999"/>
    <n v="0"/>
    <n v="22716"/>
    <n v="0"/>
    <x v="311"/>
    <n v="20714119.140000001"/>
    <n v="1219324.2720000001"/>
  </r>
  <r>
    <s v="SK14"/>
    <d v="2014-01-07T00:00:00"/>
    <x v="59"/>
    <s v="AUI"/>
    <n v="10.9953"/>
    <n v="27.169"/>
    <n v="0"/>
    <n v="298.35000000000002"/>
    <x v="1"/>
    <n v="246195.19"/>
    <n v="22391.022000000001"/>
  </r>
  <r>
    <s v="SK14"/>
    <d v="2014-01-07T00:00:00"/>
    <x v="59"/>
    <s v="BUI"/>
    <n v="10.7218"/>
    <n v="1984.6559999999999"/>
    <n v="0"/>
    <n v="21252.89"/>
    <x v="1"/>
    <n v="1565584.79"/>
    <n v="146019.05499999999"/>
  </r>
  <r>
    <s v="SK14"/>
    <d v="2014-01-07T00:00:00"/>
    <x v="59"/>
    <s v="RGI"/>
    <n v="16.865400000000001"/>
    <n v="3916.8980000000001"/>
    <n v="0"/>
    <n v="65974.58"/>
    <x v="1"/>
    <n v="34136826.420000002"/>
    <n v="2024078.105"/>
  </r>
  <r>
    <s v="SK14"/>
    <d v="2014-01-08T00:00:00"/>
    <x v="60"/>
    <s v="AA"/>
    <n v="22.197399999999998"/>
    <n v="51856.017"/>
    <n v="5979.5919999999996"/>
    <n v="1146240.96"/>
    <x v="312"/>
    <n v="219665278.13"/>
    <n v="9895981.5590000004"/>
  </r>
  <r>
    <s v="SK14"/>
    <d v="2014-01-08T00:00:00"/>
    <x v="60"/>
    <s v="AB"/>
    <n v="17.7821"/>
    <n v="2597.6280000000002"/>
    <n v="429.27"/>
    <n v="45999.32"/>
    <x v="313"/>
    <n v="13646038.550000001"/>
    <n v="767403.228"/>
  </r>
  <r>
    <s v="SK14"/>
    <d v="2014-01-08T00:00:00"/>
    <x v="60"/>
    <s v="AC"/>
    <n v="18.4663"/>
    <n v="39436.928"/>
    <n v="1200.385"/>
    <n v="725229.29"/>
    <x v="314"/>
    <n v="36249009.549999997"/>
    <n v="1962976.9580000001"/>
  </r>
  <r>
    <s v="SK14"/>
    <d v="2014-01-08T00:00:00"/>
    <x v="60"/>
    <s v="AGH"/>
    <n v="17.959900000000001"/>
    <n v="2"/>
    <n v="675.95299999999997"/>
    <n v="35.9"/>
    <x v="315"/>
    <n v="78263102.209999993"/>
    <n v="4357656.6900000004"/>
  </r>
  <r>
    <s v="SK14"/>
    <d v="2014-01-08T00:00:00"/>
    <x v="60"/>
    <s v="AI"/>
    <n v="17.060099999999998"/>
    <n v="0"/>
    <n v="13315"/>
    <n v="0"/>
    <x v="316"/>
    <n v="20574676.420000002"/>
    <n v="1206009.2720000001"/>
  </r>
  <r>
    <s v="SK14"/>
    <d v="2014-01-08T00:00:00"/>
    <x v="60"/>
    <s v="AUI"/>
    <n v="11.041600000000001"/>
    <n v="114.711"/>
    <n v="0"/>
    <n v="1261.28"/>
    <x v="1"/>
    <n v="248499.21"/>
    <n v="22505.733"/>
  </r>
  <r>
    <s v="SK14"/>
    <d v="2014-01-08T00:00:00"/>
    <x v="60"/>
    <s v="BUI"/>
    <n v="10.766500000000001"/>
    <n v="6005.125"/>
    <n v="0"/>
    <n v="64385.75"/>
    <x v="1"/>
    <n v="1636772.09"/>
    <n v="152024.18"/>
  </r>
  <r>
    <s v="SK14"/>
    <d v="2014-01-08T00:00:00"/>
    <x v="60"/>
    <s v="C1M"/>
    <n v="10.9549"/>
    <n v="0"/>
    <n v="2214.239"/>
    <n v="0"/>
    <x v="317"/>
    <n v="374473.61"/>
    <n v="34183.089"/>
  </r>
  <r>
    <s v="SK14"/>
    <d v="2014-01-08T00:00:00"/>
    <x v="60"/>
    <s v="RGI"/>
    <n v="16.936800000000002"/>
    <n v="5920.7969999999996"/>
    <n v="0"/>
    <n v="99856.47"/>
    <x v="1"/>
    <n v="34381656.539999999"/>
    <n v="2029998.902"/>
  </r>
  <r>
    <s v="SK14"/>
    <d v="2014-01-08T00:00:00"/>
    <x v="60"/>
    <s v="S4"/>
    <n v="17.9941"/>
    <n v="0"/>
    <n v="0.92400000000000004"/>
    <n v="0"/>
    <x v="318"/>
    <n v="1008546.21"/>
    <n v="56048.798999999999"/>
  </r>
  <r>
    <s v="SK14"/>
    <d v="2014-01-09T00:00:00"/>
    <x v="61"/>
    <s v="AA"/>
    <n v="22.213699999999999"/>
    <n v="66766.163"/>
    <n v="22498.256000000001"/>
    <n v="1482035.24"/>
    <x v="319"/>
    <n v="220810070.78999999"/>
    <n v="9940249.466"/>
  </r>
  <r>
    <s v="SK14"/>
    <d v="2014-01-09T00:00:00"/>
    <x v="61"/>
    <s v="AB"/>
    <n v="17.7944"/>
    <n v="28909.69"/>
    <n v="0"/>
    <n v="514075.03"/>
    <x v="1"/>
    <n v="14169938.310000001"/>
    <n v="796312.91799999995"/>
  </r>
  <r>
    <s v="SK14"/>
    <d v="2014-01-09T00:00:00"/>
    <x v="61"/>
    <s v="AC"/>
    <n v="18.479199999999999"/>
    <n v="27683.759999999998"/>
    <n v="52.79"/>
    <n v="511216.71"/>
    <x v="320"/>
    <n v="36784756.130000003"/>
    <n v="1990607.9280000001"/>
  </r>
  <r>
    <s v="SK14"/>
    <d v="2014-01-09T00:00:00"/>
    <x v="61"/>
    <s v="AGH"/>
    <n v="17.997599999999998"/>
    <n v="3123.511"/>
    <n v="2798"/>
    <n v="56097.79"/>
    <x v="321"/>
    <n v="78433257.180000007"/>
    <n v="4357982.2010000004"/>
  </r>
  <r>
    <s v="SK14"/>
    <d v="2014-01-09T00:00:00"/>
    <x v="61"/>
    <s v="AI"/>
    <n v="17.073"/>
    <n v="0"/>
    <n v="632"/>
    <n v="0"/>
    <x v="322"/>
    <n v="20579429.949999999"/>
    <n v="1205377.2720000001"/>
  </r>
  <r>
    <s v="SK14"/>
    <d v="2014-01-09T00:00:00"/>
    <x v="61"/>
    <s v="BUI"/>
    <n v="10.773999999999999"/>
    <n v="5781.1049999999996"/>
    <n v="0"/>
    <n v="62242.27"/>
    <x v="1"/>
    <n v="1700193.2"/>
    <n v="157805.285"/>
  </r>
  <r>
    <s v="SK14"/>
    <d v="2014-01-09T00:00:00"/>
    <x v="61"/>
    <s v="RGI"/>
    <n v="16.9496"/>
    <n v="10524.199000000001"/>
    <n v="475"/>
    <n v="178246.05"/>
    <x v="323"/>
    <n v="34577960.68"/>
    <n v="2040048.101"/>
  </r>
  <r>
    <s v="SK14"/>
    <d v="2014-01-09T00:00:00"/>
    <x v="61"/>
    <s v="S4"/>
    <n v="18.0075"/>
    <n v="2806.3649999999998"/>
    <n v="134.989"/>
    <n v="50497.82"/>
    <x v="324"/>
    <n v="1057406.02"/>
    <n v="58720.175000000003"/>
  </r>
  <r>
    <s v="SK14"/>
    <d v="2014-01-10T00:00:00"/>
    <x v="62"/>
    <s v="AA"/>
    <n v="22.2759"/>
    <n v="52799.987999999998"/>
    <n v="13960.134"/>
    <n v="1172883.1100000001"/>
    <x v="325"/>
    <n v="222293647.81999999"/>
    <n v="9979089.3200000003"/>
  </r>
  <r>
    <s v="SK14"/>
    <d v="2014-01-10T00:00:00"/>
    <x v="62"/>
    <s v="AB"/>
    <n v="17.843499999999999"/>
    <n v="3243.4960000000001"/>
    <n v="8588.6470000000008"/>
    <n v="57716.07"/>
    <x v="326"/>
    <n v="14113663.029999999"/>
    <n v="790967.76699999999"/>
  </r>
  <r>
    <s v="SK14"/>
    <d v="2014-01-10T00:00:00"/>
    <x v="62"/>
    <s v="AC"/>
    <n v="18.530100000000001"/>
    <n v="6155.9179999999997"/>
    <n v="1375.732"/>
    <n v="113756.44"/>
    <x v="327"/>
    <n v="36974838.770000003"/>
    <n v="1995388.1140000001"/>
  </r>
  <r>
    <s v="SK14"/>
    <d v="2014-01-10T00:00:00"/>
    <x v="62"/>
    <s v="AGH"/>
    <n v="18.040800000000001"/>
    <n v="0"/>
    <n v="816.197"/>
    <n v="0"/>
    <x v="328"/>
    <n v="78606779.310000002"/>
    <n v="4357166.0039999997"/>
  </r>
  <r>
    <s v="SK14"/>
    <d v="2014-01-10T00:00:00"/>
    <x v="62"/>
    <s v="BUI"/>
    <n v="10.803699999999999"/>
    <n v="2369.9589999999998"/>
    <n v="2924.8339999999998"/>
    <n v="25533.94"/>
    <x v="329"/>
    <n v="1698890.02"/>
    <n v="157250.41"/>
  </r>
  <r>
    <s v="SK14"/>
    <d v="2014-01-10T00:00:00"/>
    <x v="62"/>
    <s v="C1M"/>
    <n v="10.992800000000001"/>
    <n v="137.273"/>
    <n v="0"/>
    <n v="1504.85"/>
    <x v="1"/>
    <n v="377276.51"/>
    <n v="34320.362000000001"/>
  </r>
  <r>
    <s v="SK14"/>
    <d v="2014-01-10T00:00:00"/>
    <x v="62"/>
    <s v="RGI"/>
    <n v="16.997399999999999"/>
    <n v="24801.989000000001"/>
    <n v="15000"/>
    <n v="420384.96"/>
    <x v="330"/>
    <n v="34842116.57"/>
    <n v="2049850.09"/>
  </r>
  <r>
    <s v="SK14"/>
    <d v="2014-01-13T00:00:00"/>
    <x v="63"/>
    <s v="A3"/>
    <n v="18.0078"/>
    <n v="22.632999999999999"/>
    <n v="75.444000000000003"/>
    <n v="407.88"/>
    <x v="331"/>
    <n v="7024352.2300000004"/>
    <n v="390071.87300000002"/>
  </r>
  <r>
    <s v="SK14"/>
    <d v="2014-01-13T00:00:00"/>
    <x v="63"/>
    <s v="AA"/>
    <n v="22.259399999999999"/>
    <n v="22698.673999999999"/>
    <n v="12171.993"/>
    <n v="505633.39"/>
    <x v="332"/>
    <n v="222362493.47999999"/>
    <n v="9989616.0010000002"/>
  </r>
  <r>
    <s v="SK14"/>
    <d v="2014-01-13T00:00:00"/>
    <x v="63"/>
    <s v="AB"/>
    <n v="17.828099999999999"/>
    <n v="12058.162"/>
    <n v="14263.445"/>
    <n v="215159.81"/>
    <x v="333"/>
    <n v="14062101.23"/>
    <n v="788762.48400000005"/>
  </r>
  <r>
    <s v="SK14"/>
    <d v="2014-01-13T00:00:00"/>
    <x v="63"/>
    <s v="AC"/>
    <n v="18.514099999999999"/>
    <n v="7670.3450000000003"/>
    <n v="1956.2449999999999"/>
    <n v="142132.23000000001"/>
    <x v="334"/>
    <n v="37048547.82"/>
    <n v="2001102.2139999999"/>
  </r>
  <r>
    <s v="SK14"/>
    <d v="2014-01-13T00:00:00"/>
    <x v="63"/>
    <s v="AGH"/>
    <n v="18.120799999999999"/>
    <n v="8909"/>
    <n v="271.30500000000001"/>
    <n v="160725.51999999999"/>
    <x v="335"/>
    <n v="79111697.760000005"/>
    <n v="4365803.699"/>
  </r>
  <r>
    <s v="SK14"/>
    <d v="2014-01-13T00:00:00"/>
    <x v="63"/>
    <s v="BUI"/>
    <n v="10.7943"/>
    <n v="3779.02"/>
    <n v="0"/>
    <n v="40827.4"/>
    <x v="1"/>
    <n v="1738207.95"/>
    <n v="161029.43"/>
  </r>
  <r>
    <s v="SK14"/>
    <d v="2014-01-13T00:00:00"/>
    <x v="63"/>
    <s v="RGI"/>
    <n v="16.985800000000001"/>
    <n v="26996.535"/>
    <n v="3410"/>
    <n v="458872.32000000001"/>
    <x v="336"/>
    <n v="35218965.880000003"/>
    <n v="2073436.625"/>
  </r>
  <r>
    <s v="SK14"/>
    <d v="2014-01-13T00:00:00"/>
    <x v="63"/>
    <s v="S4"/>
    <n v="18.045500000000001"/>
    <n v="26.850999999999999"/>
    <n v="103.863"/>
    <n v="484.89"/>
    <x v="337"/>
    <n v="1058246.32"/>
    <n v="58643.163"/>
  </r>
  <r>
    <s v="SK14"/>
    <d v="2014-01-14T00:00:00"/>
    <x v="64"/>
    <s v="A3"/>
    <n v="17.813800000000001"/>
    <n v="0"/>
    <n v="7963.9620000000004"/>
    <n v="0"/>
    <x v="338"/>
    <n v="6806780.9900000002"/>
    <n v="382107.91100000002"/>
  </r>
  <r>
    <s v="SK14"/>
    <d v="2014-01-14T00:00:00"/>
    <x v="64"/>
    <s v="AA"/>
    <n v="22.019500000000001"/>
    <n v="615.35799999999995"/>
    <n v="91911.192999999999"/>
    <n v="13697.47"/>
    <x v="339"/>
    <n v="217955740.59999999"/>
    <n v="9898320.1659999993"/>
  </r>
  <r>
    <s v="SK14"/>
    <d v="2014-01-14T00:00:00"/>
    <x v="64"/>
    <s v="AB"/>
    <n v="17.635200000000001"/>
    <n v="510.44900000000001"/>
    <n v="15328.451999999999"/>
    <n v="9100.33"/>
    <x v="340"/>
    <n v="13648653.18"/>
    <n v="773944.48100000003"/>
  </r>
  <r>
    <s v="SK14"/>
    <d v="2014-01-14T00:00:00"/>
    <x v="64"/>
    <s v="AC"/>
    <n v="18.313800000000001"/>
    <n v="1222.0319999999999"/>
    <n v="10315.475"/>
    <n v="22624.82"/>
    <x v="341"/>
    <n v="36481206.969999999"/>
    <n v="1992008.7709999999"/>
  </r>
  <r>
    <s v="SK14"/>
    <d v="2014-01-14T00:00:00"/>
    <x v="64"/>
    <s v="AGH"/>
    <n v="17.938500000000001"/>
    <n v="0"/>
    <n v="221"/>
    <n v="0"/>
    <x v="342"/>
    <n v="78311952.640000001"/>
    <n v="4365582.699"/>
  </r>
  <r>
    <s v="SK14"/>
    <d v="2014-01-14T00:00:00"/>
    <x v="64"/>
    <s v="AI"/>
    <n v="16.9255"/>
    <n v="38732"/>
    <n v="0"/>
    <n v="662685.15"/>
    <x v="1"/>
    <n v="21057112.43"/>
    <n v="1244109.2720000001"/>
  </r>
  <r>
    <s v="SK14"/>
    <d v="2014-01-14T00:00:00"/>
    <x v="64"/>
    <s v="BUI"/>
    <n v="10.6776"/>
    <n v="5749.1840000000002"/>
    <n v="3245.165"/>
    <n v="62058.42"/>
    <x v="343"/>
    <n v="1746140.08"/>
    <n v="163533.44899999999"/>
  </r>
  <r>
    <s v="SK14"/>
    <d v="2014-01-14T00:00:00"/>
    <x v="64"/>
    <s v="RGI"/>
    <n v="16.803100000000001"/>
    <n v="8247.7199999999993"/>
    <n v="0"/>
    <n v="140094.54"/>
    <x v="1"/>
    <n v="34978712.329999998"/>
    <n v="2081684.345"/>
  </r>
  <r>
    <s v="SK14"/>
    <d v="2014-01-14T00:00:00"/>
    <x v="64"/>
    <s v="S4"/>
    <n v="17.851299999999998"/>
    <n v="0"/>
    <n v="9.1999999999999993"/>
    <n v="0"/>
    <x v="344"/>
    <n v="1046691.54"/>
    <n v="58633.963000000003"/>
  </r>
  <r>
    <s v="SK14"/>
    <d v="2014-01-15T00:00:00"/>
    <x v="65"/>
    <s v="A3"/>
    <n v="17.972000000000001"/>
    <n v="0"/>
    <n v="3172.701"/>
    <n v="0"/>
    <x v="345"/>
    <n v="6810230.21"/>
    <n v="378935.21"/>
  </r>
  <r>
    <s v="SK14"/>
    <d v="2014-01-15T00:00:00"/>
    <x v="65"/>
    <s v="AA"/>
    <n v="22.2151"/>
    <n v="4367.1090000000004"/>
    <n v="7432.8109999999997"/>
    <n v="96161.56"/>
    <x v="346"/>
    <n v="219823879.34"/>
    <n v="9895254.4639999997"/>
  </r>
  <r>
    <s v="SK14"/>
    <d v="2014-01-15T00:00:00"/>
    <x v="65"/>
    <s v="AB"/>
    <n v="17.7911"/>
    <n v="4350.4340000000002"/>
    <n v="12399.313"/>
    <n v="76720.77"/>
    <x v="347"/>
    <n v="13626143.460000001"/>
    <n v="765895.60199999996"/>
  </r>
  <r>
    <s v="SK14"/>
    <d v="2014-01-15T00:00:00"/>
    <x v="65"/>
    <s v="AC"/>
    <n v="18.4757"/>
    <n v="2432.0010000000002"/>
    <n v="17152.436000000002"/>
    <n v="44539.16"/>
    <x v="348"/>
    <n v="36531823.219999999"/>
    <n v="1977288.3359999999"/>
  </r>
  <r>
    <s v="SK14"/>
    <d v="2014-01-15T00:00:00"/>
    <x v="65"/>
    <s v="AI"/>
    <n v="17.0762"/>
    <n v="119044"/>
    <n v="0"/>
    <n v="2014879.22"/>
    <x v="1"/>
    <n v="23277429.350000001"/>
    <n v="1363153.2720000001"/>
  </r>
  <r>
    <s v="SK14"/>
    <d v="2014-01-15T00:00:00"/>
    <x v="65"/>
    <s v="AUI"/>
    <n v="11.0504"/>
    <n v="0"/>
    <n v="91.088999999999999"/>
    <n v="0"/>
    <x v="349"/>
    <n v="247690.25"/>
    <n v="22414.644"/>
  </r>
  <r>
    <s v="SK14"/>
    <d v="2014-01-15T00:00:00"/>
    <x v="65"/>
    <s v="BUI"/>
    <n v="10.772"/>
    <n v="394.92899999999997"/>
    <n v="0"/>
    <n v="4216.8900000000003"/>
    <x v="1"/>
    <n v="1765834.62"/>
    <n v="163928.378"/>
  </r>
  <r>
    <s v="SK14"/>
    <d v="2014-01-15T00:00:00"/>
    <x v="65"/>
    <s v="RGI"/>
    <n v="16.9527"/>
    <n v="17372.975999999999"/>
    <n v="0"/>
    <n v="291920.57"/>
    <x v="1"/>
    <n v="35584689.780000001"/>
    <n v="2099057.321"/>
  </r>
  <r>
    <s v="SK14"/>
    <d v="2014-01-15T00:00:00"/>
    <x v="65"/>
    <s v="S4"/>
    <n v="18.010100000000001"/>
    <n v="0"/>
    <n v="3.9710000000000001"/>
    <n v="0"/>
    <x v="350"/>
    <n v="1055932.8"/>
    <n v="58629.991999999998"/>
  </r>
  <r>
    <s v="SK14"/>
    <d v="2014-01-16T00:00:00"/>
    <x v="66"/>
    <s v="AA"/>
    <n v="22.3048"/>
    <n v="25778.006000000001"/>
    <n v="1309.415"/>
    <n v="572660.99"/>
    <x v="351"/>
    <n v="221257069.44999999"/>
    <n v="9919723.0549999997"/>
  </r>
  <r>
    <s v="SK14"/>
    <d v="2014-01-16T00:00:00"/>
    <x v="66"/>
    <s v="AB"/>
    <n v="17.862200000000001"/>
    <n v="6742.683"/>
    <n v="4184.6170000000002"/>
    <n v="119959.72"/>
    <x v="352"/>
    <n v="13726284.529999999"/>
    <n v="768453.66799999995"/>
  </r>
  <r>
    <s v="SK14"/>
    <d v="2014-01-16T00:00:00"/>
    <x v="66"/>
    <s v="AC"/>
    <n v="18.549499999999998"/>
    <n v="1837.231"/>
    <n v="593.28599999999994"/>
    <n v="33944.120000000003"/>
    <x v="353"/>
    <n v="36700874.539999999"/>
    <n v="1978532.281"/>
  </r>
  <r>
    <s v="SK14"/>
    <d v="2014-01-16T00:00:00"/>
    <x v="66"/>
    <s v="AGH"/>
    <n v="18.084800000000001"/>
    <n v="0"/>
    <n v="664.98900000000003"/>
    <n v="0"/>
    <x v="354"/>
    <n v="78938603.549999997"/>
    <n v="4364917.71"/>
  </r>
  <r>
    <s v="SK14"/>
    <d v="2014-01-16T00:00:00"/>
    <x v="66"/>
    <s v="AI"/>
    <n v="17.145499999999998"/>
    <n v="71998"/>
    <n v="0"/>
    <n v="1229452.25"/>
    <x v="1"/>
    <n v="24606318.850000001"/>
    <n v="1435151.2720000001"/>
  </r>
  <r>
    <s v="SK14"/>
    <d v="2014-01-16T00:00:00"/>
    <x v="66"/>
    <s v="BUI"/>
    <n v="10.815"/>
    <n v="3946.0320000000002"/>
    <n v="0"/>
    <n v="42506.65"/>
    <x v="1"/>
    <n v="1815567.16"/>
    <n v="167874.41"/>
  </r>
  <r>
    <s v="SK14"/>
    <d v="2014-01-16T00:00:00"/>
    <x v="66"/>
    <s v="RGI"/>
    <n v="17.0215"/>
    <n v="7290.0929999999998"/>
    <n v="0"/>
    <n v="123587.03"/>
    <x v="1"/>
    <n v="35853163.939999998"/>
    <n v="2106347.4139999999"/>
  </r>
  <r>
    <s v="SK14"/>
    <d v="2014-01-17T00:00:00"/>
    <x v="67"/>
    <s v="A3"/>
    <n v="18.038"/>
    <n v="22.63"/>
    <n v="107.21299999999999"/>
    <n v="408.35"/>
    <x v="355"/>
    <n v="6833715.3399999999"/>
    <n v="378850.62699999998"/>
  </r>
  <r>
    <s v="SK14"/>
    <d v="2014-01-17T00:00:00"/>
    <x v="67"/>
    <s v="AA"/>
    <n v="22.296700000000001"/>
    <n v="4989.1869999999999"/>
    <n v="52639.106"/>
    <n v="111282.8"/>
    <x v="356"/>
    <n v="220114323.55000001"/>
    <n v="9872073.1359999999"/>
  </r>
  <r>
    <s v="SK14"/>
    <d v="2014-01-17T00:00:00"/>
    <x v="67"/>
    <s v="AB"/>
    <n v="17.855"/>
    <n v="0"/>
    <n v="998.48400000000004"/>
    <n v="0"/>
    <x v="357"/>
    <n v="13702910.289999999"/>
    <n v="767455.18400000001"/>
  </r>
  <r>
    <s v="SK14"/>
    <d v="2014-01-17T00:00:00"/>
    <x v="67"/>
    <s v="AC"/>
    <n v="18.542100000000001"/>
    <n v="1375.73"/>
    <n v="40299.093000000001"/>
    <n v="25519.119999999999"/>
    <x v="358"/>
    <n v="35964327.75"/>
    <n v="1939608.9180000001"/>
  </r>
  <r>
    <s v="SK14"/>
    <d v="2014-01-17T00:00:00"/>
    <x v="67"/>
    <s v="AGH"/>
    <n v="18.058599999999998"/>
    <n v="0"/>
    <n v="5057.1719999999996"/>
    <n v="0"/>
    <x v="359"/>
    <n v="78733077.719999999"/>
    <n v="4359860.5379999997"/>
  </r>
  <r>
    <s v="SK14"/>
    <d v="2014-01-17T00:00:00"/>
    <x v="67"/>
    <s v="AUI"/>
    <n v="11.090999999999999"/>
    <n v="11.958"/>
    <n v="0"/>
    <n v="132.66999999999999"/>
    <x v="1"/>
    <n v="248732.51"/>
    <n v="22426.601999999999"/>
  </r>
  <r>
    <s v="SK14"/>
    <d v="2014-01-17T00:00:00"/>
    <x v="67"/>
    <s v="RGI"/>
    <n v="17.015699999999999"/>
    <n v="9578.4940000000006"/>
    <n v="0"/>
    <n v="163040.93"/>
    <x v="1"/>
    <n v="36003872.140000001"/>
    <n v="2115925.9079999998"/>
  </r>
  <r>
    <s v="SK14"/>
    <d v="2014-01-21T00:00:00"/>
    <x v="68"/>
    <s v="AA"/>
    <n v="22.2712"/>
    <n v="19544.424999999999"/>
    <n v="1879.943"/>
    <n v="435776.18"/>
    <x v="360"/>
    <n v="220255934.22999999"/>
    <n v="9889737.6180000007"/>
  </r>
  <r>
    <s v="SK14"/>
    <d v="2014-01-21T00:00:00"/>
    <x v="68"/>
    <s v="AB"/>
    <n v="17.831600000000002"/>
    <n v="115347.655"/>
    <n v="2984.886"/>
    <n v="2059532.4"/>
    <x v="361"/>
    <n v="15688594.85"/>
    <n v="879817.95299999998"/>
  </r>
  <r>
    <s v="SK14"/>
    <d v="2014-01-21T00:00:00"/>
    <x v="68"/>
    <s v="AC"/>
    <n v="18.517800000000001"/>
    <n v="19640.690999999999"/>
    <n v="2579.0740000000001"/>
    <n v="364179.63"/>
    <x v="362"/>
    <n v="36233218.909999996"/>
    <n v="1956670.5349999999"/>
  </r>
  <r>
    <s v="SK14"/>
    <d v="2014-01-21T00:00:00"/>
    <x v="68"/>
    <s v="AGH"/>
    <n v="17.938600000000001"/>
    <n v="0"/>
    <n v="978.78300000000002"/>
    <n v="0"/>
    <x v="363"/>
    <n v="78192213.640000001"/>
    <n v="4358881.7549999999"/>
  </r>
  <r>
    <s v="SK14"/>
    <d v="2014-01-21T00:00:00"/>
    <x v="68"/>
    <s v="AI"/>
    <n v="17.121400000000001"/>
    <n v="28487"/>
    <n v="0"/>
    <n v="488255.79"/>
    <x v="1"/>
    <n v="25059513.640000001"/>
    <n v="1463638.2720000001"/>
  </r>
  <r>
    <s v="SK14"/>
    <d v="2014-01-21T00:00:00"/>
    <x v="68"/>
    <s v="RGI"/>
    <n v="16.997599999999998"/>
    <n v="9020.6029999999992"/>
    <n v="750"/>
    <n v="153491.29999999999"/>
    <x v="364"/>
    <n v="36106225.130000003"/>
    <n v="2124196.5109999999"/>
  </r>
  <r>
    <s v="SK14"/>
    <d v="2014-01-21T00:00:00"/>
    <x v="68"/>
    <s v="S4"/>
    <n v="18.057099999999998"/>
    <n v="0"/>
    <n v="52.195"/>
    <n v="0"/>
    <x v="365"/>
    <n v="1057742.8899999999"/>
    <n v="58577.796999999999"/>
  </r>
  <r>
    <s v="SK14"/>
    <d v="2014-01-22T00:00:00"/>
    <x v="69"/>
    <s v="A3"/>
    <n v="18.061900000000001"/>
    <n v="22.513999999999999"/>
    <n v="0"/>
    <n v="405.65"/>
    <x v="1"/>
    <n v="6843177.7300000004"/>
    <n v="378873.141"/>
  </r>
  <r>
    <s v="SK14"/>
    <d v="2014-01-22T00:00:00"/>
    <x v="69"/>
    <s v="AA"/>
    <n v="22.3262"/>
    <n v="180905.21299999999"/>
    <n v="15863.548000000001"/>
    <n v="4028976.17"/>
    <x v="366"/>
    <n v="224485152.94999999"/>
    <n v="10054779.283"/>
  </r>
  <r>
    <s v="SK14"/>
    <d v="2014-01-22T00:00:00"/>
    <x v="69"/>
    <s v="AB"/>
    <n v="17.875"/>
    <n v="52737.938000000002"/>
    <n v="6759.9210000000003"/>
    <n v="940401.82"/>
    <x v="367"/>
    <n v="16548585.75"/>
    <n v="925795.97"/>
  </r>
  <r>
    <s v="SK14"/>
    <d v="2014-01-22T00:00:00"/>
    <x v="69"/>
    <s v="AC"/>
    <n v="18.562799999999999"/>
    <n v="18573.089"/>
    <n v="607.06600000000003"/>
    <n v="343932.74"/>
    <x v="368"/>
    <n v="36654795.689999998"/>
    <n v="1974636.558"/>
  </r>
  <r>
    <s v="SK14"/>
    <d v="2014-01-22T00:00:00"/>
    <x v="69"/>
    <s v="AGH"/>
    <n v="18.0243"/>
    <n v="8987"/>
    <n v="610.55100000000004"/>
    <n v="161213.91"/>
    <x v="369"/>
    <n v="78716780.25"/>
    <n v="4367258.2039999999"/>
  </r>
  <r>
    <s v="SK14"/>
    <d v="2014-01-22T00:00:00"/>
    <x v="69"/>
    <s v="AI"/>
    <n v="17.164100000000001"/>
    <n v="44549"/>
    <n v="0"/>
    <n v="762741.25"/>
    <x v="1"/>
    <n v="25886616.239999998"/>
    <n v="1508187.2720000001"/>
  </r>
  <r>
    <s v="SK14"/>
    <d v="2014-01-22T00:00:00"/>
    <x v="69"/>
    <s v="BUI"/>
    <n v="10.822800000000001"/>
    <n v="5489.6589999999997"/>
    <n v="0"/>
    <n v="59269.1"/>
    <x v="1"/>
    <n v="1876278.13"/>
    <n v="173364.06899999999"/>
  </r>
  <r>
    <s v="SK14"/>
    <d v="2014-01-22T00:00:00"/>
    <x v="69"/>
    <s v="RGI"/>
    <n v="17.04"/>
    <n v="25151.437999999998"/>
    <n v="1125"/>
    <n v="427512.37"/>
    <x v="370"/>
    <n v="36605627.079999998"/>
    <n v="2148222.949"/>
  </r>
  <r>
    <s v="SK14"/>
    <d v="2014-01-22T00:00:00"/>
    <x v="69"/>
    <s v="S4"/>
    <n v="18.101900000000001"/>
    <n v="927.41"/>
    <n v="19.843"/>
    <n v="16746.34"/>
    <x v="371"/>
    <n v="1076800.82"/>
    <n v="59485.364000000001"/>
  </r>
  <r>
    <s v="SK14"/>
    <d v="2014-01-23T00:00:00"/>
    <x v="70"/>
    <s v="A3"/>
    <n v="18.111699999999999"/>
    <n v="0"/>
    <n v="1200.5340000000001"/>
    <n v="0"/>
    <x v="372"/>
    <n v="6840298.6500000004"/>
    <n v="377672.60700000002"/>
  </r>
  <r>
    <s v="SK14"/>
    <d v="2014-01-23T00:00:00"/>
    <x v="70"/>
    <s v="AA"/>
    <n v="22.387799999999999"/>
    <n v="10842.106"/>
    <n v="16232.844999999999"/>
    <n v="242063.07"/>
    <x v="373"/>
    <n v="224983308.37"/>
    <n v="10049388.544"/>
  </r>
  <r>
    <s v="SK14"/>
    <d v="2014-01-23T00:00:00"/>
    <x v="70"/>
    <s v="AB"/>
    <n v="17.923500000000001"/>
    <n v="3151.4450000000002"/>
    <n v="2853.2220000000002"/>
    <n v="56332.06"/>
    <x v="374"/>
    <n v="16598870.640000001"/>
    <n v="926094.19299999997"/>
  </r>
  <r>
    <s v="SK14"/>
    <d v="2014-01-23T00:00:00"/>
    <x v="70"/>
    <s v="AC"/>
    <n v="18.613199999999999"/>
    <n v="2776.2510000000002"/>
    <n v="19406.406999999999"/>
    <n v="51535.01"/>
    <x v="375"/>
    <n v="36444795.670000002"/>
    <n v="1958006.402"/>
  </r>
  <r>
    <s v="SK14"/>
    <d v="2014-01-23T00:00:00"/>
    <x v="70"/>
    <s v="AGH"/>
    <n v="18.174900000000001"/>
    <n v="28"/>
    <n v="770.46400000000006"/>
    <n v="504.68"/>
    <x v="376"/>
    <n v="79360870.409999996"/>
    <n v="4366515.74"/>
  </r>
  <r>
    <s v="SK14"/>
    <d v="2014-01-23T00:00:00"/>
    <x v="70"/>
    <s v="AI"/>
    <n v="17.2117"/>
    <n v="115607"/>
    <n v="1792.136"/>
    <n v="1984290.11"/>
    <x v="377"/>
    <n v="27917465.399999999"/>
    <n v="1622002.1359999999"/>
  </r>
  <r>
    <s v="SK14"/>
    <d v="2014-01-23T00:00:00"/>
    <x v="70"/>
    <s v="BUI"/>
    <n v="10.8522"/>
    <n v="1654.9179999999999"/>
    <n v="2737.9659999999999"/>
    <n v="17910.849999999999"/>
    <x v="378"/>
    <n v="1869619.95"/>
    <n v="172281.02100000001"/>
  </r>
  <r>
    <s v="SK14"/>
    <d v="2014-01-23T00:00:00"/>
    <x v="70"/>
    <s v="C1M"/>
    <n v="11.0421"/>
    <n v="2049.4090000000001"/>
    <n v="0"/>
    <n v="22568.49"/>
    <x v="1"/>
    <n v="401597.51"/>
    <n v="36369.771000000001"/>
  </r>
  <r>
    <s v="SK14"/>
    <d v="2014-01-23T00:00:00"/>
    <x v="70"/>
    <s v="RGI"/>
    <n v="17.087299999999999"/>
    <n v="25314.035"/>
    <n v="0"/>
    <n v="431351.42"/>
    <x v="1"/>
    <n v="37139839.969999999"/>
    <n v="2173536.9840000002"/>
  </r>
  <r>
    <s v="SK14"/>
    <d v="2014-01-24T00:00:00"/>
    <x v="71"/>
    <s v="AA"/>
    <n v="22.184899999999999"/>
    <n v="6444.8509999999997"/>
    <n v="28161.952000000001"/>
    <n v="144286.01999999999"/>
    <x v="379"/>
    <n v="222462566.87"/>
    <n v="10027671.443"/>
  </r>
  <r>
    <s v="SK14"/>
    <d v="2014-01-24T00:00:00"/>
    <x v="71"/>
    <s v="AB"/>
    <n v="17.760400000000001"/>
    <n v="10194.148999999999"/>
    <n v="52518.955999999998"/>
    <n v="182714.83"/>
    <x v="380"/>
    <n v="15696055.960000001"/>
    <n v="883769.38600000006"/>
  </r>
  <r>
    <s v="SK14"/>
    <d v="2014-01-24T00:00:00"/>
    <x v="71"/>
    <s v="AC"/>
    <n v="18.4438"/>
    <n v="6607.9840000000004"/>
    <n v="25427.420999999998"/>
    <n v="122995.73"/>
    <x v="381"/>
    <n v="35765909.810000002"/>
    <n v="1939186.9650000001"/>
  </r>
  <r>
    <s v="SK14"/>
    <d v="2014-01-24T00:00:00"/>
    <x v="71"/>
    <s v="AGH"/>
    <n v="18.1326"/>
    <n v="57733"/>
    <n v="67406.346000000005"/>
    <n v="1049295.4099999999"/>
    <x v="382"/>
    <n v="79000854.140000001"/>
    <n v="4356842.3940000003"/>
  </r>
  <r>
    <s v="SK14"/>
    <d v="2014-01-24T00:00:00"/>
    <x v="71"/>
    <s v="AI"/>
    <n v="17.056100000000001"/>
    <n v="145849"/>
    <n v="81253"/>
    <n v="2510309.23"/>
    <x v="383"/>
    <n v="28766786.129999999"/>
    <n v="1686598.1359999999"/>
  </r>
  <r>
    <s v="SK14"/>
    <d v="2014-01-24T00:00:00"/>
    <x v="71"/>
    <s v="AUI"/>
    <n v="11.035299999999999"/>
    <n v="8.91"/>
    <n v="305.274"/>
    <n v="99.22"/>
    <x v="384"/>
    <n v="244214.83"/>
    <n v="22130.238000000001"/>
  </r>
  <r>
    <s v="SK14"/>
    <d v="2014-01-24T00:00:00"/>
    <x v="71"/>
    <s v="BUI"/>
    <n v="10.753399999999999"/>
    <n v="8427.893"/>
    <n v="0"/>
    <n v="91461.18"/>
    <x v="1"/>
    <n v="1943227.91"/>
    <n v="180708.91399999999"/>
  </r>
  <r>
    <s v="SK14"/>
    <d v="2014-01-24T00:00:00"/>
    <x v="71"/>
    <s v="C1M"/>
    <n v="10.9415"/>
    <n v="932.19299999999998"/>
    <n v="0"/>
    <n v="10293.370000000001"/>
    <x v="1"/>
    <n v="408141.12"/>
    <n v="37301.964"/>
  </r>
  <r>
    <s v="SK14"/>
    <d v="2014-01-24T00:00:00"/>
    <x v="71"/>
    <s v="RGI"/>
    <n v="16.9328"/>
    <n v="24937.95"/>
    <n v="1830"/>
    <n v="426121.2"/>
    <x v="385"/>
    <n v="37195298.219999999"/>
    <n v="2196644.9339999999"/>
  </r>
  <r>
    <s v="SK14"/>
    <d v="2014-01-27T00:00:00"/>
    <x v="72"/>
    <s v="AA"/>
    <n v="21.692799999999998"/>
    <n v="36722.292999999998"/>
    <n v="105786.428"/>
    <n v="814680.4"/>
    <x v="386"/>
    <n v="216029862.47999999"/>
    <n v="9958607.3080000002"/>
  </r>
  <r>
    <s v="SK14"/>
    <d v="2014-01-27T00:00:00"/>
    <x v="72"/>
    <s v="AB"/>
    <n v="17.3642"/>
    <n v="1079.3309999999999"/>
    <n v="14388.79"/>
    <n v="19169.34"/>
    <x v="387"/>
    <n v="15114852.93"/>
    <n v="870459.92700000003"/>
  </r>
  <r>
    <s v="SK14"/>
    <d v="2014-01-27T00:00:00"/>
    <x v="72"/>
    <s v="AC"/>
    <n v="18.032399999999999"/>
    <n v="1326.7750000000001"/>
    <n v="2901.9639999999999"/>
    <n v="24470.77"/>
    <x v="388"/>
    <n v="34939761.399999999"/>
    <n v="1937611.7760000001"/>
  </r>
  <r>
    <s v="SK14"/>
    <d v="2014-01-27T00:00:00"/>
    <x v="72"/>
    <s v="AGH"/>
    <n v="17.665199999999999"/>
    <n v="0"/>
    <n v="2540.2370000000001"/>
    <n v="0"/>
    <x v="389"/>
    <n v="76919675.590000004"/>
    <n v="4354302.1569999997"/>
  </r>
  <r>
    <s v="SK14"/>
    <d v="2014-01-27T00:00:00"/>
    <x v="72"/>
    <s v="BUI"/>
    <n v="10.513500000000001"/>
    <n v="5478.3590000000004"/>
    <n v="0"/>
    <n v="58910.99"/>
    <x v="1"/>
    <n v="1957482"/>
    <n v="186187.27299999999"/>
  </r>
  <r>
    <s v="SK14"/>
    <d v="2014-01-27T00:00:00"/>
    <x v="72"/>
    <s v="RGI"/>
    <n v="16.558199999999999"/>
    <n v="580"/>
    <n v="0"/>
    <n v="9821.0300000000007"/>
    <x v="1"/>
    <n v="36382154.75"/>
    <n v="2197224.9339999999"/>
  </r>
  <r>
    <s v="SK14"/>
    <d v="2014-01-28T00:00:00"/>
    <x v="73"/>
    <s v="AA"/>
    <n v="21.655100000000001"/>
    <n v="3639388.6170000001"/>
    <n v="510607.04800000001"/>
    <n v="78948529.370000005"/>
    <x v="390"/>
    <n v="283408673.13"/>
    <n v="13087388.877"/>
  </r>
  <r>
    <s v="SK14"/>
    <d v="2014-01-28T00:00:00"/>
    <x v="73"/>
    <s v="AB"/>
    <n v="17.333300000000001"/>
    <n v="2950.6759999999999"/>
    <n v="55517.146000000001"/>
    <n v="51236.13"/>
    <x v="391"/>
    <n v="14176821.35"/>
    <n v="817893.45700000005"/>
  </r>
  <r>
    <s v="SK14"/>
    <d v="2014-01-28T00:00:00"/>
    <x v="73"/>
    <s v="AC"/>
    <n v="18.000299999999999"/>
    <n v="5863.2910000000002"/>
    <n v="3606.31"/>
    <n v="105729.2"/>
    <x v="392"/>
    <n v="34918251.140000001"/>
    <n v="1939868.757"/>
  </r>
  <r>
    <s v="SK14"/>
    <d v="2014-01-28T00:00:00"/>
    <x v="73"/>
    <s v="AGH"/>
    <n v="17.5931"/>
    <n v="8954"/>
    <n v="2815130.3569999998"/>
    <n v="158174.35999999999"/>
    <x v="393"/>
    <n v="27236353.84"/>
    <n v="1548125.8"/>
  </r>
  <r>
    <s v="SK14"/>
    <d v="2014-01-28T00:00:00"/>
    <x v="73"/>
    <s v="AI"/>
    <n v="16.650200000000002"/>
    <n v="0"/>
    <n v="139761"/>
    <n v="0"/>
    <x v="394"/>
    <n v="25755137.739999998"/>
    <n v="1546837.1359999999"/>
  </r>
  <r>
    <s v="SK14"/>
    <d v="2014-01-28T00:00:00"/>
    <x v="73"/>
    <s v="AUI"/>
    <n v="10.771800000000001"/>
    <n v="258.86399999999998"/>
    <n v="0"/>
    <n v="2793.3"/>
    <x v="1"/>
    <n v="241171.39"/>
    <n v="22389.101999999999"/>
  </r>
  <r>
    <s v="SK14"/>
    <d v="2014-01-28T00:00:00"/>
    <x v="73"/>
    <s v="BUI"/>
    <n v="10.4948"/>
    <n v="3514.7429999999999"/>
    <n v="2508.6379999999999"/>
    <n v="36952.25"/>
    <x v="395"/>
    <n v="1964559.7"/>
    <n v="187193.378"/>
  </r>
  <r>
    <s v="SK14"/>
    <d v="2014-01-28T00:00:00"/>
    <x v="73"/>
    <s v="C1M"/>
    <n v="10.6785"/>
    <n v="3024.877"/>
    <n v="0"/>
    <n v="32358.63"/>
    <x v="1"/>
    <n v="430629.09"/>
    <n v="40326.841"/>
  </r>
  <r>
    <s v="SK14"/>
    <d v="2014-01-28T00:00:00"/>
    <x v="73"/>
    <s v="RGI"/>
    <n v="16.529800000000002"/>
    <n v="5770.8190000000004"/>
    <n v="0"/>
    <n v="95554.33"/>
    <x v="1"/>
    <n v="36415085.939999998"/>
    <n v="2202995.753"/>
  </r>
  <r>
    <s v="SK14"/>
    <d v="2014-01-29T00:00:00"/>
    <x v="74"/>
    <s v="AA"/>
    <n v="21.840599999999998"/>
    <n v="24951.023000000001"/>
    <n v="4831.3310000000001"/>
    <n v="540316.9"/>
    <x v="396"/>
    <n v="286276293.54000002"/>
    <n v="13107508.569"/>
  </r>
  <r>
    <s v="SK14"/>
    <d v="2014-01-29T00:00:00"/>
    <x v="74"/>
    <s v="AB"/>
    <n v="17.481100000000001"/>
    <n v="23765.343000000001"/>
    <n v="5252.2489999999998"/>
    <n v="411931.81"/>
    <x v="397"/>
    <n v="14621332.310000001"/>
    <n v="836406.55099999998"/>
  </r>
  <r>
    <s v="SK14"/>
    <d v="2014-01-29T00:00:00"/>
    <x v="74"/>
    <s v="AC"/>
    <n v="18.1538"/>
    <n v="31450.518"/>
    <n v="12114.556"/>
    <n v="566118.77"/>
    <x v="398"/>
    <n v="35567010.189999998"/>
    <n v="1959204.719"/>
  </r>
  <r>
    <s v="SK14"/>
    <d v="2014-01-29T00:00:00"/>
    <x v="74"/>
    <s v="AGH"/>
    <n v="17.7651"/>
    <n v="58092"/>
    <n v="426.495"/>
    <n v="1022018.08"/>
    <x v="399"/>
    <n v="28527119.239999998"/>
    <n v="1605791.3049999999"/>
  </r>
  <r>
    <s v="SK14"/>
    <d v="2014-01-29T00:00:00"/>
    <x v="74"/>
    <s v="AI"/>
    <n v="16.793199999999999"/>
    <n v="30000"/>
    <n v="53757"/>
    <n v="499506"/>
    <x v="400"/>
    <n v="25577376.280000001"/>
    <n v="1523080.1359999999"/>
  </r>
  <r>
    <s v="SK14"/>
    <d v="2014-01-29T00:00:00"/>
    <x v="74"/>
    <s v="AUI"/>
    <n v="10.864100000000001"/>
    <n v="642.03399999999999"/>
    <n v="0"/>
    <n v="6915.86"/>
    <x v="1"/>
    <n v="250212.8"/>
    <n v="23031.135999999999"/>
  </r>
  <r>
    <s v="SK14"/>
    <d v="2014-01-29T00:00:00"/>
    <x v="74"/>
    <s v="BUI"/>
    <n v="10.584300000000001"/>
    <n v="4109.7370000000001"/>
    <n v="0"/>
    <n v="43130.87"/>
    <x v="1"/>
    <n v="2024809.61"/>
    <n v="191303.11499999999"/>
  </r>
  <r>
    <s v="SK14"/>
    <d v="2014-01-29T00:00:00"/>
    <x v="74"/>
    <s v="RGI"/>
    <n v="16.671800000000001"/>
    <n v="13472.064"/>
    <n v="0"/>
    <n v="222691.58"/>
    <x v="1"/>
    <n v="36952436.109999999"/>
    <n v="2216467.8169999998"/>
  </r>
  <r>
    <s v="SK14"/>
    <d v="2014-01-30T00:00:00"/>
    <x v="75"/>
    <s v="AA"/>
    <n v="21.668199999999999"/>
    <n v="67356.926000000007"/>
    <n v="5599.7889999999998"/>
    <n v="1471115.7"/>
    <x v="401"/>
    <n v="285354766.77999997"/>
    <n v="13169265.706"/>
  </r>
  <r>
    <s v="SK14"/>
    <d v="2014-01-30T00:00:00"/>
    <x v="75"/>
    <s v="AB"/>
    <n v="17.342400000000001"/>
    <n v="66675.395000000004"/>
    <n v="1639.3889999999999"/>
    <n v="1165559.22"/>
    <x v="402"/>
    <n v="15633199.58"/>
    <n v="901442.55700000003"/>
  </r>
  <r>
    <s v="SK14"/>
    <d v="2014-01-30T00:00:00"/>
    <x v="75"/>
    <s v="AC"/>
    <n v="18.009799999999998"/>
    <n v="10280.66"/>
    <n v="1287.3689999999999"/>
    <n v="186633.02"/>
    <x v="403"/>
    <n v="35446770.909999996"/>
    <n v="1968198.01"/>
  </r>
  <r>
    <s v="SK14"/>
    <d v="2014-01-30T00:00:00"/>
    <x v="75"/>
    <s v="AGH"/>
    <n v="17.5425"/>
    <n v="6767.2529999999997"/>
    <n v="0"/>
    <n v="120221.2"/>
    <x v="1"/>
    <n v="28288336.68"/>
    <n v="1612558.558"/>
  </r>
  <r>
    <s v="SK14"/>
    <d v="2014-01-30T00:00:00"/>
    <x v="75"/>
    <s v="AI"/>
    <n v="16.661000000000001"/>
    <n v="0"/>
    <n v="258078"/>
    <n v="0"/>
    <x v="404"/>
    <n v="21076174.539999999"/>
    <n v="1265002.1359999999"/>
  </r>
  <r>
    <s v="SK14"/>
    <d v="2014-01-30T00:00:00"/>
    <x v="75"/>
    <s v="BUI"/>
    <n v="10.500299999999999"/>
    <n v="2381.5909999999999"/>
    <n v="0"/>
    <n v="25207.47"/>
    <x v="1"/>
    <n v="2033751.24"/>
    <n v="193684.70600000001"/>
  </r>
  <r>
    <s v="SK14"/>
    <d v="2014-01-30T00:00:00"/>
    <x v="75"/>
    <s v="RGI"/>
    <n v="16.540500000000002"/>
    <n v="31969.807000000001"/>
    <n v="0"/>
    <n v="532992.55000000005"/>
    <x v="1"/>
    <n v="37190311.469999999"/>
    <n v="2248437.6239999998"/>
  </r>
  <r>
    <s v="SK14"/>
    <d v="2014-01-31T00:00:00"/>
    <x v="76"/>
    <s v="A3"/>
    <n v="17.706299999999999"/>
    <n v="6849.15"/>
    <n v="167.72499999999999"/>
    <n v="120062.78"/>
    <x v="405"/>
    <n v="6805914.9900000002"/>
    <n v="384377.40299999999"/>
  </r>
  <r>
    <s v="SK14"/>
    <d v="2014-01-31T00:00:00"/>
    <x v="76"/>
    <s v="AA"/>
    <n v="21.886700000000001"/>
    <n v="16653.437999999998"/>
    <n v="9001.1890000000003"/>
    <n v="360850"/>
    <x v="406"/>
    <n v="288398967.27999997"/>
    <n v="13176917.955"/>
  </r>
  <r>
    <s v="SK14"/>
    <d v="2014-01-31T00:00:00"/>
    <x v="76"/>
    <s v="AC"/>
    <n v="18.1906"/>
    <n v="882.803"/>
    <n v="2455.1880000000001"/>
    <n v="15899.12"/>
    <x v="407"/>
    <n v="35774057.539999999"/>
    <n v="1966625.625"/>
  </r>
  <r>
    <s v="SK14"/>
    <d v="2014-01-31T00:00:00"/>
    <x v="76"/>
    <s v="AGH"/>
    <n v="17.657399999999999"/>
    <n v="465.08699999999999"/>
    <n v="8992"/>
    <n v="8158.8"/>
    <x v="408"/>
    <n v="28323063.5"/>
    <n v="1604031.645"/>
  </r>
  <r>
    <s v="SK14"/>
    <d v="2014-01-31T00:00:00"/>
    <x v="76"/>
    <s v="AI"/>
    <n v="16.8293"/>
    <n v="0"/>
    <n v="154413"/>
    <n v="0"/>
    <x v="409"/>
    <n v="18690417.219999999"/>
    <n v="1110589.1359999999"/>
  </r>
  <r>
    <s v="SK14"/>
    <d v="2014-01-31T00:00:00"/>
    <x v="76"/>
    <s v="RGI"/>
    <n v="16.707599999999999"/>
    <n v="130338.061"/>
    <n v="0"/>
    <n v="2155865.6800000002"/>
    <x v="1"/>
    <n v="39743642.310000002"/>
    <n v="2378775.6850000001"/>
  </r>
  <r>
    <s v="SK14"/>
    <d v="2014-02-03T00:00:00"/>
    <x v="77"/>
    <s v="AA"/>
    <n v="21.704499999999999"/>
    <n v="14039.349"/>
    <n v="134453.106"/>
    <n v="307275"/>
    <x v="410"/>
    <n v="283384672.98000002"/>
    <n v="13056504.198000001"/>
  </r>
  <r>
    <s v="SK14"/>
    <d v="2014-02-03T00:00:00"/>
    <x v="77"/>
    <s v="AC"/>
    <n v="18.036899999999999"/>
    <n v="161.16800000000001"/>
    <n v="615.85199999999998"/>
    <n v="2931.75"/>
    <x v="411"/>
    <n v="35463645.270000003"/>
    <n v="1966170.9410000001"/>
  </r>
  <r>
    <s v="SK14"/>
    <d v="2014-02-03T00:00:00"/>
    <x v="77"/>
    <s v="AGH"/>
    <n v="17.453900000000001"/>
    <n v="997.63599999999997"/>
    <n v="9499.0990000000002"/>
    <n v="17615.650000000001"/>
    <x v="412"/>
    <n v="27848206.649999999"/>
    <n v="1595530.182"/>
  </r>
  <r>
    <s v="SK14"/>
    <d v="2014-02-03T00:00:00"/>
    <x v="77"/>
    <s v="AI"/>
    <n v="16.690200000000001"/>
    <n v="0"/>
    <n v="75100"/>
    <n v="0"/>
    <x v="413"/>
    <n v="17282544.059999999"/>
    <n v="1035489.1360000001"/>
  </r>
  <r>
    <s v="SK14"/>
    <d v="2014-02-03T00:00:00"/>
    <x v="77"/>
    <s v="RGI"/>
    <n v="16.569600000000001"/>
    <n v="3881.4059999999999"/>
    <n v="0"/>
    <n v="64848.71"/>
    <x v="1"/>
    <n v="39479559.719999999"/>
    <n v="2382657.091"/>
  </r>
  <r>
    <s v="SK14"/>
    <d v="2014-02-04T00:00:00"/>
    <x v="78"/>
    <s v="AA"/>
    <n v="21.2483"/>
    <n v="240358.83900000001"/>
    <n v="237744.921"/>
    <n v="5216868.41"/>
    <x v="414"/>
    <n v="277484082.61000001"/>
    <n v="13059118.116"/>
  </r>
  <r>
    <s v="SK14"/>
    <d v="2014-02-04T00:00:00"/>
    <x v="78"/>
    <s v="AC"/>
    <n v="17.6571"/>
    <n v="0.39"/>
    <n v="502.01900000000001"/>
    <n v="7.03"/>
    <x v="415"/>
    <n v="34707961.57"/>
    <n v="1965669.3119999999"/>
  </r>
  <r>
    <s v="SK14"/>
    <d v="2014-02-04T00:00:00"/>
    <x v="78"/>
    <s v="AGH"/>
    <n v="17.0947"/>
    <n v="0"/>
    <n v="770.50099999999998"/>
    <n v="0"/>
    <x v="416"/>
    <n v="27261999.690000001"/>
    <n v="1594759.6810000001"/>
  </r>
  <r>
    <s v="SK14"/>
    <d v="2014-02-04T00:00:00"/>
    <x v="78"/>
    <s v="AI"/>
    <n v="16.3398"/>
    <n v="0"/>
    <n v="46237"/>
    <n v="0"/>
    <x v="417"/>
    <n v="16164156.460000001"/>
    <n v="989252.13600000006"/>
  </r>
  <r>
    <s v="SK14"/>
    <d v="2014-02-04T00:00:00"/>
    <x v="78"/>
    <s v="RGI"/>
    <n v="16.221599999999999"/>
    <n v="31545.728999999999"/>
    <n v="71"/>
    <n v="522698.13"/>
    <x v="418"/>
    <n v="39161167.25"/>
    <n v="2414131.8199999998"/>
  </r>
  <r>
    <s v="SK14"/>
    <d v="2014-02-05T00:00:00"/>
    <x v="79"/>
    <s v="A3"/>
    <n v="17.3032"/>
    <n v="324.01299999999998"/>
    <n v="0"/>
    <n v="5569.77"/>
    <x v="1"/>
    <n v="6656580.4199999999"/>
    <n v="384701.41600000003"/>
  </r>
  <r>
    <s v="SK14"/>
    <d v="2014-02-05T00:00:00"/>
    <x v="79"/>
    <s v="AA"/>
    <n v="21.388400000000001"/>
    <n v="452.22399999999999"/>
    <n v="1076.2860000000001"/>
    <n v="9609"/>
    <x v="419"/>
    <n v="279300476.62"/>
    <n v="13058494.054"/>
  </r>
  <r>
    <s v="SK14"/>
    <d v="2014-02-05T00:00:00"/>
    <x v="79"/>
    <s v="AC"/>
    <n v="17.7728"/>
    <n v="1489.4860000000001"/>
    <n v="927.31299999999999"/>
    <n v="26300"/>
    <x v="420"/>
    <n v="34945392.380000003"/>
    <n v="1966231.4850000001"/>
  </r>
  <r>
    <s v="SK14"/>
    <d v="2014-02-05T00:00:00"/>
    <x v="79"/>
    <s v="AGH"/>
    <n v="17.2149"/>
    <n v="22"/>
    <n v="2655.9169999999999"/>
    <n v="376.08"/>
    <x v="421"/>
    <n v="27408252.300000001"/>
    <n v="1592125.764"/>
  </r>
  <r>
    <s v="SK14"/>
    <d v="2014-02-05T00:00:00"/>
    <x v="79"/>
    <s v="AI"/>
    <n v="16.447900000000001"/>
    <n v="155963"/>
    <n v="13839"/>
    <n v="2548404.23"/>
    <x v="422"/>
    <n v="18608714.399999999"/>
    <n v="1131376.1359999999"/>
  </r>
  <r>
    <s v="SK14"/>
    <d v="2014-02-05T00:00:00"/>
    <x v="79"/>
    <s v="RGI"/>
    <n v="16.328900000000001"/>
    <n v="12083.635"/>
    <n v="0"/>
    <n v="196015.69"/>
    <x v="1"/>
    <n v="39617514.579999998"/>
    <n v="2426215.4550000001"/>
  </r>
  <r>
    <s v="SK14"/>
    <d v="2014-02-06T00:00:00"/>
    <x v="80"/>
    <s v="AA"/>
    <n v="21.377500000000001"/>
    <n v="2576.5569999999998"/>
    <n v="67038.622000000003"/>
    <n v="55108.45"/>
    <x v="423"/>
    <n v="277779790.85000002"/>
    <n v="12994031.989"/>
  </r>
  <r>
    <s v="SK14"/>
    <d v="2014-02-06T00:00:00"/>
    <x v="80"/>
    <s v="AB"/>
    <n v="17.104800000000001"/>
    <n v="1185.8710000000001"/>
    <n v="113468.952"/>
    <n v="20295.23"/>
    <x v="424"/>
    <n v="13498401.32"/>
    <n v="789159.47600000002"/>
  </r>
  <r>
    <s v="SK14"/>
    <d v="2014-02-06T00:00:00"/>
    <x v="80"/>
    <s v="AC"/>
    <n v="17.763000000000002"/>
    <n v="4572.3249999999998"/>
    <n v="16778.899000000001"/>
    <n v="81263.03"/>
    <x v="425"/>
    <n v="34709283.020000003"/>
    <n v="1954024.9110000001"/>
  </r>
  <r>
    <s v="SK14"/>
    <d v="2014-02-06T00:00:00"/>
    <x v="80"/>
    <s v="AGH"/>
    <n v="17.2056"/>
    <n v="0"/>
    <n v="463.31599999999997"/>
    <n v="0"/>
    <x v="426"/>
    <n v="27385474.050000001"/>
    <n v="1591662.4480000001"/>
  </r>
  <r>
    <s v="SK14"/>
    <d v="2014-02-06T00:00:00"/>
    <x v="80"/>
    <s v="AUI"/>
    <n v="10.633699999999999"/>
    <n v="15.475"/>
    <n v="0"/>
    <n v="164.64"/>
    <x v="1"/>
    <n v="245071.35999999999"/>
    <n v="23046.611000000001"/>
  </r>
  <r>
    <s v="SK14"/>
    <d v="2014-02-06T00:00:00"/>
    <x v="80"/>
    <s v="BUI"/>
    <n v="10.356400000000001"/>
    <n v="0"/>
    <n v="884.87900000000002"/>
    <n v="0"/>
    <x v="427"/>
    <n v="1996718.29"/>
    <n v="192799.82699999999"/>
  </r>
  <r>
    <s v="SK14"/>
    <d v="2014-02-06T00:00:00"/>
    <x v="80"/>
    <s v="RGI"/>
    <n v="16.320900000000002"/>
    <n v="12401.683000000001"/>
    <n v="0"/>
    <n v="202504.98"/>
    <x v="1"/>
    <n v="39800500.170000002"/>
    <n v="2438617.1379999998"/>
  </r>
  <r>
    <s v="SK14"/>
    <d v="2014-02-06T00:00:00"/>
    <x v="80"/>
    <s v="S4"/>
    <n v="17.336300000000001"/>
    <n v="0"/>
    <n v="13.64"/>
    <n v="0"/>
    <x v="428"/>
    <n v="1031020.2"/>
    <n v="59471.724000000002"/>
  </r>
  <r>
    <s v="SK14"/>
    <d v="2014-02-07T00:00:00"/>
    <x v="81"/>
    <s v="A3"/>
    <n v="17.507000000000001"/>
    <n v="23.449000000000002"/>
    <n v="0"/>
    <n v="405.54"/>
    <x v="1"/>
    <n v="6735395.6399999997"/>
    <n v="384724.86499999999"/>
  </r>
  <r>
    <s v="SK14"/>
    <d v="2014-02-07T00:00:00"/>
    <x v="81"/>
    <s v="AA"/>
    <n v="21.6403"/>
    <n v="66134.144"/>
    <n v="890.38499999999999"/>
    <n v="1413782.64"/>
    <x v="429"/>
    <n v="282607142.56"/>
    <n v="13059275.748"/>
  </r>
  <r>
    <s v="SK14"/>
    <d v="2014-02-07T00:00:00"/>
    <x v="81"/>
    <s v="AB"/>
    <n v="17.314399999999999"/>
    <n v="12296.143"/>
    <n v="0"/>
    <n v="210323.06"/>
    <x v="1"/>
    <n v="13876717.26"/>
    <n v="801455.61899999995"/>
  </r>
  <r>
    <s v="SK14"/>
    <d v="2014-02-07T00:00:00"/>
    <x v="81"/>
    <s v="AC"/>
    <n v="17.980599999999999"/>
    <n v="36298.430999999997"/>
    <n v="48.752000000000002"/>
    <n v="644769"/>
    <x v="430"/>
    <n v="35786419.869999997"/>
    <n v="1990274.59"/>
  </r>
  <r>
    <s v="SK14"/>
    <d v="2014-02-07T00:00:00"/>
    <x v="81"/>
    <s v="AGH"/>
    <n v="17.4817"/>
    <n v="2979.71"/>
    <n v="0"/>
    <n v="51267.64"/>
    <x v="1"/>
    <n v="27877075.640000001"/>
    <n v="1594642.1580000001"/>
  </r>
  <r>
    <s v="SK14"/>
    <d v="2014-02-07T00:00:00"/>
    <x v="81"/>
    <s v="AI"/>
    <n v="16.642299999999999"/>
    <n v="142897"/>
    <n v="0"/>
    <n v="2349198.1"/>
    <x v="1"/>
    <n v="21206797.949999999"/>
    <n v="1274273.1359999999"/>
  </r>
  <r>
    <s v="SK14"/>
    <d v="2014-02-07T00:00:00"/>
    <x v="81"/>
    <s v="AUI"/>
    <n v="10.7645"/>
    <n v="963.18299999999999"/>
    <n v="0"/>
    <n v="10242.200000000001"/>
    <x v="1"/>
    <n v="258452.78"/>
    <n v="24009.794000000002"/>
  </r>
  <r>
    <s v="SK14"/>
    <d v="2014-02-07T00:00:00"/>
    <x v="81"/>
    <s v="RGI"/>
    <n v="16.521899999999999"/>
    <n v="22433.453000000001"/>
    <n v="0"/>
    <n v="366132.52"/>
    <x v="1"/>
    <n v="40661328.700000003"/>
    <n v="2461050.591"/>
  </r>
  <r>
    <s v="SK14"/>
    <d v="2014-02-10T00:00:00"/>
    <x v="82"/>
    <s v="AA"/>
    <n v="21.920200000000001"/>
    <n v="50434.684999999998"/>
    <n v="1650.9780000000001"/>
    <n v="1091421.72"/>
    <x v="431"/>
    <n v="287331396.76999998"/>
    <n v="13108059.455"/>
  </r>
  <r>
    <s v="SK14"/>
    <d v="2014-02-10T00:00:00"/>
    <x v="82"/>
    <s v="AB"/>
    <n v="17.536200000000001"/>
    <n v="150683.52600000001"/>
    <n v="2486.933"/>
    <n v="2608994.85"/>
    <x v="432"/>
    <n v="16653275.029999999"/>
    <n v="949652.21200000006"/>
  </r>
  <r>
    <s v="SK14"/>
    <d v="2014-02-10T00:00:00"/>
    <x v="82"/>
    <s v="AC"/>
    <n v="18.210999999999999"/>
    <n v="34141.546999999999"/>
    <n v="6531.2240000000002"/>
    <n v="613885.59"/>
    <x v="433"/>
    <n v="36747636.710000001"/>
    <n v="2017884.9129999999"/>
  </r>
  <r>
    <s v="SK14"/>
    <d v="2014-02-10T00:00:00"/>
    <x v="82"/>
    <s v="AUI"/>
    <n v="10.903700000000001"/>
    <n v="91.933000000000007"/>
    <n v="0"/>
    <n v="989.61"/>
    <x v="1"/>
    <n v="262797.7"/>
    <n v="24101.726999999999"/>
  </r>
  <r>
    <s v="SK14"/>
    <d v="2014-02-10T00:00:00"/>
    <x v="82"/>
    <s v="BUI"/>
    <n v="10.617599999999999"/>
    <n v="4005.9589999999998"/>
    <n v="0"/>
    <n v="41995.67"/>
    <x v="1"/>
    <n v="2089611.02"/>
    <n v="196805.78599999999"/>
  </r>
  <r>
    <s v="SK14"/>
    <d v="2014-02-10T00:00:00"/>
    <x v="82"/>
    <s v="RGI"/>
    <n v="16.736599999999999"/>
    <n v="14515.822"/>
    <n v="0"/>
    <n v="239828.58"/>
    <x v="1"/>
    <n v="41432645.829999998"/>
    <n v="2475566.4130000002"/>
  </r>
  <r>
    <s v="SK14"/>
    <d v="2014-02-10T00:00:00"/>
    <x v="82"/>
    <s v="S4"/>
    <n v="17.7774"/>
    <n v="0"/>
    <n v="3.6709999999999998"/>
    <n v="0"/>
    <x v="434"/>
    <n v="1057187.04"/>
    <n v="59468.053"/>
  </r>
  <r>
    <s v="SK14"/>
    <d v="2014-02-11T00:00:00"/>
    <x v="83"/>
    <s v="A3"/>
    <n v="17.667899999999999"/>
    <n v="23.059000000000001"/>
    <n v="0"/>
    <n v="408.92"/>
    <x v="1"/>
    <n v="6797693.0099999998"/>
    <n v="384747.924"/>
  </r>
  <r>
    <s v="SK14"/>
    <d v="2014-02-11T00:00:00"/>
    <x v="83"/>
    <s v="AA"/>
    <n v="21.839200000000002"/>
    <n v="11460.583000000001"/>
    <n v="56267.845999999998"/>
    <n v="251218.3"/>
    <x v="435"/>
    <n v="285290794.43000001"/>
    <n v="13063252.192"/>
  </r>
  <r>
    <s v="SK14"/>
    <d v="2014-02-11T00:00:00"/>
    <x v="83"/>
    <s v="AB"/>
    <n v="17.470600000000001"/>
    <n v="1438.902"/>
    <n v="51960.247000000003"/>
    <n v="25232.87"/>
    <x v="436"/>
    <n v="15708394.689999999"/>
    <n v="899130.86699999997"/>
  </r>
  <r>
    <s v="SK14"/>
    <d v="2014-02-11T00:00:00"/>
    <x v="83"/>
    <s v="AC"/>
    <n v="18.142900000000001"/>
    <n v="223.387"/>
    <n v="41381.186000000002"/>
    <n v="4068.09"/>
    <x v="437"/>
    <n v="35863574.640000001"/>
    <n v="1976727.1140000001"/>
  </r>
  <r>
    <s v="SK14"/>
    <d v="2014-02-11T00:00:00"/>
    <x v="83"/>
    <s v="AGH"/>
    <n v="17.764600000000002"/>
    <n v="1150.5309999999999"/>
    <n v="0"/>
    <n v="20463.54"/>
    <x v="1"/>
    <n v="28348540.690000001"/>
    <n v="1595792.689"/>
  </r>
  <r>
    <s v="SK14"/>
    <d v="2014-02-11T00:00:00"/>
    <x v="83"/>
    <s v="AI"/>
    <n v="16.796600000000002"/>
    <n v="0"/>
    <n v="165271"/>
    <n v="0"/>
    <x v="438"/>
    <n v="18627426.27"/>
    <n v="1109002.1359999999"/>
  </r>
  <r>
    <s v="SK14"/>
    <d v="2014-02-11T00:00:00"/>
    <x v="83"/>
    <s v="RGI"/>
    <n v="16.6751"/>
    <n v="15843.377"/>
    <n v="1300"/>
    <n v="265163.65000000002"/>
    <x v="439"/>
    <n v="41522863.210000001"/>
    <n v="2490109.79"/>
  </r>
  <r>
    <s v="SK14"/>
    <d v="2014-02-11T00:00:00"/>
    <x v="83"/>
    <s v="S4"/>
    <n v="17.7119"/>
    <n v="23.196000000000002"/>
    <n v="9.5139999999999993"/>
    <n v="412.37"/>
    <x v="440"/>
    <n v="1053536.25"/>
    <n v="59481.735000000001"/>
  </r>
  <r>
    <s v="SK14"/>
    <d v="2014-02-12T00:00:00"/>
    <x v="84"/>
    <s v="AA"/>
    <n v="22.093900000000001"/>
    <n v="1004492.828"/>
    <n v="13763.135"/>
    <n v="21937319.800000001"/>
    <x v="441"/>
    <n v="310507067.01999998"/>
    <n v="14053981.885"/>
  </r>
  <r>
    <s v="SK14"/>
    <d v="2014-02-12T00:00:00"/>
    <x v="84"/>
    <s v="AB"/>
    <n v="17.6737"/>
    <n v="2281.587"/>
    <n v="0"/>
    <n v="39860.71"/>
    <x v="1"/>
    <n v="15931271.560000001"/>
    <n v="901412.45400000003"/>
  </r>
  <r>
    <s v="SK14"/>
    <d v="2014-02-12T00:00:00"/>
    <x v="84"/>
    <s v="AC"/>
    <n v="18.3538"/>
    <n v="42149.279999999999"/>
    <n v="90.317999999999998"/>
    <n v="764710.15"/>
    <x v="442"/>
    <n v="37052297.57"/>
    <n v="2018786.0759999999"/>
  </r>
  <r>
    <s v="SK14"/>
    <d v="2014-02-12T00:00:00"/>
    <x v="84"/>
    <s v="AGH"/>
    <n v="17.855899999999998"/>
    <n v="26800"/>
    <n v="638906.196"/>
    <n v="476089.49"/>
    <x v="443"/>
    <n v="17564653.870000001"/>
    <n v="983686.49300000002"/>
  </r>
  <r>
    <s v="SK14"/>
    <d v="2014-02-12T00:00:00"/>
    <x v="84"/>
    <s v="AI"/>
    <n v="16.992799999999999"/>
    <n v="48542"/>
    <n v="0"/>
    <n v="815340.56"/>
    <x v="1"/>
    <n v="19669916.719999999"/>
    <n v="1157544.1359999999"/>
  </r>
  <r>
    <s v="SK14"/>
    <d v="2014-02-12T00:00:00"/>
    <x v="84"/>
    <s v="AUI"/>
    <n v="10.9901"/>
    <n v="10343.666999999999"/>
    <n v="0"/>
    <n v="112367.39"/>
    <x v="1"/>
    <n v="378557.75"/>
    <n v="34445.394"/>
  </r>
  <r>
    <s v="SK14"/>
    <d v="2014-02-12T00:00:00"/>
    <x v="84"/>
    <s v="BUI"/>
    <n v="10.700900000000001"/>
    <n v="1517.5239999999999"/>
    <n v="0"/>
    <n v="16052.22"/>
    <x v="1"/>
    <n v="2122233.56"/>
    <n v="198323.31"/>
  </r>
  <r>
    <s v="SK14"/>
    <d v="2014-02-12T00:00:00"/>
    <x v="84"/>
    <s v="C1M"/>
    <n v="10.8881"/>
    <n v="818.50300000000004"/>
    <n v="0"/>
    <n v="8809.6299999999992"/>
    <x v="1"/>
    <n v="447996.46"/>
    <n v="41145.343999999997"/>
  </r>
  <r>
    <s v="SK14"/>
    <d v="2014-02-12T00:00:00"/>
    <x v="84"/>
    <s v="RGI"/>
    <n v="16.869900000000001"/>
    <n v="69559.731"/>
    <n v="0"/>
    <n v="1159912.53"/>
    <x v="1"/>
    <n v="43181438.740000002"/>
    <n v="2559669.5210000002"/>
  </r>
  <r>
    <s v="SK14"/>
    <d v="2014-02-12T00:00:00"/>
    <x v="84"/>
    <s v="S4"/>
    <n v="17.918700000000001"/>
    <n v="0"/>
    <n v="1267.3"/>
    <n v="0"/>
    <x v="444"/>
    <n v="1043129.02"/>
    <n v="58214.434999999998"/>
  </r>
  <r>
    <s v="SK14"/>
    <d v="2014-02-13T00:00:00"/>
    <x v="85"/>
    <s v="AA"/>
    <n v="22.0868"/>
    <n v="22314.447"/>
    <n v="5830.9"/>
    <n v="493013.17"/>
    <x v="445"/>
    <n v="310771593.25"/>
    <n v="14070465.432"/>
  </r>
  <r>
    <s v="SK14"/>
    <d v="2014-02-13T00:00:00"/>
    <x v="85"/>
    <s v="AB"/>
    <n v="17.667300000000001"/>
    <n v="6478.7039999999997"/>
    <n v="6518.6210000000001"/>
    <n v="114502.67"/>
    <x v="446"/>
    <n v="15924804.35"/>
    <n v="901372.53700000001"/>
  </r>
  <r>
    <s v="SK14"/>
    <d v="2014-02-13T00:00:00"/>
    <x v="85"/>
    <s v="AC"/>
    <n v="18.347100000000001"/>
    <n v="17294.881000000001"/>
    <n v="13853.017"/>
    <n v="317426.78999999998"/>
    <x v="447"/>
    <n v="37102045.030000001"/>
    <n v="2022227.94"/>
  </r>
  <r>
    <s v="SK14"/>
    <d v="2014-02-13T00:00:00"/>
    <x v="85"/>
    <s v="AGH"/>
    <n v="17.959700000000002"/>
    <n v="0"/>
    <n v="10136.42"/>
    <n v="0"/>
    <x v="448"/>
    <n v="17484687.870000001"/>
    <n v="973550.07299999997"/>
  </r>
  <r>
    <s v="SK14"/>
    <d v="2014-02-13T00:00:00"/>
    <x v="85"/>
    <s v="AI"/>
    <n v="16.9877"/>
    <n v="0"/>
    <n v="27584"/>
    <n v="0"/>
    <x v="449"/>
    <n v="19195426.300000001"/>
    <n v="1129960.1359999999"/>
  </r>
  <r>
    <s v="SK14"/>
    <d v="2014-02-13T00:00:00"/>
    <x v="85"/>
    <s v="AUI"/>
    <n v="10.986599999999999"/>
    <n v="0"/>
    <n v="493.142"/>
    <n v="0"/>
    <x v="450"/>
    <n v="373018.45"/>
    <n v="33952.252"/>
  </r>
  <r>
    <s v="SK14"/>
    <d v="2014-02-13T00:00:00"/>
    <x v="85"/>
    <s v="BUI"/>
    <n v="10.696999999999999"/>
    <n v="786.21100000000001"/>
    <n v="2468.4499999999998"/>
    <n v="8413.16"/>
    <x v="451"/>
    <n v="2103471.0099999998"/>
    <n v="196641.071"/>
  </r>
  <r>
    <s v="SK14"/>
    <d v="2014-02-13T00:00:00"/>
    <x v="85"/>
    <s v="RGI"/>
    <n v="16.864899999999999"/>
    <n v="12278.725"/>
    <n v="0"/>
    <n v="207140.76"/>
    <x v="1"/>
    <n v="43375561.469999999"/>
    <n v="2571948.2459999998"/>
  </r>
  <r>
    <s v="SK14"/>
    <d v="2014-02-13T00:00:00"/>
    <x v="85"/>
    <s v="S4"/>
    <n v="17.9132"/>
    <n v="0"/>
    <n v="3.7719999999999998"/>
    <n v="0"/>
    <x v="452"/>
    <n v="1042741.36"/>
    <n v="58210.663"/>
  </r>
  <r>
    <s v="SK14"/>
    <d v="2014-02-14T00:00:00"/>
    <x v="86"/>
    <s v="AA"/>
    <n v="22.1342"/>
    <n v="16155.459000000001"/>
    <n v="164637.31899999999"/>
    <n v="356822.42"/>
    <x v="453"/>
    <n v="308151654.48000002"/>
    <n v="13921983.572000001"/>
  </r>
  <r>
    <s v="SK14"/>
    <d v="2014-02-14T00:00:00"/>
    <x v="86"/>
    <s v="AB"/>
    <n v="17.704499999999999"/>
    <n v="470.01299999999998"/>
    <n v="35532.847000000002"/>
    <n v="8303.86"/>
    <x v="454"/>
    <n v="15337538.689999999"/>
    <n v="866309.70299999998"/>
  </r>
  <r>
    <s v="SK14"/>
    <d v="2014-02-14T00:00:00"/>
    <x v="86"/>
    <s v="AC"/>
    <n v="18.3857"/>
    <n v="291.51600000000002"/>
    <n v="6552.3720000000003"/>
    <n v="5348.48"/>
    <x v="455"/>
    <n v="37064991.509999998"/>
    <n v="2015967.084"/>
  </r>
  <r>
    <s v="SK14"/>
    <d v="2014-02-14T00:00:00"/>
    <x v="86"/>
    <s v="AGH"/>
    <n v="18.058800000000002"/>
    <n v="2289.6350000000002"/>
    <n v="0"/>
    <n v="41121.120000000003"/>
    <x v="1"/>
    <n v="17622484.789999999"/>
    <n v="975839.70799999998"/>
  </r>
  <r>
    <s v="SK14"/>
    <d v="2014-02-14T00:00:00"/>
    <x v="86"/>
    <s v="AUI"/>
    <n v="11.0101"/>
    <n v="0"/>
    <n v="460.16699999999997"/>
    <n v="0"/>
    <x v="456"/>
    <n v="368752.03"/>
    <n v="33492.084999999999"/>
  </r>
  <r>
    <s v="SK14"/>
    <d v="2014-02-14T00:00:00"/>
    <x v="86"/>
    <s v="RGI"/>
    <n v="16.901399999999999"/>
    <n v="21125.216"/>
    <n v="0"/>
    <n v="356273.57"/>
    <x v="1"/>
    <n v="43826535.520000003"/>
    <n v="2593073.4619999998"/>
  </r>
  <r>
    <s v="SK14"/>
    <d v="2014-02-14T00:00:00"/>
    <x v="86"/>
    <s v="S4"/>
    <n v="17.951899999999998"/>
    <n v="1500"/>
    <n v="0"/>
    <n v="26869.74"/>
    <x v="1"/>
    <n v="1071920.01"/>
    <n v="59710.663"/>
  </r>
  <r>
    <s v="SK14"/>
    <d v="2014-02-18T00:00:00"/>
    <x v="87"/>
    <s v="AA"/>
    <n v="22.236000000000001"/>
    <n v="2144.0650000000001"/>
    <n v="143551.02600000001"/>
    <n v="47457.16"/>
    <x v="457"/>
    <n v="306424506.33999997"/>
    <n v="13780576.611"/>
  </r>
  <r>
    <s v="SK14"/>
    <d v="2014-02-18T00:00:00"/>
    <x v="87"/>
    <s v="AB"/>
    <n v="17.783000000000001"/>
    <n v="1773.086"/>
    <n v="5427.2979999999998"/>
    <n v="31391.58"/>
    <x v="458"/>
    <n v="15340571.23"/>
    <n v="862655.49100000004"/>
  </r>
  <r>
    <s v="SK14"/>
    <d v="2014-02-18T00:00:00"/>
    <x v="87"/>
    <s v="AC"/>
    <n v="18.467199999999998"/>
    <n v="2190.0349999999999"/>
    <n v="1523.693"/>
    <n v="40265.32"/>
    <x v="459"/>
    <n v="37241664.43"/>
    <n v="2016633.426"/>
  </r>
  <r>
    <s v="SK14"/>
    <d v="2014-02-18T00:00:00"/>
    <x v="87"/>
    <s v="AI"/>
    <n v="17.104199999999999"/>
    <n v="0"/>
    <n v="36245"/>
    <n v="0"/>
    <x v="460"/>
    <n v="18707103.379999999"/>
    <n v="1093715.1359999999"/>
  </r>
  <r>
    <s v="SK14"/>
    <d v="2014-02-18T00:00:00"/>
    <x v="87"/>
    <s v="AUI"/>
    <n v="11.0608"/>
    <n v="0"/>
    <n v="867.65300000000002"/>
    <n v="0"/>
    <x v="461"/>
    <n v="360851.02"/>
    <n v="32624.432000000001"/>
  </r>
  <r>
    <s v="SK14"/>
    <d v="2014-02-18T00:00:00"/>
    <x v="87"/>
    <s v="C1M"/>
    <n v="10.955500000000001"/>
    <n v="0"/>
    <n v="3026.5"/>
    <n v="0"/>
    <x v="462"/>
    <n v="417610.01"/>
    <n v="38118.843999999997"/>
  </r>
  <r>
    <s v="SK14"/>
    <d v="2014-02-18T00:00:00"/>
    <x v="87"/>
    <s v="RGI"/>
    <n v="16.980499999999999"/>
    <n v="3718.4389999999999"/>
    <n v="348.84500000000003"/>
    <n v="62847.1"/>
    <x v="463"/>
    <n v="44088911.789999999"/>
    <n v="2596443.0559999999"/>
  </r>
  <r>
    <s v="SK14"/>
    <d v="2014-02-18T00:00:00"/>
    <x v="87"/>
    <s v="S4"/>
    <n v="18.035399999999999"/>
    <n v="1400"/>
    <n v="0"/>
    <n v="25132.62"/>
    <x v="1"/>
    <n v="1102158.02"/>
    <n v="61110.663"/>
  </r>
  <r>
    <s v="SK14"/>
    <d v="2014-02-19T00:00:00"/>
    <x v="88"/>
    <s v="A3"/>
    <n v="17.984200000000001"/>
    <n v="22.891999999999999"/>
    <n v="0"/>
    <n v="411.8"/>
    <x v="1"/>
    <n v="6919790.3099999996"/>
    <n v="384770.81599999999"/>
  </r>
  <r>
    <s v="SK14"/>
    <d v="2014-02-19T00:00:00"/>
    <x v="88"/>
    <s v="A4"/>
    <n v="16.678100000000001"/>
    <n v="1000"/>
    <n v="0"/>
    <n v="16682.5"/>
    <x v="1"/>
    <n v="16678.13"/>
    <n v="1000"/>
  </r>
  <r>
    <s v="SK14"/>
    <d v="2014-02-19T00:00:00"/>
    <x v="88"/>
    <s v="AA"/>
    <n v="22.2301"/>
    <n v="100638.235"/>
    <n v="8138.9669999999996"/>
    <n v="2237791.86"/>
    <x v="464"/>
    <n v="308400289.50999999"/>
    <n v="13873075.879000001"/>
  </r>
  <r>
    <s v="SK14"/>
    <d v="2014-02-19T00:00:00"/>
    <x v="88"/>
    <s v="AB"/>
    <n v="17.7776"/>
    <n v="6284.0820000000003"/>
    <n v="7892.1130000000003"/>
    <n v="111749.82"/>
    <x v="465"/>
    <n v="15307324.279999999"/>
    <n v="861047.46"/>
  </r>
  <r>
    <s v="SK14"/>
    <d v="2014-02-19T00:00:00"/>
    <x v="88"/>
    <s v="AC"/>
    <n v="18.461600000000001"/>
    <n v="30099.724999999999"/>
    <n v="16211.668"/>
    <n v="555857.63"/>
    <x v="466"/>
    <n v="37486747.07"/>
    <n v="2030521.483"/>
  </r>
  <r>
    <s v="SK14"/>
    <d v="2014-02-19T00:00:00"/>
    <x v="88"/>
    <s v="AGH"/>
    <n v="18.189699999999998"/>
    <n v="3778.0619999999999"/>
    <n v="30074"/>
    <n v="68632.5"/>
    <x v="467"/>
    <n v="17271895.579999998"/>
    <n v="949543.77"/>
  </r>
  <r>
    <s v="SK14"/>
    <d v="2014-02-19T00:00:00"/>
    <x v="88"/>
    <s v="AI"/>
    <n v="17.100000000000001"/>
    <n v="0"/>
    <n v="30000"/>
    <n v="0"/>
    <x v="468"/>
    <n v="18189572.109999999"/>
    <n v="1063715.1359999999"/>
  </r>
  <r>
    <s v="SK14"/>
    <d v="2014-02-19T00:00:00"/>
    <x v="88"/>
    <s v="AUI"/>
    <n v="11.0579"/>
    <n v="117.288"/>
    <n v="536.31399999999996"/>
    <n v="1297.3"/>
    <x v="469"/>
    <n v="356122.68"/>
    <n v="32205.405999999999"/>
  </r>
  <r>
    <s v="SK14"/>
    <d v="2014-02-19T00:00:00"/>
    <x v="88"/>
    <s v="RGI"/>
    <n v="16.976400000000002"/>
    <n v="11665.42"/>
    <n v="0"/>
    <n v="198084.07"/>
    <x v="1"/>
    <n v="44276272.75"/>
    <n v="2608108.4759999998"/>
  </r>
  <r>
    <s v="SK14"/>
    <d v="2014-02-19T00:00:00"/>
    <x v="88"/>
    <s v="S4"/>
    <n v="18.030999999999999"/>
    <n v="247.15199999999999"/>
    <n v="1300"/>
    <n v="4457.5"/>
    <x v="470"/>
    <n v="1082899.75"/>
    <n v="60057.815000000002"/>
  </r>
  <r>
    <s v="SK14"/>
    <d v="2014-02-19T00:00:00"/>
    <x v="88"/>
    <s v="U2A"/>
    <n v="16.678100000000001"/>
    <n v="100"/>
    <n v="0"/>
    <n v="1668.25"/>
    <x v="1"/>
    <n v="1667.81"/>
    <n v="100"/>
  </r>
  <r>
    <s v="SK14"/>
    <d v="2014-02-20T00:00:00"/>
    <x v="89"/>
    <s v="AA"/>
    <n v="22.092600000000001"/>
    <n v="26.99"/>
    <n v="14049.733"/>
    <n v="600"/>
    <x v="471"/>
    <n v="306182339.62"/>
    <n v="13859053.136"/>
  </r>
  <r>
    <s v="SK14"/>
    <d v="2014-02-20T00:00:00"/>
    <x v="89"/>
    <s v="AB"/>
    <n v="17.666799999999999"/>
    <n v="4188.9269999999997"/>
    <n v="48278.302000000003"/>
    <n v="74469.06"/>
    <x v="472"/>
    <n v="14433063.41"/>
    <n v="816958.08499999996"/>
  </r>
  <r>
    <s v="SK14"/>
    <d v="2014-02-20T00:00:00"/>
    <x v="89"/>
    <s v="AC"/>
    <n v="18.346599999999999"/>
    <n v="450.637"/>
    <n v="16358.611000000001"/>
    <n v="8319.4699999999993"/>
    <x v="473"/>
    <n v="36961408.93"/>
    <n v="2014613.5090000001"/>
  </r>
  <r>
    <s v="SK14"/>
    <d v="2014-02-20T00:00:00"/>
    <x v="89"/>
    <s v="AGH"/>
    <n v="18.009599999999999"/>
    <n v="0"/>
    <n v="14648"/>
    <n v="0"/>
    <x v="474"/>
    <n v="16837109.829999998"/>
    <n v="934895.77"/>
  </r>
  <r>
    <s v="SK14"/>
    <d v="2014-02-20T00:00:00"/>
    <x v="89"/>
    <s v="RGI"/>
    <n v="16.871700000000001"/>
    <n v="11497.236999999999"/>
    <n v="485.404"/>
    <n v="195182.4"/>
    <x v="475"/>
    <n v="44189023.039999999"/>
    <n v="2619120.3089999999"/>
  </r>
  <r>
    <s v="SK14"/>
    <d v="2014-02-20T00:00:00"/>
    <x v="89"/>
    <s v="S4"/>
    <n v="17.919599999999999"/>
    <n v="0"/>
    <n v="249.27500000000001"/>
    <n v="0"/>
    <x v="476"/>
    <n v="1071747.48"/>
    <n v="59808.54"/>
  </r>
  <r>
    <s v="SK14"/>
    <d v="2014-02-21T00:00:00"/>
    <x v="90"/>
    <s v="A3"/>
    <n v="18.015999999999998"/>
    <n v="22.992000000000001"/>
    <n v="0"/>
    <n v="410.93"/>
    <x v="1"/>
    <n v="6932430.6399999997"/>
    <n v="384793.80800000002"/>
  </r>
  <r>
    <s v="SK14"/>
    <d v="2014-02-21T00:00:00"/>
    <x v="90"/>
    <s v="AA"/>
    <n v="22.269400000000001"/>
    <n v="197.77099999999999"/>
    <n v="12798.209000000001"/>
    <n v="4369.26"/>
    <x v="477"/>
    <n v="308352300.25999999"/>
    <n v="13846452.698000001"/>
  </r>
  <r>
    <s v="SK14"/>
    <d v="2014-02-21T00:00:00"/>
    <x v="90"/>
    <s v="AB"/>
    <n v="17.807500000000001"/>
    <n v="735.09799999999996"/>
    <n v="118937.545"/>
    <n v="12986.83"/>
    <x v="478"/>
    <n v="12443100.15"/>
    <n v="698755.63800000004"/>
  </r>
  <r>
    <s v="SK14"/>
    <d v="2014-02-21T00:00:00"/>
    <x v="90"/>
    <s v="AC"/>
    <n v="18.492699999999999"/>
    <n v="3170.279"/>
    <n v="29658.062999999998"/>
    <n v="58163.85"/>
    <x v="479"/>
    <n v="36765884.600000001"/>
    <n v="1988125.7250000001"/>
  </r>
  <r>
    <s v="SK14"/>
    <d v="2014-02-21T00:00:00"/>
    <x v="90"/>
    <s v="AGH"/>
    <n v="18.165400000000002"/>
    <n v="62518.538999999997"/>
    <n v="152.113"/>
    <n v="1125934.5"/>
    <x v="480"/>
    <n v="18115653.73"/>
    <n v="997262.196"/>
  </r>
  <r>
    <s v="SK14"/>
    <d v="2014-02-21T00:00:00"/>
    <x v="90"/>
    <s v="AUI"/>
    <n v="11.077400000000001"/>
    <n v="24.013999999999999"/>
    <n v="0"/>
    <n v="263.89999999999998"/>
    <x v="1"/>
    <n v="357017.9"/>
    <n v="32229.42"/>
  </r>
  <r>
    <s v="SK14"/>
    <d v="2014-02-21T00:00:00"/>
    <x v="90"/>
    <s v="RGI"/>
    <n v="17.007100000000001"/>
    <n v="31728.523000000001"/>
    <n v="344.64"/>
    <n v="535313.52"/>
    <x v="481"/>
    <n v="45077350.549999997"/>
    <n v="2650504.1919999998"/>
  </r>
  <r>
    <s v="SK14"/>
    <d v="2014-02-21T00:00:00"/>
    <x v="90"/>
    <s v="S4"/>
    <n v="18.063300000000002"/>
    <n v="18.297000000000001"/>
    <n v="10.148999999999999"/>
    <n v="327.87"/>
    <x v="482"/>
    <n v="1080487.18"/>
    <n v="59816.688000000002"/>
  </r>
  <r>
    <s v="SK14"/>
    <d v="2014-02-24T00:00:00"/>
    <x v="91"/>
    <s v="AA"/>
    <n v="22.236999999999998"/>
    <n v="111071.845"/>
    <n v="9503.3970000000008"/>
    <n v="2473503.3199999998"/>
    <x v="483"/>
    <n v="310162626.99000001"/>
    <n v="13948021.146"/>
  </r>
  <r>
    <s v="SK14"/>
    <d v="2014-02-24T00:00:00"/>
    <x v="91"/>
    <s v="AB"/>
    <n v="17.779399999999999"/>
    <n v="99999.370999999999"/>
    <n v="966.31399999999996"/>
    <n v="1780738.77"/>
    <x v="484"/>
    <n v="14184227.52"/>
    <n v="797788.69499999995"/>
  </r>
  <r>
    <s v="SK14"/>
    <d v="2014-02-24T00:00:00"/>
    <x v="91"/>
    <s v="AC"/>
    <n v="18.4636"/>
    <n v="18078.559000000001"/>
    <n v="12474.704"/>
    <n v="334321.3"/>
    <x v="485"/>
    <n v="36811371.93"/>
    <n v="1993729.58"/>
  </r>
  <r>
    <s v="SK14"/>
    <d v="2014-02-24T00:00:00"/>
    <x v="91"/>
    <s v="AI"/>
    <n v="17.107099999999999"/>
    <n v="9338"/>
    <n v="0"/>
    <n v="159969.28"/>
    <x v="1"/>
    <n v="18356838.09"/>
    <n v="1073053.1359999999"/>
  </r>
  <r>
    <s v="SK14"/>
    <d v="2014-02-24T00:00:00"/>
    <x v="91"/>
    <s v="AUI"/>
    <n v="11.061299999999999"/>
    <n v="105.157"/>
    <n v="0"/>
    <n v="1164.8699999999999"/>
    <x v="1"/>
    <n v="357662.07"/>
    <n v="32334.577000000001"/>
  </r>
  <r>
    <s v="SK14"/>
    <d v="2014-02-24T00:00:00"/>
    <x v="91"/>
    <s v="BUI"/>
    <n v="10.764900000000001"/>
    <n v="0"/>
    <n v="501.95100000000002"/>
    <n v="0"/>
    <x v="486"/>
    <n v="2111419.4900000002"/>
    <n v="196139.12"/>
  </r>
  <r>
    <s v="SK14"/>
    <d v="2014-02-24T00:00:00"/>
    <x v="91"/>
    <s v="C1M"/>
    <n v="10.9533"/>
    <n v="473.88600000000002"/>
    <n v="0"/>
    <n v="5198.8100000000004"/>
    <x v="1"/>
    <n v="422717.59"/>
    <n v="38592.730000000003"/>
  </r>
  <r>
    <s v="SK14"/>
    <d v="2014-02-24T00:00:00"/>
    <x v="91"/>
    <s v="RGI"/>
    <n v="16.9834"/>
    <n v="15894.683999999999"/>
    <n v="1267.0329999999999"/>
    <n v="270322.65999999997"/>
    <x v="487"/>
    <n v="45263027.829999998"/>
    <n v="2665131.8429999999"/>
  </r>
  <r>
    <s v="SK14"/>
    <d v="2014-02-24T00:00:00"/>
    <x v="91"/>
    <s v="S4"/>
    <n v="18.037800000000001"/>
    <n v="0"/>
    <n v="9.0879999999999992"/>
    <n v="0"/>
    <x v="488"/>
    <n v="1078796.93"/>
    <n v="59807.6"/>
  </r>
  <r>
    <s v="SK14"/>
    <d v="2014-02-25T00:00:00"/>
    <x v="92"/>
    <s v="AA"/>
    <n v="22.387799999999999"/>
    <n v="130.42699999999999"/>
    <n v="650530.505"/>
    <n v="2900.32"/>
    <x v="489"/>
    <n v="297704639.88999999"/>
    <n v="13297621.068"/>
  </r>
  <r>
    <s v="SK14"/>
    <d v="2014-02-25T00:00:00"/>
    <x v="92"/>
    <s v="AB"/>
    <n v="17.8992"/>
    <n v="0"/>
    <n v="2196.6559999999999"/>
    <n v="0"/>
    <x v="490"/>
    <n v="14240500.789999999"/>
    <n v="795592.03899999999"/>
  </r>
  <r>
    <s v="SK14"/>
    <d v="2014-02-25T00:00:00"/>
    <x v="92"/>
    <s v="AC"/>
    <n v="18.588000000000001"/>
    <n v="2708.0309999999999"/>
    <n v="11037.72"/>
    <n v="50000"/>
    <x v="491"/>
    <n v="36904622.090000004"/>
    <n v="1985399.8910000001"/>
  </r>
  <r>
    <s v="SK14"/>
    <d v="2014-02-25T00:00:00"/>
    <x v="92"/>
    <s v="AGH"/>
    <n v="18.3154"/>
    <n v="1624.6949999999999"/>
    <n v="0"/>
    <n v="29534.080000000002"/>
    <x v="1"/>
    <n v="18295011.41"/>
    <n v="998886.89099999995"/>
  </r>
  <r>
    <s v="SK14"/>
    <d v="2014-02-25T00:00:00"/>
    <x v="92"/>
    <s v="AI"/>
    <n v="17.223500000000001"/>
    <n v="17008"/>
    <n v="0"/>
    <n v="290957.56"/>
    <x v="1"/>
    <n v="18774618.16"/>
    <n v="1090061.1359999999"/>
  </r>
  <r>
    <s v="SK14"/>
    <d v="2014-02-25T00:00:00"/>
    <x v="92"/>
    <s v="AUI"/>
    <n v="11.1363"/>
    <n v="8.9329999999999998"/>
    <n v="0"/>
    <n v="98.81"/>
    <x v="1"/>
    <n v="360186.62"/>
    <n v="32343.51"/>
  </r>
  <r>
    <s v="SK14"/>
    <d v="2014-02-25T00:00:00"/>
    <x v="92"/>
    <s v="RGI"/>
    <n v="17.0989"/>
    <n v="4065"/>
    <n v="97.974999999999994"/>
    <n v="69037.679999999993"/>
    <x v="492"/>
    <n v="45638690.840000004"/>
    <n v="2669098.8679999998"/>
  </r>
  <r>
    <s v="SK14"/>
    <d v="2014-02-26T00:00:00"/>
    <x v="93"/>
    <s v="A3"/>
    <n v="18.104399999999998"/>
    <n v="0"/>
    <n v="398.96"/>
    <n v="0"/>
    <x v="493"/>
    <n v="6959236.7800000003"/>
    <n v="384394.848"/>
  </r>
  <r>
    <s v="SK14"/>
    <d v="2014-02-26T00:00:00"/>
    <x v="93"/>
    <s v="AA"/>
    <n v="22.378699999999998"/>
    <n v="18829.29"/>
    <n v="94099.376999999993"/>
    <n v="421546.38"/>
    <x v="494"/>
    <n v="295899326.45999998"/>
    <n v="13222350.981000001"/>
  </r>
  <r>
    <s v="SK14"/>
    <d v="2014-02-26T00:00:00"/>
    <x v="93"/>
    <s v="AB"/>
    <n v="17.891200000000001"/>
    <n v="0"/>
    <n v="905.06"/>
    <n v="0"/>
    <x v="495"/>
    <n v="14217941.41"/>
    <n v="794686.97900000005"/>
  </r>
  <r>
    <s v="SK14"/>
    <d v="2014-02-26T00:00:00"/>
    <x v="93"/>
    <s v="AC"/>
    <n v="18.579699999999999"/>
    <n v="2463.9549999999999"/>
    <n v="8737.6239999999998"/>
    <n v="45800"/>
    <x v="496"/>
    <n v="36771559.600000001"/>
    <n v="1979126.2220000001"/>
  </r>
  <r>
    <s v="SK14"/>
    <d v="2014-02-26T00:00:00"/>
    <x v="93"/>
    <s v="BUI"/>
    <n v="10.832599999999999"/>
    <n v="0"/>
    <n v="393.27699999999999"/>
    <n v="0"/>
    <x v="497"/>
    <n v="2120438.39"/>
    <n v="195745.84299999999"/>
  </r>
  <r>
    <s v="SK14"/>
    <d v="2014-02-26T00:00:00"/>
    <x v="93"/>
    <s v="C1M"/>
    <n v="11.0222"/>
    <n v="3215.7310000000002"/>
    <n v="0"/>
    <n v="35460.19"/>
    <x v="1"/>
    <n v="460820.47999999998"/>
    <n v="41808.461000000003"/>
  </r>
  <r>
    <s v="SK14"/>
    <d v="2014-02-26T00:00:00"/>
    <x v="93"/>
    <s v="RGI"/>
    <n v="17.092300000000002"/>
    <n v="18583.447"/>
    <n v="0"/>
    <n v="317755.71999999997"/>
    <x v="1"/>
    <n v="45938732.859999999"/>
    <n v="2687682.3149999999"/>
  </r>
  <r>
    <s v="SK14"/>
    <d v="2014-02-26T00:00:00"/>
    <x v="93"/>
    <s v="U2A"/>
    <n v="16.7927"/>
    <n v="13.439"/>
    <n v="0"/>
    <n v="225.76"/>
    <x v="1"/>
    <n v="1904.95"/>
    <n v="113.43899999999999"/>
  </r>
  <r>
    <s v="SK14"/>
    <d v="2014-02-27T00:00:00"/>
    <x v="94"/>
    <s v="A3"/>
    <n v="18.1038"/>
    <n v="22.77"/>
    <n v="0"/>
    <n v="412.25"/>
    <x v="1"/>
    <n v="6959437"/>
    <n v="384417.61800000002"/>
  </r>
  <r>
    <s v="SK14"/>
    <d v="2014-02-27T00:00:00"/>
    <x v="94"/>
    <s v="AA"/>
    <n v="22.378"/>
    <n v="48547.779000000002"/>
    <n v="981.23800000000006"/>
    <n v="1086436.1599999999"/>
    <x v="498"/>
    <n v="296954756.92000002"/>
    <n v="13269917.522"/>
  </r>
  <r>
    <s v="SK14"/>
    <d v="2014-02-27T00:00:00"/>
    <x v="94"/>
    <s v="AB"/>
    <n v="17.89"/>
    <n v="14472.718999999999"/>
    <n v="1084.712"/>
    <n v="258934.27"/>
    <x v="499"/>
    <n v="14456434.310000001"/>
    <n v="808074.98600000003"/>
  </r>
  <r>
    <s v="SK14"/>
    <d v="2014-02-27T00:00:00"/>
    <x v="94"/>
    <s v="AC"/>
    <n v="18.578399999999998"/>
    <n v="12513.939"/>
    <n v="525.49599999999998"/>
    <n v="232505.19"/>
    <x v="500"/>
    <n v="36991653.909999996"/>
    <n v="1991114.665"/>
  </r>
  <r>
    <s v="SK14"/>
    <d v="2014-02-27T00:00:00"/>
    <x v="94"/>
    <s v="AUI"/>
    <n v="11.131399999999999"/>
    <n v="119.465"/>
    <n v="0"/>
    <n v="1329.86"/>
    <x v="1"/>
    <n v="361359.22"/>
    <n v="32462.974999999999"/>
  </r>
  <r>
    <s v="SK14"/>
    <d v="2014-02-27T00:00:00"/>
    <x v="94"/>
    <s v="BUI"/>
    <n v="10.831799999999999"/>
    <n v="2406.6689999999999"/>
    <n v="0"/>
    <n v="26070.49"/>
    <x v="1"/>
    <n v="2146355.29"/>
    <n v="198152.51199999999"/>
  </r>
  <r>
    <s v="SK14"/>
    <d v="2014-02-27T00:00:00"/>
    <x v="94"/>
    <s v="RGI"/>
    <n v="17.092199999999998"/>
    <n v="21840.312999999998"/>
    <n v="970"/>
    <n v="373299.64"/>
    <x v="501"/>
    <n v="46294993.939999998"/>
    <n v="2708552.628"/>
  </r>
  <r>
    <s v="SK14"/>
    <d v="2014-02-27T00:00:00"/>
    <x v="94"/>
    <s v="U2A"/>
    <n v="16.7928"/>
    <n v="3.1709999999999998"/>
    <n v="0"/>
    <n v="53.26"/>
    <x v="1"/>
    <n v="1958.21"/>
    <n v="116.61"/>
  </r>
  <r>
    <s v="SK14"/>
    <d v="2014-02-28T00:00:00"/>
    <x v="95"/>
    <s v="AA"/>
    <n v="22.4815"/>
    <n v="326660.11200000002"/>
    <n v="375134.80200000003"/>
    <n v="7310000"/>
    <x v="502"/>
    <n v="297238328.18000001"/>
    <n v="13221442.832"/>
  </r>
  <r>
    <s v="SK14"/>
    <d v="2014-02-28T00:00:00"/>
    <x v="95"/>
    <s v="AC"/>
    <n v="18.663499999999999"/>
    <n v="5279.4030000000002"/>
    <n v="35737.084999999999"/>
    <n v="98082.86"/>
    <x v="503"/>
    <n v="36592763.810000002"/>
    <n v="1960656.983"/>
  </r>
  <r>
    <s v="SK14"/>
    <d v="2014-02-28T00:00:00"/>
    <x v="95"/>
    <s v="AGH"/>
    <n v="18.450299999999999"/>
    <n v="1"/>
    <n v="15261.822"/>
    <n v="18.2"/>
    <x v="504"/>
    <n v="18148149.02"/>
    <n v="983626.06900000002"/>
  </r>
  <r>
    <s v="SK14"/>
    <d v="2014-02-28T00:00:00"/>
    <x v="95"/>
    <s v="AI"/>
    <n v="17.296600000000002"/>
    <n v="96930"/>
    <n v="16351"/>
    <n v="1668805.04"/>
    <x v="505"/>
    <n v="20248116.399999999"/>
    <n v="1170640.1359999999"/>
  </r>
  <r>
    <s v="SK14"/>
    <d v="2014-02-28T00:00:00"/>
    <x v="95"/>
    <s v="RGI"/>
    <n v="17.171600000000002"/>
    <n v="27159.41"/>
    <n v="2291.355"/>
    <n v="464212.01"/>
    <x v="506"/>
    <n v="46937072.399999999"/>
    <n v="2733420.6830000002"/>
  </r>
  <r>
    <s v="SK14"/>
    <d v="2014-02-28T00:00:00"/>
    <x v="95"/>
    <s v="U2A"/>
    <n v="16.870799999999999"/>
    <n v="402.86900000000003"/>
    <n v="0.99399999999999999"/>
    <n v="6765.28"/>
    <x v="507"/>
    <n v="8747.27"/>
    <n v="518.48500000000001"/>
  </r>
  <r>
    <s v="SK14"/>
    <d v="2014-03-03T00:00:00"/>
    <x v="96"/>
    <s v="A3"/>
    <n v="18.2529"/>
    <n v="0"/>
    <n v="10162.601000000001"/>
    <n v="0"/>
    <x v="508"/>
    <n v="6831221.2599999998"/>
    <n v="374255.01699999999"/>
  </r>
  <r>
    <s v="SK14"/>
    <d v="2014-03-03T00:00:00"/>
    <x v="96"/>
    <s v="AA"/>
    <n v="22.562200000000001"/>
    <n v="14988.448"/>
    <n v="2772.4879999999998"/>
    <n v="336962.8"/>
    <x v="509"/>
    <n v="298580806.11000001"/>
    <n v="13233658.791999999"/>
  </r>
  <r>
    <s v="SK14"/>
    <d v="2014-03-03T00:00:00"/>
    <x v="96"/>
    <s v="AC"/>
    <n v="18.728200000000001"/>
    <n v="1421.7360000000001"/>
    <n v="210.34200000000001"/>
    <n v="26534.57"/>
    <x v="510"/>
    <n v="36742279.740000002"/>
    <n v="1961868.3770000001"/>
  </r>
  <r>
    <s v="SK14"/>
    <d v="2014-03-03T00:00:00"/>
    <x v="96"/>
    <s v="AI"/>
    <n v="17.3598"/>
    <n v="155986"/>
    <n v="0"/>
    <n v="2698027.45"/>
    <x v="1"/>
    <n v="23029917.52"/>
    <n v="1326626.1359999999"/>
  </r>
  <r>
    <s v="SK14"/>
    <d v="2014-03-03T00:00:00"/>
    <x v="96"/>
    <s v="RGI"/>
    <n v="17.234200000000001"/>
    <n v="2463.643"/>
    <n v="1495.0509999999999"/>
    <n v="42304.63"/>
    <x v="511"/>
    <n v="47125127.079999998"/>
    <n v="2734389.2749999999"/>
  </r>
  <r>
    <s v="SK14"/>
    <d v="2014-03-03T00:00:00"/>
    <x v="96"/>
    <s v="S4"/>
    <n v="18.3033"/>
    <n v="2505.8220000000001"/>
    <n v="0"/>
    <n v="45699.12"/>
    <x v="1"/>
    <n v="1140542.72"/>
    <n v="62313.421999999999"/>
  </r>
  <r>
    <s v="SK14"/>
    <d v="2014-03-03T00:00:00"/>
    <x v="96"/>
    <s v="U2A"/>
    <n v="16.932600000000001"/>
    <n v="16.614999999999998"/>
    <n v="0"/>
    <n v="280.3"/>
    <x v="1"/>
    <n v="9060.64"/>
    <n v="535.1"/>
  </r>
  <r>
    <s v="SK14"/>
    <d v="2014-03-04T00:00:00"/>
    <x v="97"/>
    <s v="AA"/>
    <n v="22.391300000000001"/>
    <n v="7532.3760000000002"/>
    <n v="204841.03700000001"/>
    <n v="169946.98"/>
    <x v="512"/>
    <n v="291901344.85000002"/>
    <n v="13036350.130999999"/>
  </r>
  <r>
    <s v="SK14"/>
    <d v="2014-03-04T00:00:00"/>
    <x v="97"/>
    <s v="AB"/>
    <n v="17.896899999999999"/>
    <n v="2452.134"/>
    <n v="38812.186999999998"/>
    <n v="44222.53"/>
    <x v="513"/>
    <n v="13811323.07"/>
    <n v="771714.93299999996"/>
  </r>
  <r>
    <s v="SK14"/>
    <d v="2014-03-04T00:00:00"/>
    <x v="97"/>
    <s v="AC"/>
    <n v="18.585599999999999"/>
    <n v="6318.8770000000004"/>
    <n v="38349.392999999996"/>
    <n v="118341.19"/>
    <x v="514"/>
    <n v="35867176.700000003"/>
    <n v="1929837.861"/>
  </r>
  <r>
    <s v="SK14"/>
    <d v="2014-03-04T00:00:00"/>
    <x v="97"/>
    <s v="AGH"/>
    <n v="18.333300000000001"/>
    <n v="0"/>
    <n v="14751"/>
    <n v="0"/>
    <x v="515"/>
    <n v="17762674"/>
    <n v="968875.06900000002"/>
  </r>
  <r>
    <s v="SK14"/>
    <d v="2014-03-04T00:00:00"/>
    <x v="97"/>
    <s v="AI"/>
    <n v="17.2286"/>
    <n v="285931"/>
    <n v="13349"/>
    <n v="4963704.97"/>
    <x v="516"/>
    <n v="27552187.5"/>
    <n v="1599208.1359999999"/>
  </r>
  <r>
    <s v="SK14"/>
    <d v="2014-03-04T00:00:00"/>
    <x v="97"/>
    <s v="AUI"/>
    <n v="11.138"/>
    <n v="103.798"/>
    <n v="682.29700000000003"/>
    <n v="1164.93"/>
    <x v="517"/>
    <n v="355130.63"/>
    <n v="31884.475999999999"/>
  </r>
  <r>
    <s v="SK14"/>
    <d v="2014-03-04T00:00:00"/>
    <x v="97"/>
    <s v="BUI"/>
    <n v="10.836"/>
    <n v="1733.0519999999999"/>
    <n v="0"/>
    <n v="18923.54"/>
    <x v="1"/>
    <n v="2165969.63"/>
    <n v="199885.56400000001"/>
  </r>
  <r>
    <s v="SK14"/>
    <d v="2014-03-04T00:00:00"/>
    <x v="97"/>
    <s v="C1M"/>
    <n v="11.025700000000001"/>
    <n v="780.37800000000004"/>
    <n v="0"/>
    <n v="8670.23"/>
    <x v="1"/>
    <n v="469570.93"/>
    <n v="42588.839"/>
  </r>
  <r>
    <s v="SK14"/>
    <d v="2014-03-04T00:00:00"/>
    <x v="97"/>
    <s v="RGI"/>
    <n v="17.104099999999999"/>
    <n v="5219.9210000000003"/>
    <n v="0"/>
    <n v="89961.2"/>
    <x v="1"/>
    <n v="46858449.770000003"/>
    <n v="2739609.196"/>
  </r>
  <r>
    <s v="SK14"/>
    <d v="2014-03-04T00:00:00"/>
    <x v="97"/>
    <s v="U2A"/>
    <n v="16.8048"/>
    <n v="418.27800000000002"/>
    <n v="0"/>
    <n v="7082.55"/>
    <x v="1"/>
    <n v="16021.33"/>
    <n v="953.37800000000004"/>
  </r>
  <r>
    <s v="SK14"/>
    <d v="2014-03-05T00:00:00"/>
    <x v="98"/>
    <s v="AA"/>
    <n v="22.718499999999999"/>
    <n v="272040.13"/>
    <n v="584897.04399999999"/>
    <n v="6091332.1699999999"/>
    <x v="518"/>
    <n v="289059181.31"/>
    <n v="12723493.217"/>
  </r>
  <r>
    <s v="SK14"/>
    <d v="2014-03-05T00:00:00"/>
    <x v="98"/>
    <s v="AB"/>
    <n v="18.157699999999998"/>
    <n v="70736.721999999994"/>
    <n v="1037.1030000000001"/>
    <n v="1265967.98"/>
    <x v="519"/>
    <n v="15278160.43"/>
    <n v="841414.55200000003"/>
  </r>
  <r>
    <s v="SK14"/>
    <d v="2014-03-05T00:00:00"/>
    <x v="98"/>
    <s v="AC"/>
    <n v="18.856400000000001"/>
    <n v="47337.96"/>
    <n v="3193.2359999999999"/>
    <n v="879804.47"/>
    <x v="520"/>
    <n v="37222231.719999999"/>
    <n v="1973982.585"/>
  </r>
  <r>
    <s v="SK14"/>
    <d v="2014-03-05T00:00:00"/>
    <x v="98"/>
    <s v="AUI"/>
    <n v="11.300800000000001"/>
    <n v="1421.614"/>
    <n v="0"/>
    <n v="15833.94"/>
    <x v="1"/>
    <n v="376385.38"/>
    <n v="33306.089999999997"/>
  </r>
  <r>
    <s v="SK14"/>
    <d v="2014-03-05T00:00:00"/>
    <x v="98"/>
    <s v="RGI"/>
    <n v="17.354399999999998"/>
    <n v="36170.374000000003"/>
    <n v="0"/>
    <n v="618661.78"/>
    <x v="1"/>
    <n v="48171857.350000001"/>
    <n v="2775779.57"/>
  </r>
  <r>
    <s v="SK14"/>
    <d v="2014-03-05T00:00:00"/>
    <x v="98"/>
    <s v="U2A"/>
    <n v="17.050799999999999"/>
    <n v="140.458"/>
    <n v="0"/>
    <n v="2360.37"/>
    <x v="1"/>
    <n v="18650.75"/>
    <n v="1093.836"/>
  </r>
  <r>
    <s v="SK14"/>
    <d v="2014-03-06T00:00:00"/>
    <x v="99"/>
    <s v="AA"/>
    <n v="22.736000000000001"/>
    <n v="13495.569"/>
    <n v="10452.808000000001"/>
    <n v="306599.07"/>
    <x v="521"/>
    <n v="289351013.63999999"/>
    <n v="12726535.978"/>
  </r>
  <r>
    <s v="SK14"/>
    <d v="2014-03-06T00:00:00"/>
    <x v="99"/>
    <s v="AB"/>
    <n v="18.1709"/>
    <n v="1392.029"/>
    <n v="0"/>
    <n v="25276.05"/>
    <x v="1"/>
    <n v="15314595.27"/>
    <n v="842806.58100000001"/>
  </r>
  <r>
    <s v="SK14"/>
    <d v="2014-03-06T00:00:00"/>
    <x v="99"/>
    <s v="AC"/>
    <n v="18.870200000000001"/>
    <n v="1700.626"/>
    <n v="13242.868"/>
    <n v="32067.66"/>
    <x v="522"/>
    <n v="37031569.149999999"/>
    <n v="1962440.3430000001"/>
  </r>
  <r>
    <s v="SK14"/>
    <d v="2014-03-06T00:00:00"/>
    <x v="99"/>
    <s v="AGH"/>
    <n v="18.598299999999998"/>
    <n v="2"/>
    <n v="10313"/>
    <n v="37.11"/>
    <x v="523"/>
    <n v="17827687.010000002"/>
    <n v="958564.06900000002"/>
  </r>
  <r>
    <s v="SK14"/>
    <d v="2014-03-06T00:00:00"/>
    <x v="99"/>
    <s v="AI"/>
    <n v="17.494599999999998"/>
    <n v="0"/>
    <n v="190389"/>
    <n v="0"/>
    <x v="524"/>
    <n v="24646689.82"/>
    <n v="1408819.1359999999"/>
  </r>
  <r>
    <s v="SK14"/>
    <d v="2014-03-06T00:00:00"/>
    <x v="99"/>
    <s v="AUI"/>
    <n v="11.3095"/>
    <n v="7001.9719999999998"/>
    <n v="0"/>
    <n v="79127.88"/>
    <x v="1"/>
    <n v="455864.13"/>
    <n v="40308.061999999998"/>
  </r>
  <r>
    <s v="SK14"/>
    <d v="2014-03-06T00:00:00"/>
    <x v="99"/>
    <s v="C1M"/>
    <n v="11.1945"/>
    <n v="540.18100000000004"/>
    <n v="0"/>
    <n v="6042.63"/>
    <x v="1"/>
    <n v="482807.78"/>
    <n v="43129.02"/>
  </r>
  <r>
    <s v="SK14"/>
    <d v="2014-03-06T00:00:00"/>
    <x v="99"/>
    <s v="RGI"/>
    <n v="17.368099999999998"/>
    <n v="12073.388000000001"/>
    <n v="1749.9949999999999"/>
    <n v="209527.3"/>
    <x v="525"/>
    <n v="48389250.990000002"/>
    <n v="2786102.963"/>
  </r>
  <r>
    <s v="SK14"/>
    <d v="2014-03-06T00:00:00"/>
    <x v="99"/>
    <s v="U2A"/>
    <n v="17.064299999999999"/>
    <n v="28.291"/>
    <n v="0"/>
    <n v="482.38"/>
    <x v="1"/>
    <n v="19148.34"/>
    <n v="1122.127"/>
  </r>
  <r>
    <s v="SK14"/>
    <d v="2014-03-07T00:00:00"/>
    <x v="100"/>
    <s v="A3"/>
    <n v="18.451599999999999"/>
    <n v="22.423999999999999"/>
    <n v="0"/>
    <n v="412.46"/>
    <x v="1"/>
    <n v="6906011.7199999997"/>
    <n v="374277.44099999999"/>
  </r>
  <r>
    <s v="SK14"/>
    <d v="2014-03-07T00:00:00"/>
    <x v="100"/>
    <s v="AA"/>
    <n v="22.8079"/>
    <n v="55123.311000000002"/>
    <n v="94573.956000000006"/>
    <n v="1253283.6100000001"/>
    <x v="526"/>
    <n v="289365520.66000003"/>
    <n v="12687085.333000001"/>
  </r>
  <r>
    <s v="SK14"/>
    <d v="2014-03-07T00:00:00"/>
    <x v="100"/>
    <s v="AB"/>
    <n v="18.227599999999999"/>
    <n v="25098.085999999999"/>
    <n v="15419.684999999999"/>
    <n v="456054.82"/>
    <x v="527"/>
    <n v="15538770.68"/>
    <n v="852484.98199999996"/>
  </r>
  <r>
    <s v="SK14"/>
    <d v="2014-03-07T00:00:00"/>
    <x v="100"/>
    <s v="AC"/>
    <n v="18.928999999999998"/>
    <n v="13539.856"/>
    <n v="12920.513000000001"/>
    <n v="255499.84"/>
    <x v="528"/>
    <n v="37158783.280000001"/>
    <n v="1963059.686"/>
  </r>
  <r>
    <s v="SK14"/>
    <d v="2014-03-07T00:00:00"/>
    <x v="100"/>
    <s v="AGH"/>
    <n v="18.866"/>
    <n v="245.94800000000001"/>
    <n v="0"/>
    <n v="4574.21"/>
    <x v="1"/>
    <n v="18088927.899999999"/>
    <n v="958810.01699999999"/>
  </r>
  <r>
    <s v="SK14"/>
    <d v="2014-03-07T00:00:00"/>
    <x v="100"/>
    <s v="AUI"/>
    <n v="11.3452"/>
    <n v="2020.24"/>
    <n v="0"/>
    <n v="22847.91"/>
    <x v="1"/>
    <n v="480224.67"/>
    <n v="42328.302000000003"/>
  </r>
  <r>
    <s v="SK14"/>
    <d v="2014-03-07T00:00:00"/>
    <x v="100"/>
    <s v="RGI"/>
    <n v="17.423300000000001"/>
    <n v="10550.486000000001"/>
    <n v="0"/>
    <n v="183242.01"/>
    <x v="1"/>
    <n v="48726970.369999997"/>
    <n v="2796653.449"/>
  </r>
  <r>
    <s v="SK14"/>
    <d v="2014-03-07T00:00:00"/>
    <x v="100"/>
    <s v="S4"/>
    <n v="18.503599999999999"/>
    <n v="0"/>
    <n v="3.4390000000000001"/>
    <n v="0"/>
    <x v="529"/>
    <n v="1152960.08"/>
    <n v="62309.983"/>
  </r>
  <r>
    <s v="SK14"/>
    <d v="2014-03-07T00:00:00"/>
    <x v="100"/>
    <s v="U2A"/>
    <n v="17.1187"/>
    <n v="343.66699999999997"/>
    <n v="0"/>
    <n v="5864.45"/>
    <x v="1"/>
    <n v="25092.46"/>
    <n v="1465.7940000000001"/>
  </r>
  <r>
    <s v="SK14"/>
    <d v="2014-03-10T00:00:00"/>
    <x v="101"/>
    <s v="AA"/>
    <n v="22.8446"/>
    <n v="27386.813999999998"/>
    <n v="407323.739"/>
    <n v="624635.71"/>
    <x v="530"/>
    <n v="281151745.42000002"/>
    <n v="12307148.408"/>
  </r>
  <r>
    <s v="SK14"/>
    <d v="2014-03-10T00:00:00"/>
    <x v="101"/>
    <s v="AB"/>
    <n v="18.2547"/>
    <n v="15851.087"/>
    <n v="1917.04"/>
    <n v="288927.25"/>
    <x v="531"/>
    <n v="15816226.369999999"/>
    <n v="866419.02899999998"/>
  </r>
  <r>
    <s v="SK14"/>
    <d v="2014-03-10T00:00:00"/>
    <x v="101"/>
    <s v="AC"/>
    <n v="18.957100000000001"/>
    <n v="11200.707"/>
    <n v="5470.5529999999999"/>
    <n v="212018.16"/>
    <x v="532"/>
    <n v="37322636.609999999"/>
    <n v="1968789.84"/>
  </r>
  <r>
    <s v="SK14"/>
    <d v="2014-03-10T00:00:00"/>
    <x v="101"/>
    <s v="AI"/>
    <n v="17.579499999999999"/>
    <n v="46803"/>
    <n v="0"/>
    <n v="821402.01"/>
    <x v="1"/>
    <n v="25589168.829999998"/>
    <n v="1455622.1359999999"/>
  </r>
  <r>
    <s v="SK14"/>
    <d v="2014-03-10T00:00:00"/>
    <x v="101"/>
    <s v="AUI"/>
    <n v="11.3635"/>
    <n v="2995.2139999999999"/>
    <n v="29.512"/>
    <n v="33981.300000000003"/>
    <x v="533"/>
    <n v="514698.23999999999"/>
    <n v="45294.004000000001"/>
  </r>
  <r>
    <s v="SK14"/>
    <d v="2014-03-10T00:00:00"/>
    <x v="101"/>
    <s v="BUI"/>
    <n v="11.0527"/>
    <n v="771.06"/>
    <n v="862.48800000000006"/>
    <n v="8509.65"/>
    <x v="534"/>
    <n v="2208260.21"/>
    <n v="199794.136"/>
  </r>
  <r>
    <s v="SK14"/>
    <d v="2014-03-10T00:00:00"/>
    <x v="101"/>
    <s v="C1M"/>
    <n v="11.2461"/>
    <n v="0"/>
    <n v="472.29199999999997"/>
    <n v="0"/>
    <x v="535"/>
    <n v="479721.87"/>
    <n v="42656.728000000003"/>
  </r>
  <r>
    <s v="SK14"/>
    <d v="2014-03-10T00:00:00"/>
    <x v="101"/>
    <s v="RGI"/>
    <n v="17.452400000000001"/>
    <n v="4425.9669999999996"/>
    <n v="393.03399999999999"/>
    <n v="77115.16"/>
    <x v="536"/>
    <n v="48878785.060000002"/>
    <n v="2800686.3820000002"/>
  </r>
  <r>
    <s v="SK14"/>
    <d v="2014-03-10T00:00:00"/>
    <x v="101"/>
    <s v="U2A"/>
    <n v="17.147500000000001"/>
    <n v="351.12299999999999"/>
    <n v="0"/>
    <n v="6010.78"/>
    <x v="1"/>
    <n v="31155.59"/>
    <n v="1816.9169999999999"/>
  </r>
  <r>
    <s v="SK14"/>
    <d v="2014-03-11T00:00:00"/>
    <x v="102"/>
    <s v="A3"/>
    <n v="18.494299999999999"/>
    <n v="22.518999999999998"/>
    <n v="0"/>
    <n v="416.19"/>
    <x v="1"/>
    <n v="6922419.8700000001"/>
    <n v="374299.96"/>
  </r>
  <r>
    <s v="SK14"/>
    <d v="2014-03-11T00:00:00"/>
    <x v="102"/>
    <s v="AA"/>
    <n v="22.860700000000001"/>
    <n v="244355.704"/>
    <n v="203151.25899999999"/>
    <n v="5582208.3399999999"/>
    <x v="537"/>
    <n v="282291913.42000002"/>
    <n v="12348352.853"/>
  </r>
  <r>
    <s v="SK14"/>
    <d v="2014-03-11T00:00:00"/>
    <x v="102"/>
    <s v="AB"/>
    <n v="18.2668"/>
    <n v="1055.316"/>
    <n v="117110.82799999999"/>
    <n v="19264.47"/>
    <x v="538"/>
    <n v="13706761.369999999"/>
    <n v="750363.51699999999"/>
  </r>
  <r>
    <s v="SK14"/>
    <d v="2014-03-11T00:00:00"/>
    <x v="102"/>
    <s v="AC"/>
    <n v="18.9697"/>
    <n v="2208.6640000000002"/>
    <n v="16259.502"/>
    <n v="41869.89"/>
    <x v="539"/>
    <n v="37080874.43"/>
    <n v="1954739.0020000001"/>
  </r>
  <r>
    <s v="SK14"/>
    <d v="2014-03-11T00:00:00"/>
    <x v="102"/>
    <s v="AGH"/>
    <n v="18.837700000000002"/>
    <n v="0"/>
    <n v="12500"/>
    <n v="0"/>
    <x v="540"/>
    <n v="17826320.399999999"/>
    <n v="946310.01699999999"/>
  </r>
  <r>
    <s v="SK14"/>
    <d v="2014-03-11T00:00:00"/>
    <x v="102"/>
    <s v="AI"/>
    <n v="17.592300000000002"/>
    <n v="59589"/>
    <n v="0"/>
    <n v="1047544.83"/>
    <x v="1"/>
    <n v="26656039.23"/>
    <n v="1515211.1359999999"/>
  </r>
  <r>
    <s v="SK14"/>
    <d v="2014-03-11T00:00:00"/>
    <x v="102"/>
    <s v="AUI"/>
    <n v="11.371499999999999"/>
    <n v="5500.0659999999998"/>
    <n v="562.73400000000004"/>
    <n v="62500"/>
    <x v="541"/>
    <n v="571206.02"/>
    <n v="50231.336000000003"/>
  </r>
  <r>
    <s v="SK14"/>
    <d v="2014-03-11T00:00:00"/>
    <x v="102"/>
    <s v="BUI"/>
    <n v="11.06"/>
    <n v="1246.232"/>
    <n v="0"/>
    <n v="13774.23"/>
    <x v="1"/>
    <n v="2223509.61"/>
    <n v="201040.36799999999"/>
  </r>
  <r>
    <s v="SK14"/>
    <d v="2014-03-11T00:00:00"/>
    <x v="102"/>
    <s v="RGI"/>
    <n v="17.4651"/>
    <n v="7014.0309999999999"/>
    <n v="0"/>
    <n v="122412.16"/>
    <x v="1"/>
    <n v="49036748.770000003"/>
    <n v="2807700.4130000002"/>
  </r>
  <r>
    <s v="SK14"/>
    <d v="2014-03-11T00:00:00"/>
    <x v="102"/>
    <s v="S4"/>
    <n v="18.547499999999999"/>
    <n v="22.58"/>
    <n v="0"/>
    <n v="418.5"/>
    <x v="1"/>
    <n v="1156111.93"/>
    <n v="62332.563000000002"/>
  </r>
  <r>
    <s v="SK14"/>
    <d v="2014-03-11T00:00:00"/>
    <x v="102"/>
    <s v="U2A"/>
    <n v="17.16"/>
    <n v="489.01600000000002"/>
    <n v="0"/>
    <n v="8385.42"/>
    <x v="1"/>
    <n v="39569.86"/>
    <n v="2305.933"/>
  </r>
  <r>
    <s v="SK14"/>
    <d v="2014-03-12T00:00:00"/>
    <x v="103"/>
    <s v="AA"/>
    <n v="22.702500000000001"/>
    <n v="3365.8629999999998"/>
    <n v="27690.292000000001"/>
    <n v="76945.960000000006"/>
    <x v="542"/>
    <n v="279786174.06"/>
    <n v="12324028.424000001"/>
  </r>
  <r>
    <s v="SK14"/>
    <d v="2014-03-12T00:00:00"/>
    <x v="103"/>
    <s v="AB"/>
    <n v="18.139700000000001"/>
    <n v="0"/>
    <n v="1641.511"/>
    <n v="0"/>
    <x v="543"/>
    <n v="13581568.27"/>
    <n v="748722.00600000005"/>
  </r>
  <r>
    <s v="SK14"/>
    <d v="2014-03-12T00:00:00"/>
    <x v="103"/>
    <s v="AC"/>
    <n v="18.837700000000002"/>
    <n v="14050.082"/>
    <n v="8678.6129999999994"/>
    <n v="266525.84000000003"/>
    <x v="544"/>
    <n v="36923929.68"/>
    <n v="1960110.4709999999"/>
  </r>
  <r>
    <s v="SK14"/>
    <d v="2014-03-12T00:00:00"/>
    <x v="103"/>
    <s v="AI"/>
    <n v="17.4709"/>
    <n v="0"/>
    <n v="21703"/>
    <n v="0"/>
    <x v="545"/>
    <n v="26092950.710000001"/>
    <n v="1493508.1359999999"/>
  </r>
  <r>
    <s v="SK14"/>
    <d v="2014-03-12T00:00:00"/>
    <x v="103"/>
    <s v="AUI"/>
    <n v="11.2928"/>
    <n v="16369.189"/>
    <n v="88.852999999999994"/>
    <n v="186142.23"/>
    <x v="546"/>
    <n v="751103.86"/>
    <n v="66511.672000000006"/>
  </r>
  <r>
    <s v="SK14"/>
    <d v="2014-03-12T00:00:00"/>
    <x v="103"/>
    <s v="BUI"/>
    <n v="10.983000000000001"/>
    <n v="1656.308"/>
    <n v="0"/>
    <n v="18318.77"/>
    <x v="1"/>
    <n v="2226222.36"/>
    <n v="202696.67600000001"/>
  </r>
  <r>
    <s v="SK14"/>
    <d v="2014-03-12T00:00:00"/>
    <x v="103"/>
    <s v="C1M"/>
    <n v="11.1752"/>
    <n v="4292.634"/>
    <n v="4521.7529999999997"/>
    <n v="48307.59"/>
    <x v="547"/>
    <n v="474138.19"/>
    <n v="42427.608999999997"/>
  </r>
  <r>
    <s v="SK14"/>
    <d v="2014-03-12T00:00:00"/>
    <x v="103"/>
    <s v="RGI"/>
    <n v="17.3446"/>
    <n v="21138.399000000001"/>
    <n v="0"/>
    <n v="369183.91"/>
    <x v="1"/>
    <n v="49065049.390000001"/>
    <n v="2828838.8119999999"/>
  </r>
  <r>
    <s v="SK14"/>
    <d v="2014-03-12T00:00:00"/>
    <x v="103"/>
    <s v="S4"/>
    <n v="18.4194"/>
    <n v="0"/>
    <n v="23.149000000000001"/>
    <n v="0"/>
    <x v="548"/>
    <n v="1147700.8600000001"/>
    <n v="62309.413999999997"/>
  </r>
  <r>
    <s v="SK14"/>
    <d v="2014-03-12T00:00:00"/>
    <x v="103"/>
    <s v="U2A"/>
    <n v="17.041699999999999"/>
    <n v="631.88"/>
    <n v="0"/>
    <n v="10843.02"/>
    <x v="1"/>
    <n v="50065.26"/>
    <n v="2937.8130000000001"/>
  </r>
  <r>
    <s v="SK14"/>
    <d v="2014-03-13T00:00:00"/>
    <x v="104"/>
    <s v="AA"/>
    <n v="22.6906"/>
    <n v="137475.236"/>
    <n v="64200.131000000001"/>
    <n v="3121031.57"/>
    <x v="549"/>
    <n v="281302166.93000001"/>
    <n v="12397303.528999999"/>
  </r>
  <r>
    <s v="SK14"/>
    <d v="2014-03-13T00:00:00"/>
    <x v="104"/>
    <s v="AB"/>
    <n v="18.1294"/>
    <n v="0"/>
    <n v="10018.391"/>
    <n v="0"/>
    <x v="550"/>
    <n v="13392262.84"/>
    <n v="738703.61499999999"/>
  </r>
  <r>
    <s v="SK14"/>
    <d v="2014-03-13T00:00:00"/>
    <x v="104"/>
    <s v="AC"/>
    <n v="18.827000000000002"/>
    <n v="54.566000000000003"/>
    <n v="3058.0410000000002"/>
    <n v="1027.9000000000001"/>
    <x v="551"/>
    <n v="36846510.240000002"/>
    <n v="1957106.996"/>
  </r>
  <r>
    <s v="SK14"/>
    <d v="2014-03-13T00:00:00"/>
    <x v="104"/>
    <s v="AI"/>
    <n v="17.4621"/>
    <n v="25337"/>
    <n v="149500"/>
    <n v="442660.19"/>
    <x v="552"/>
    <n v="23911662.199999999"/>
    <n v="1369345.1359999999"/>
  </r>
  <r>
    <s v="SK14"/>
    <d v="2014-03-13T00:00:00"/>
    <x v="104"/>
    <s v="AUI"/>
    <n v="11.286899999999999"/>
    <n v="19582.776999999998"/>
    <n v="0"/>
    <n v="221144.38"/>
    <x v="1"/>
    <n v="971738.58"/>
    <n v="86094.448999999993"/>
  </r>
  <r>
    <s v="SK14"/>
    <d v="2014-03-13T00:00:00"/>
    <x v="104"/>
    <s v="BUI"/>
    <n v="10.976800000000001"/>
    <n v="2593.319"/>
    <n v="2604.4760000000001"/>
    <n v="28482.42"/>
    <x v="553"/>
    <n v="2224841.4300000002"/>
    <n v="202685.519"/>
  </r>
  <r>
    <s v="SK14"/>
    <d v="2014-03-13T00:00:00"/>
    <x v="104"/>
    <s v="C1M"/>
    <n v="11.168900000000001"/>
    <n v="0"/>
    <n v="1577.117"/>
    <n v="0"/>
    <x v="554"/>
    <n v="456255.52"/>
    <n v="40850.491999999998"/>
  </r>
  <r>
    <s v="SK14"/>
    <d v="2014-03-13T00:00:00"/>
    <x v="104"/>
    <s v="RGI"/>
    <n v="17.335899999999999"/>
    <n v="6261.9449999999997"/>
    <n v="0"/>
    <n v="108611.15"/>
    <x v="1"/>
    <n v="49148894.280000001"/>
    <n v="2835100.7570000002"/>
  </r>
  <r>
    <s v="SK14"/>
    <d v="2014-03-13T00:00:00"/>
    <x v="104"/>
    <s v="S4"/>
    <n v="18.41"/>
    <n v="1.7989999999999999"/>
    <n v="3.7120000000000002"/>
    <n v="33.14"/>
    <x v="555"/>
    <n v="1147079.75"/>
    <n v="62307.500999999997"/>
  </r>
  <r>
    <s v="SK14"/>
    <d v="2014-03-13T00:00:00"/>
    <x v="104"/>
    <s v="U2A"/>
    <n v="17.033200000000001"/>
    <n v="809.52"/>
    <n v="0"/>
    <n v="13795.55"/>
    <x v="1"/>
    <n v="63828.9"/>
    <n v="3747.3330000000001"/>
  </r>
  <r>
    <s v="SK14"/>
    <d v="2014-03-14T00:00:00"/>
    <x v="105"/>
    <s v="AA"/>
    <n v="22.423500000000001"/>
    <n v="204715.05900000001"/>
    <n v="428049.72399999999"/>
    <n v="4645107.5199999996"/>
    <x v="556"/>
    <n v="272983107.31999999"/>
    <n v="12173968.864"/>
  </r>
  <r>
    <s v="SK14"/>
    <d v="2014-03-14T00:00:00"/>
    <x v="105"/>
    <s v="AB"/>
    <n v="17.915299999999998"/>
    <n v="47947.192000000003"/>
    <n v="2905.1619999999998"/>
    <n v="869253.82"/>
    <x v="557"/>
    <n v="14041016.449999999"/>
    <n v="783745.64500000002"/>
  </r>
  <r>
    <s v="SK14"/>
    <d v="2014-03-14T00:00:00"/>
    <x v="105"/>
    <s v="AC"/>
    <n v="18.604600000000001"/>
    <n v="9991.5619999999999"/>
    <n v="18568.440999999999"/>
    <n v="188111.16"/>
    <x v="558"/>
    <n v="36251718.850000001"/>
    <n v="1948530.1170000001"/>
  </r>
  <r>
    <s v="SK14"/>
    <d v="2014-03-14T00:00:00"/>
    <x v="105"/>
    <s v="AGH"/>
    <n v="18.522500000000001"/>
    <n v="0"/>
    <n v="266.66300000000001"/>
    <n v="0"/>
    <x v="559"/>
    <n v="17523065.899999999"/>
    <n v="946043.35400000005"/>
  </r>
  <r>
    <s v="SK14"/>
    <d v="2014-03-14T00:00:00"/>
    <x v="105"/>
    <s v="AI"/>
    <n v="17.256900000000002"/>
    <n v="0"/>
    <n v="19135"/>
    <n v="0"/>
    <x v="560"/>
    <n v="23300486.460000001"/>
    <n v="1350210.1359999999"/>
  </r>
  <r>
    <s v="SK14"/>
    <d v="2014-03-14T00:00:00"/>
    <x v="105"/>
    <s v="AUI"/>
    <n v="11.154"/>
    <n v="11334.32"/>
    <n v="91.933000000000007"/>
    <n v="127929.34"/>
    <x v="561"/>
    <n v="1085698.68"/>
    <n v="97336.835999999996"/>
  </r>
  <r>
    <s v="SK14"/>
    <d v="2014-03-14T00:00:00"/>
    <x v="105"/>
    <s v="BUI"/>
    <n v="10.847200000000001"/>
    <n v="0"/>
    <n v="4603.8289999999997"/>
    <n v="0"/>
    <x v="562"/>
    <n v="2148623.77"/>
    <n v="198081.69"/>
  </r>
  <r>
    <s v="SK14"/>
    <d v="2014-03-14T00:00:00"/>
    <x v="105"/>
    <s v="RGI"/>
    <n v="17.132200000000001"/>
    <n v="5367.424"/>
    <n v="0"/>
    <n v="93049.17"/>
    <x v="1"/>
    <n v="48663345.299999997"/>
    <n v="2840468.1809999999"/>
  </r>
  <r>
    <s v="SK14"/>
    <d v="2014-03-14T00:00:00"/>
    <x v="105"/>
    <s v="S4"/>
    <n v="18.1935"/>
    <n v="851.85"/>
    <n v="0"/>
    <n v="15682.49"/>
    <x v="1"/>
    <n v="1149091.71"/>
    <n v="63159.351000000002"/>
  </r>
  <r>
    <s v="SK14"/>
    <d v="2014-03-14T00:00:00"/>
    <x v="105"/>
    <s v="U2A"/>
    <n v="16.833100000000002"/>
    <n v="785.65499999999997"/>
    <n v="0"/>
    <n v="13382.25"/>
    <x v="1"/>
    <n v="76304.22"/>
    <n v="4532.9880000000003"/>
  </r>
  <r>
    <s v="SK14"/>
    <d v="2014-03-18T00:00:00"/>
    <x v="106"/>
    <s v="AA"/>
    <n v="22.633700000000001"/>
    <n v="14772.01"/>
    <n v="11935.380999999999"/>
    <n v="331240.13"/>
    <x v="563"/>
    <n v="275606037.82999998"/>
    <n v="12176805.493000001"/>
  </r>
  <r>
    <s v="SK14"/>
    <d v="2014-03-18T00:00:00"/>
    <x v="106"/>
    <s v="AB"/>
    <n v="18.080200000000001"/>
    <n v="517.43399999999997"/>
    <n v="43804.764999999999"/>
    <n v="9269.98"/>
    <x v="564"/>
    <n v="13387670.640000001"/>
    <n v="740458.31400000001"/>
  </r>
  <r>
    <s v="SK14"/>
    <d v="2014-03-18T00:00:00"/>
    <x v="106"/>
    <s v="AC"/>
    <n v="18.776"/>
    <n v="5077.8829999999998"/>
    <n v="8141.73"/>
    <n v="94471.97"/>
    <x v="565"/>
    <n v="36528027.960000001"/>
    <n v="1945466.27"/>
  </r>
  <r>
    <s v="SK14"/>
    <d v="2014-03-18T00:00:00"/>
    <x v="106"/>
    <s v="AUI"/>
    <n v="11.258599999999999"/>
    <n v="2304.2510000000002"/>
    <n v="0"/>
    <n v="25701.62"/>
    <x v="1"/>
    <n v="1121817.68"/>
    <n v="99641.087"/>
  </r>
  <r>
    <s v="SK14"/>
    <d v="2014-03-18T00:00:00"/>
    <x v="106"/>
    <s v="BUI"/>
    <n v="10.946999999999999"/>
    <n v="233.49"/>
    <n v="0"/>
    <n v="2532.71"/>
    <x v="1"/>
    <n v="2170966.12"/>
    <n v="198315.18"/>
  </r>
  <r>
    <s v="SK14"/>
    <d v="2014-03-18T00:00:00"/>
    <x v="106"/>
    <s v="C1M"/>
    <n v="11.1386"/>
    <n v="299.50200000000001"/>
    <n v="0"/>
    <n v="3305.6"/>
    <x v="1"/>
    <n v="458354.34"/>
    <n v="41149.993999999999"/>
  </r>
  <r>
    <s v="SK14"/>
    <d v="2014-03-18T00:00:00"/>
    <x v="106"/>
    <s v="RGI"/>
    <n v="17.2941"/>
    <n v="4887.6469999999999"/>
    <n v="0"/>
    <n v="83735.78"/>
    <x v="1"/>
    <n v="49208004.170000002"/>
    <n v="2845355.8280000002"/>
  </r>
  <r>
    <s v="SK14"/>
    <d v="2014-03-18T00:00:00"/>
    <x v="106"/>
    <s v="U2A"/>
    <n v="16.9925"/>
    <n v="953.274"/>
    <n v="15.942"/>
    <n v="16046.47"/>
    <x v="566"/>
    <n v="92954.52"/>
    <n v="5470.32"/>
  </r>
  <r>
    <s v="SK14"/>
    <d v="2014-03-19T00:00:00"/>
    <x v="107"/>
    <s v="A3"/>
    <n v="18.409700000000001"/>
    <n v="22.827000000000002"/>
    <n v="0"/>
    <n v="417.98"/>
    <x v="1"/>
    <n v="6891184.0300000003"/>
    <n v="374322.78700000001"/>
  </r>
  <r>
    <s v="SK14"/>
    <d v="2014-03-19T00:00:00"/>
    <x v="107"/>
    <s v="AA"/>
    <n v="22.7562"/>
    <n v="18081.911"/>
    <n v="106281.039"/>
    <n v="409260.59"/>
    <x v="567"/>
    <n v="275090163.49000001"/>
    <n v="12088606.365"/>
  </r>
  <r>
    <s v="SK14"/>
    <d v="2014-03-19T00:00:00"/>
    <x v="107"/>
    <s v="AB"/>
    <n v="18.177299999999999"/>
    <n v="23096.321"/>
    <n v="9695.9560000000001"/>
    <n v="417586.1"/>
    <x v="568"/>
    <n v="13703138.24"/>
    <n v="753858.679"/>
  </r>
  <r>
    <s v="SK14"/>
    <d v="2014-03-19T00:00:00"/>
    <x v="107"/>
    <s v="AC"/>
    <n v="18.876799999999999"/>
    <n v="22135.096000000001"/>
    <n v="16206.942999999999"/>
    <n v="415608.56"/>
    <x v="569"/>
    <n v="36836070.689999998"/>
    <n v="1951394.423"/>
  </r>
  <r>
    <s v="SK14"/>
    <d v="2014-03-19T00:00:00"/>
    <x v="107"/>
    <s v="AI"/>
    <n v="17.514700000000001"/>
    <n v="0"/>
    <n v="63678"/>
    <n v="0"/>
    <x v="570"/>
    <n v="22533245.440000001"/>
    <n v="1286532.1359999999"/>
  </r>
  <r>
    <s v="SK14"/>
    <d v="2014-03-19T00:00:00"/>
    <x v="107"/>
    <s v="AUI"/>
    <n v="11.3195"/>
    <n v="35012.516000000003"/>
    <n v="0"/>
    <n v="394191.91"/>
    <x v="1"/>
    <n v="1524212.13"/>
    <n v="134653.603"/>
  </r>
  <r>
    <s v="SK14"/>
    <d v="2014-03-19T00:00:00"/>
    <x v="107"/>
    <s v="BUI"/>
    <n v="11.005800000000001"/>
    <n v="812.82"/>
    <n v="8135.5479999999998"/>
    <n v="8897.94"/>
    <x v="571"/>
    <n v="2102030.84"/>
    <n v="190992.45199999999"/>
  </r>
  <r>
    <s v="SK14"/>
    <d v="2014-03-19T00:00:00"/>
    <x v="107"/>
    <s v="C1M"/>
    <n v="11.198399999999999"/>
    <n v="2005"/>
    <n v="0"/>
    <n v="22332.89"/>
    <x v="1"/>
    <n v="483268.29"/>
    <n v="43154.993999999999"/>
  </r>
  <r>
    <s v="SK14"/>
    <d v="2014-03-19T00:00:00"/>
    <x v="107"/>
    <s v="RGI"/>
    <n v="17.388100000000001"/>
    <n v="27576.128000000001"/>
    <n v="0"/>
    <n v="476902.5"/>
    <x v="1"/>
    <n v="49954753.689999998"/>
    <n v="2872931.9559999998"/>
  </r>
  <r>
    <s v="SK14"/>
    <d v="2014-03-19T00:00:00"/>
    <x v="107"/>
    <s v="S4"/>
    <n v="18.464700000000001"/>
    <n v="131.303"/>
    <n v="0"/>
    <n v="2411.39"/>
    <x v="1"/>
    <n v="1168641.6000000001"/>
    <n v="63290.654000000002"/>
  </r>
  <r>
    <s v="SK14"/>
    <d v="2014-03-19T00:00:00"/>
    <x v="107"/>
    <s v="U2A"/>
    <n v="17.084900000000001"/>
    <n v="886.30799999999999"/>
    <n v="12.510999999999999"/>
    <n v="15060.53"/>
    <x v="572"/>
    <n v="108388.4"/>
    <n v="6344.1170000000002"/>
  </r>
  <r>
    <s v="SK14"/>
    <d v="2014-03-20T00:00:00"/>
    <x v="108"/>
    <s v="AA"/>
    <n v="22.606200000000001"/>
    <n v="33713.067000000003"/>
    <n v="630815.84699999995"/>
    <n v="767181.3"/>
    <x v="573"/>
    <n v="259778667.19999999"/>
    <n v="11491503.585000001"/>
  </r>
  <r>
    <s v="SK14"/>
    <d v="2014-03-20T00:00:00"/>
    <x v="108"/>
    <s v="AB"/>
    <n v="18.043199999999999"/>
    <n v="6476.5940000000001"/>
    <n v="1196.0550000000001"/>
    <n v="117726.99"/>
    <x v="574"/>
    <n v="13697292.119999999"/>
    <n v="759139.21799999999"/>
  </r>
  <r>
    <s v="SK14"/>
    <d v="2014-03-20T00:00:00"/>
    <x v="108"/>
    <s v="AC"/>
    <n v="18.752700000000001"/>
    <n v="2886.444"/>
    <n v="5391.09"/>
    <n v="54486.83"/>
    <x v="575"/>
    <n v="36547001.770000003"/>
    <n v="1948889.777"/>
  </r>
  <r>
    <s v="SK14"/>
    <d v="2014-03-20T00:00:00"/>
    <x v="108"/>
    <s v="AGH"/>
    <n v="18.521100000000001"/>
    <n v="0"/>
    <n v="2240"/>
    <n v="0"/>
    <x v="576"/>
    <n v="17480278.300000001"/>
    <n v="943803.35400000005"/>
  </r>
  <r>
    <s v="SK14"/>
    <d v="2014-03-20T00:00:00"/>
    <x v="108"/>
    <s v="AUI"/>
    <n v="11.2356"/>
    <n v="23173.679"/>
    <n v="325.79199999999997"/>
    <n v="262314.46000000002"/>
    <x v="577"/>
    <n v="1769619.95"/>
    <n v="157501.49"/>
  </r>
  <r>
    <s v="SK14"/>
    <d v="2014-03-20T00:00:00"/>
    <x v="108"/>
    <s v="RGI"/>
    <n v="17.272300000000001"/>
    <n v="20833.005000000001"/>
    <n v="0"/>
    <n v="362245.13"/>
    <x v="1"/>
    <n v="49981956.950000003"/>
    <n v="2893764.9610000001"/>
  </r>
  <r>
    <s v="SK14"/>
    <d v="2014-03-20T00:00:00"/>
    <x v="108"/>
    <s v="S4"/>
    <n v="18.3368"/>
    <n v="0"/>
    <n v="61.417999999999999"/>
    <n v="0"/>
    <x v="578"/>
    <n v="1159419.8"/>
    <n v="63229.235999999997"/>
  </r>
  <r>
    <s v="SK14"/>
    <d v="2014-03-20T00:00:00"/>
    <x v="108"/>
    <s v="U2A"/>
    <n v="16.973700000000001"/>
    <n v="795.12400000000002"/>
    <n v="12.525"/>
    <n v="13584.66"/>
    <x v="579"/>
    <n v="120966.84"/>
    <n v="7126.7160000000003"/>
  </r>
  <r>
    <s v="SK14"/>
    <d v="2014-03-21T00:00:00"/>
    <x v="109"/>
    <s v="A3"/>
    <n v="18.396799999999999"/>
    <n v="22.597000000000001"/>
    <n v="677.90499999999997"/>
    <n v="413.18"/>
    <x v="580"/>
    <n v="6874293.5199999996"/>
    <n v="373667.47899999999"/>
  </r>
  <r>
    <s v="SK14"/>
    <d v="2014-03-21T00:00:00"/>
    <x v="109"/>
    <s v="AA"/>
    <n v="22.744900000000001"/>
    <n v="9653.0910000000003"/>
    <n v="40268.129999999997"/>
    <n v="218219.72"/>
    <x v="581"/>
    <n v="260676671.97999999"/>
    <n v="11460888.546"/>
  </r>
  <r>
    <s v="SK14"/>
    <d v="2014-03-21T00:00:00"/>
    <x v="109"/>
    <s v="AB"/>
    <n v="18.153199999999998"/>
    <n v="774.17600000000004"/>
    <n v="51574.826000000001"/>
    <n v="13968.62"/>
    <x v="582"/>
    <n v="12858599.66"/>
    <n v="708338.56799999997"/>
  </r>
  <r>
    <s v="SK14"/>
    <d v="2014-03-21T00:00:00"/>
    <x v="109"/>
    <s v="AC"/>
    <n v="18.867000000000001"/>
    <n v="3563.6669999999999"/>
    <n v="8023.7020000000002"/>
    <n v="66828.38"/>
    <x v="583"/>
    <n v="36685652.539999999"/>
    <n v="1944429.7420000001"/>
  </r>
  <r>
    <s v="SK14"/>
    <d v="2014-03-21T00:00:00"/>
    <x v="109"/>
    <s v="AGH"/>
    <n v="18.665500000000002"/>
    <n v="0"/>
    <n v="82"/>
    <n v="0"/>
    <x v="584"/>
    <n v="17615043.559999999"/>
    <n v="943721.35400000005"/>
  </r>
  <r>
    <s v="SK14"/>
    <d v="2014-03-21T00:00:00"/>
    <x v="109"/>
    <s v="AI"/>
    <n v="17.506499999999999"/>
    <n v="116954"/>
    <n v="0"/>
    <n v="2034929.43"/>
    <x v="1"/>
    <n v="24570168.719999999"/>
    <n v="1403486.1359999999"/>
  </r>
  <r>
    <s v="SK14"/>
    <d v="2014-03-21T00:00:00"/>
    <x v="109"/>
    <s v="AUI"/>
    <n v="11.304500000000001"/>
    <n v="0"/>
    <n v="14168.32"/>
    <n v="0"/>
    <x v="585"/>
    <n v="1620314.09"/>
    <n v="143333.17000000001"/>
  </r>
  <r>
    <s v="SK14"/>
    <d v="2014-03-21T00:00:00"/>
    <x v="109"/>
    <s v="RGI"/>
    <n v="17.378699999999998"/>
    <n v="10021.602999999999"/>
    <n v="3300"/>
    <n v="173095.82"/>
    <x v="586"/>
    <n v="50406550.979999997"/>
    <n v="2900486.5639999998"/>
  </r>
  <r>
    <s v="SK14"/>
    <d v="2014-03-21T00:00:00"/>
    <x v="109"/>
    <s v="S4"/>
    <n v="18.4496"/>
    <n v="17.728999999999999"/>
    <n v="110.825"/>
    <n v="325.08"/>
    <x v="587"/>
    <n v="1164833.82"/>
    <n v="63136.14"/>
  </r>
  <r>
    <s v="SK14"/>
    <d v="2014-03-21T00:00:00"/>
    <x v="109"/>
    <s v="U2A"/>
    <n v="17.078299999999999"/>
    <n v="837.298"/>
    <n v="0"/>
    <n v="14212.02"/>
    <x v="1"/>
    <n v="136011.81"/>
    <n v="7964.0140000000001"/>
  </r>
  <r>
    <s v="SK14"/>
    <d v="2014-03-24T00:00:00"/>
    <x v="110"/>
    <s v="AA"/>
    <n v="22.6859"/>
    <n v="97322.680999999997"/>
    <n v="14753.24"/>
    <n v="2213594.64"/>
    <x v="588"/>
    <n v="261873867.53"/>
    <n v="11543457.987"/>
  </r>
  <r>
    <s v="SK14"/>
    <d v="2014-03-24T00:00:00"/>
    <x v="110"/>
    <s v="AB"/>
    <n v="18.103899999999999"/>
    <n v="47670.762999999999"/>
    <n v="855.27599999999995"/>
    <n v="865376.87"/>
    <x v="589"/>
    <n v="13671212.65"/>
    <n v="755154.05500000005"/>
  </r>
  <r>
    <s v="SK14"/>
    <d v="2014-03-24T00:00:00"/>
    <x v="110"/>
    <s v="AC"/>
    <n v="18.805700000000002"/>
    <n v="25057.050999999999"/>
    <n v="766.976"/>
    <n v="472751.39"/>
    <x v="590"/>
    <n v="37023166.240000002"/>
    <n v="1968719.817"/>
  </r>
  <r>
    <s v="SK14"/>
    <d v="2014-03-24T00:00:00"/>
    <x v="110"/>
    <s v="AI"/>
    <n v="17.462199999999999"/>
    <n v="0"/>
    <n v="23628"/>
    <n v="0"/>
    <x v="591"/>
    <n v="24095373.27"/>
    <n v="1379858.1359999999"/>
  </r>
  <r>
    <s v="SK14"/>
    <d v="2014-03-24T00:00:00"/>
    <x v="110"/>
    <s v="AUI"/>
    <n v="11.2752"/>
    <n v="7166.7240000000002"/>
    <n v="0"/>
    <n v="81016.240000000005"/>
    <x v="1"/>
    <n v="1696918.54"/>
    <n v="150499.894"/>
  </r>
  <r>
    <s v="SK14"/>
    <d v="2014-03-24T00:00:00"/>
    <x v="110"/>
    <s v="RGI"/>
    <n v="17.334700000000002"/>
    <n v="9416.0450000000001"/>
    <n v="1303.1569999999999"/>
    <n v="163639.32"/>
    <x v="592"/>
    <n v="50419582.659999996"/>
    <n v="2908599.452"/>
  </r>
  <r>
    <s v="SK14"/>
    <d v="2014-03-24T00:00:00"/>
    <x v="110"/>
    <s v="S4"/>
    <n v="18.4025"/>
    <n v="0"/>
    <n v="9.0129999999999999"/>
    <n v="0"/>
    <x v="593"/>
    <n v="1161695.24"/>
    <n v="63127.127"/>
  </r>
  <r>
    <s v="SK14"/>
    <d v="2014-03-24T00:00:00"/>
    <x v="110"/>
    <s v="U2A"/>
    <n v="17.035299999999999"/>
    <n v="853.50699999999995"/>
    <n v="0.97299999999999998"/>
    <n v="14576.39"/>
    <x v="594"/>
    <n v="150192.26999999999"/>
    <n v="8816.5480000000007"/>
  </r>
  <r>
    <s v="SK14"/>
    <d v="2014-03-25T00:00:00"/>
    <x v="111"/>
    <s v="AA"/>
    <n v="22.607399999999998"/>
    <n v="132604.12599999999"/>
    <n v="1229.3320000000001"/>
    <n v="3008243.95"/>
    <x v="595"/>
    <n v="263938135.75"/>
    <n v="11674832.780999999"/>
  </r>
  <r>
    <s v="SK14"/>
    <d v="2014-03-25T00:00:00"/>
    <x v="111"/>
    <s v="AB"/>
    <n v="18.040500000000002"/>
    <n v="29345.331999999999"/>
    <n v="1898.1569999999999"/>
    <n v="531264.94999999995"/>
    <x v="596"/>
    <n v="14118526.119999999"/>
    <n v="782601.23"/>
  </r>
  <r>
    <s v="SK14"/>
    <d v="2014-03-25T00:00:00"/>
    <x v="111"/>
    <s v="AC"/>
    <n v="18.739899999999999"/>
    <n v="38792.987999999998"/>
    <n v="1092.962"/>
    <n v="729529.26"/>
    <x v="597"/>
    <n v="37600081.649999999"/>
    <n v="2006419.8430000001"/>
  </r>
  <r>
    <s v="SK14"/>
    <d v="2014-03-25T00:00:00"/>
    <x v="111"/>
    <s v="AGH"/>
    <n v="18.567699999999999"/>
    <n v="0"/>
    <n v="10974.152"/>
    <n v="0"/>
    <x v="598"/>
    <n v="17318977.93"/>
    <n v="932747.20200000005"/>
  </r>
  <r>
    <s v="SK14"/>
    <d v="2014-03-25T00:00:00"/>
    <x v="111"/>
    <s v="AUI"/>
    <n v="11.2362"/>
    <n v="5466.3459999999995"/>
    <n v="14431.075999999999"/>
    <n v="61634.14"/>
    <x v="599"/>
    <n v="1590319.65"/>
    <n v="141535.16399999999"/>
  </r>
  <r>
    <s v="SK14"/>
    <d v="2014-03-25T00:00:00"/>
    <x v="111"/>
    <s v="RGI"/>
    <n v="17.275099999999998"/>
    <n v="9507.1620000000003"/>
    <n v="1060"/>
    <n v="164803.6"/>
    <x v="600"/>
    <n v="50392150.990000002"/>
    <n v="2917046.6140000001"/>
  </r>
  <r>
    <s v="SK14"/>
    <d v="2014-03-25T00:00:00"/>
    <x v="111"/>
    <s v="U2A"/>
    <n v="16.976800000000001"/>
    <n v="1486.4680000000001"/>
    <n v="0"/>
    <n v="25322.52"/>
    <x v="1"/>
    <n v="174912.03"/>
    <n v="10303.016"/>
  </r>
  <r>
    <s v="SK14"/>
    <d v="2014-03-26T00:00:00"/>
    <x v="112"/>
    <s v="AA"/>
    <n v="22.763200000000001"/>
    <n v="16971.255000000001"/>
    <n v="13742.496999999999"/>
    <n v="383675.93"/>
    <x v="601"/>
    <n v="265829494.91"/>
    <n v="11678061.539000001"/>
  </r>
  <r>
    <s v="SK14"/>
    <d v="2014-03-26T00:00:00"/>
    <x v="112"/>
    <s v="AB"/>
    <n v="18.164000000000001"/>
    <n v="2140.0140000000001"/>
    <n v="7762.1120000000001"/>
    <n v="38606.93"/>
    <x v="602"/>
    <n v="14113066.789999999"/>
    <n v="776979.13199999998"/>
  </r>
  <r>
    <s v="SK14"/>
    <d v="2014-03-26T00:00:00"/>
    <x v="112"/>
    <s v="AC"/>
    <n v="18.868200000000002"/>
    <n v="789.39300000000003"/>
    <n v="885.31899999999996"/>
    <n v="14793.14"/>
    <x v="603"/>
    <n v="37855695.450000003"/>
    <n v="2006323.9169999999"/>
  </r>
  <r>
    <s v="SK14"/>
    <d v="2014-03-26T00:00:00"/>
    <x v="112"/>
    <s v="RGI"/>
    <n v="17.394400000000001"/>
    <n v="7867.62"/>
    <n v="25"/>
    <n v="135914.25"/>
    <x v="604"/>
    <n v="50876678.520000003"/>
    <n v="2924889.2340000002"/>
  </r>
  <r>
    <s v="SK14"/>
    <d v="2014-03-26T00:00:00"/>
    <x v="112"/>
    <s v="U2A"/>
    <n v="17.094100000000001"/>
    <n v="1366.1890000000001"/>
    <n v="24.196999999999999"/>
    <n v="23193.56"/>
    <x v="605"/>
    <n v="199061.31"/>
    <n v="11645.008"/>
  </r>
  <r>
    <s v="SK14"/>
    <d v="2014-03-27T00:00:00"/>
    <x v="113"/>
    <s v="A3"/>
    <n v="18.308900000000001"/>
    <n v="22.47"/>
    <n v="1198.421"/>
    <n v="413.72"/>
    <x v="606"/>
    <n v="6819928.4100000001"/>
    <n v="372491.52799999999"/>
  </r>
  <r>
    <s v="SK14"/>
    <d v="2014-03-27T00:00:00"/>
    <x v="113"/>
    <s v="AA"/>
    <n v="22.636299999999999"/>
    <n v="24142.577000000001"/>
    <n v="29357.569"/>
    <n v="549562.36"/>
    <x v="607"/>
    <n v="264229496.84999999"/>
    <n v="11672846.547"/>
  </r>
  <r>
    <s v="SK14"/>
    <d v="2014-03-27T00:00:00"/>
    <x v="113"/>
    <s v="AB"/>
    <n v="18.062000000000001"/>
    <n v="8127.76"/>
    <n v="2953.2869999999998"/>
    <n v="147632.60999999999"/>
    <x v="608"/>
    <n v="14127270.35"/>
    <n v="782153.60499999998"/>
  </r>
  <r>
    <s v="SK14"/>
    <d v="2014-03-27T00:00:00"/>
    <x v="113"/>
    <s v="AC"/>
    <n v="18.7622"/>
    <n v="4685.8980000000001"/>
    <n v="1196.2139999999999"/>
    <n v="88414.45"/>
    <x v="609"/>
    <n v="37708575.560000002"/>
    <n v="2009813.601"/>
  </r>
  <r>
    <s v="SK14"/>
    <d v="2014-03-27T00:00:00"/>
    <x v="113"/>
    <s v="AGH"/>
    <n v="18.5318"/>
    <n v="0"/>
    <n v="516.93700000000001"/>
    <n v="0"/>
    <x v="610"/>
    <n v="17275925.23"/>
    <n v="932230.26500000001"/>
  </r>
  <r>
    <s v="SK14"/>
    <d v="2014-03-27T00:00:00"/>
    <x v="113"/>
    <s v="AUI"/>
    <n v="11.250500000000001"/>
    <n v="117.327"/>
    <n v="759.52200000000005"/>
    <n v="1327.39"/>
    <x v="611"/>
    <n v="1585121.05"/>
    <n v="140892.96900000001"/>
  </r>
  <r>
    <s v="SK14"/>
    <d v="2014-03-27T00:00:00"/>
    <x v="113"/>
    <s v="BUI"/>
    <n v="10.933299999999999"/>
    <n v="173.59700000000001"/>
    <n v="906.95100000000002"/>
    <n v="1908.7"/>
    <x v="612"/>
    <n v="2080152.85"/>
    <n v="190259.098"/>
  </r>
  <r>
    <s v="SK14"/>
    <d v="2014-03-27T00:00:00"/>
    <x v="113"/>
    <s v="RGI"/>
    <n v="17.297799999999999"/>
    <n v="26741.64"/>
    <n v="710"/>
    <n v="465153.26"/>
    <x v="613"/>
    <n v="51044384.219999999"/>
    <n v="2950920.8739999998"/>
  </r>
  <r>
    <s v="SK14"/>
    <d v="2014-03-27T00:00:00"/>
    <x v="113"/>
    <s v="U2A"/>
    <n v="16.999199999999998"/>
    <n v="1784.873"/>
    <n v="0"/>
    <n v="30510.67"/>
    <x v="1"/>
    <n v="228297.82"/>
    <n v="13429.880999999999"/>
  </r>
  <r>
    <s v="SK14"/>
    <d v="2014-03-28T00:00:00"/>
    <x v="114"/>
    <s v="AA"/>
    <n v="22.656199999999998"/>
    <n v="26148.870999999999"/>
    <n v="429.06400000000002"/>
    <n v="591913.68999999994"/>
    <x v="614"/>
    <n v="265045446.38"/>
    <n v="11698566.354"/>
  </r>
  <r>
    <s v="SK14"/>
    <d v="2014-03-28T00:00:00"/>
    <x v="114"/>
    <s v="AB"/>
    <n v="18.077200000000001"/>
    <n v="7145.0950000000003"/>
    <n v="5171.2669999999998"/>
    <n v="129054.7"/>
    <x v="615"/>
    <n v="14174841.130000001"/>
    <n v="784127.43299999996"/>
  </r>
  <r>
    <s v="SK14"/>
    <d v="2014-03-28T00:00:00"/>
    <x v="114"/>
    <s v="AC"/>
    <n v="18.777999999999999"/>
    <n v="3666.9090000000001"/>
    <n v="2279.634"/>
    <n v="68799.259999999995"/>
    <x v="616"/>
    <n v="37766361.310000002"/>
    <n v="2011200.8759999999"/>
  </r>
  <r>
    <s v="SK14"/>
    <d v="2014-03-28T00:00:00"/>
    <x v="114"/>
    <s v="AGH"/>
    <n v="18.509399999999999"/>
    <n v="0"/>
    <n v="1"/>
    <n v="0"/>
    <x v="617"/>
    <n v="17255017.710000001"/>
    <n v="932229.26500000001"/>
  </r>
  <r>
    <s v="SK14"/>
    <d v="2014-03-28T00:00:00"/>
    <x v="114"/>
    <s v="AI"/>
    <n v="17.440799999999999"/>
    <n v="72308"/>
    <n v="0"/>
    <n v="1259974.1299999999"/>
    <x v="1"/>
    <n v="25326941.73"/>
    <n v="1452166.1359999999"/>
  </r>
  <r>
    <s v="SK14"/>
    <d v="2014-03-28T00:00:00"/>
    <x v="114"/>
    <s v="AUI"/>
    <n v="11.2605"/>
    <n v="4517.9459999999999"/>
    <n v="0"/>
    <n v="50829.15"/>
    <x v="1"/>
    <n v="1637394.26"/>
    <n v="145410.91500000001"/>
  </r>
  <r>
    <s v="SK14"/>
    <d v="2014-03-28T00:00:00"/>
    <x v="114"/>
    <s v="RGI"/>
    <n v="17.313400000000001"/>
    <n v="61324.99"/>
    <n v="548.18499999999995"/>
    <n v="1060787.48"/>
    <x v="618"/>
    <n v="52142744.399999999"/>
    <n v="3011697.679"/>
  </r>
  <r>
    <s v="SK14"/>
    <d v="2014-03-28T00:00:00"/>
    <x v="114"/>
    <s v="U2A"/>
    <n v="17.014700000000001"/>
    <n v="1475.3589999999999"/>
    <n v="11.269"/>
    <n v="25079.87"/>
    <x v="619"/>
    <n v="253415.83"/>
    <n v="14893.971"/>
  </r>
  <r>
    <s v="SK14"/>
    <d v="2014-03-31T00:00:00"/>
    <x v="115"/>
    <s v="AA"/>
    <n v="22.7806"/>
    <n v="97749.941999999995"/>
    <n v="6611.14"/>
    <n v="2214642.2000000002"/>
    <x v="620"/>
    <n v="268576085.82999998"/>
    <n v="11789705.155999999"/>
  </r>
  <r>
    <s v="SK14"/>
    <d v="2014-03-31T00:00:00"/>
    <x v="115"/>
    <s v="AB"/>
    <n v="18.174199999999999"/>
    <n v="7825.6019999999999"/>
    <n v="2237.0120000000002"/>
    <n v="141464.98000000001"/>
    <x v="621"/>
    <n v="14352446.68"/>
    <n v="789716.02300000004"/>
  </r>
  <r>
    <s v="SK14"/>
    <d v="2014-03-31T00:00:00"/>
    <x v="115"/>
    <s v="AC"/>
    <n v="18.878699999999998"/>
    <n v="23850.383000000002"/>
    <n v="4797.6629999999996"/>
    <n v="447862.53"/>
    <x v="622"/>
    <n v="38328641.490000002"/>
    <n v="2030253.5959999999"/>
  </r>
  <r>
    <s v="SK14"/>
    <d v="2014-03-31T00:00:00"/>
    <x v="115"/>
    <s v="AGH"/>
    <n v="18.695699999999999"/>
    <n v="457.46199999999999"/>
    <n v="78"/>
    <n v="8467.36"/>
    <x v="623"/>
    <n v="17435803.129999999"/>
    <n v="932608.72699999996"/>
  </r>
  <r>
    <s v="SK14"/>
    <d v="2014-03-31T00:00:00"/>
    <x v="115"/>
    <s v="AI"/>
    <n v="17.537600000000001"/>
    <n v="72301"/>
    <n v="0"/>
    <n v="1260987.28"/>
    <x v="1"/>
    <n v="26735470.530000001"/>
    <n v="1524467.1359999999"/>
  </r>
  <r>
    <s v="SK14"/>
    <d v="2014-03-31T00:00:00"/>
    <x v="115"/>
    <s v="AUI"/>
    <n v="11.3223"/>
    <n v="4562.4719999999998"/>
    <n v="0"/>
    <n v="51375.72"/>
    <x v="1"/>
    <n v="1698037.19"/>
    <n v="149973.38699999999"/>
  </r>
  <r>
    <s v="SK14"/>
    <d v="2014-03-31T00:00:00"/>
    <x v="115"/>
    <s v="RGI"/>
    <n v="17.409500000000001"/>
    <n v="10982.152"/>
    <n v="1394.673"/>
    <n v="190139.08"/>
    <x v="624"/>
    <n v="52599008.079999998"/>
    <n v="3021285.1579999998"/>
  </r>
  <r>
    <s v="SK14"/>
    <d v="2014-03-31T00:00:00"/>
    <x v="115"/>
    <s v="U2A"/>
    <n v="17.109300000000001"/>
    <n v="2162.6689999999999"/>
    <n v="18.358000000000001"/>
    <n v="36797.17"/>
    <x v="625"/>
    <n v="291512.92"/>
    <n v="17038.281999999999"/>
  </r>
  <r>
    <s v="SK14"/>
    <d v="2014-04-01T00:00:00"/>
    <x v="116"/>
    <s v="AA"/>
    <n v="22.9998"/>
    <n v="143808.27600000001"/>
    <n v="6105.9830000000002"/>
    <n v="3276038.79"/>
    <x v="626"/>
    <n v="274327828.68000001"/>
    <n v="11927407.448999999"/>
  </r>
  <r>
    <s v="SK14"/>
    <d v="2014-04-01T00:00:00"/>
    <x v="116"/>
    <s v="AB"/>
    <n v="18.348299999999998"/>
    <n v="63184.24"/>
    <n v="0"/>
    <n v="1148323.04"/>
    <x v="1"/>
    <n v="15649302.75"/>
    <n v="852900.26300000004"/>
  </r>
  <r>
    <s v="SK14"/>
    <d v="2014-04-01T00:00:00"/>
    <x v="116"/>
    <s v="AC"/>
    <n v="19.0596"/>
    <n v="19248.509999999998"/>
    <n v="667.19799999999998"/>
    <n v="363386.83"/>
    <x v="627"/>
    <n v="39050070.439999998"/>
    <n v="2048834.9080000001"/>
  </r>
  <r>
    <s v="SK14"/>
    <d v="2014-04-01T00:00:00"/>
    <x v="116"/>
    <s v="AI"/>
    <n v="17.706700000000001"/>
    <n v="28196"/>
    <n v="0"/>
    <n v="494490.17"/>
    <x v="1"/>
    <n v="27492564.949999999"/>
    <n v="1552663.1359999999"/>
  </r>
  <r>
    <s v="SK14"/>
    <d v="2014-04-01T00:00:00"/>
    <x v="116"/>
    <s v="AUI"/>
    <n v="11.362500000000001"/>
    <n v="6870.57"/>
    <n v="0"/>
    <n v="77790.649999999994"/>
    <x v="1"/>
    <n v="1782131.99"/>
    <n v="156843.95699999999"/>
  </r>
  <r>
    <s v="SK14"/>
    <d v="2014-04-01T00:00:00"/>
    <x v="116"/>
    <s v="RGI"/>
    <n v="17.467300000000002"/>
    <n v="10338.950999999999"/>
    <n v="380"/>
    <n v="179995.29"/>
    <x v="628"/>
    <n v="52947764.420000002"/>
    <n v="3031244.1090000002"/>
  </r>
  <r>
    <s v="SK14"/>
    <d v="2014-04-01T00:00:00"/>
    <x v="116"/>
    <s v="U2A"/>
    <n v="17.2744"/>
    <n v="2019.93"/>
    <n v="31.654"/>
    <n v="34559.699999999997"/>
    <x v="629"/>
    <n v="328671.78999999998"/>
    <n v="19026.558000000001"/>
  </r>
  <r>
    <s v="SK14"/>
    <d v="2014-04-02T00:00:00"/>
    <x v="117"/>
    <s v="AA"/>
    <n v="23.090499999999999"/>
    <n v="38566.163"/>
    <n v="48423.364000000001"/>
    <n v="887014.04"/>
    <x v="630"/>
    <n v="275182010.60000002"/>
    <n v="11917550.248"/>
  </r>
  <r>
    <s v="SK14"/>
    <d v="2014-04-02T00:00:00"/>
    <x v="117"/>
    <s v="AB"/>
    <n v="18.419899999999998"/>
    <n v="407.428"/>
    <n v="0"/>
    <n v="7475.61"/>
    <x v="1"/>
    <n v="15717876.16"/>
    <n v="853307.69099999999"/>
  </r>
  <r>
    <s v="SK14"/>
    <d v="2014-04-02T00:00:00"/>
    <x v="117"/>
    <s v="AC"/>
    <n v="19.134"/>
    <n v="4929.8959999999997"/>
    <n v="15211.338"/>
    <n v="93961.84"/>
    <x v="631"/>
    <n v="39005731.579999998"/>
    <n v="2038553.466"/>
  </r>
  <r>
    <s v="SK14"/>
    <d v="2014-04-02T00:00:00"/>
    <x v="117"/>
    <s v="AGH"/>
    <n v="18.933900000000001"/>
    <n v="3"/>
    <n v="400176"/>
    <n v="56.61"/>
    <x v="632"/>
    <n v="10081087.039999999"/>
    <n v="532435.72699999996"/>
  </r>
  <r>
    <s v="SK14"/>
    <d v="2014-04-02T00:00:00"/>
    <x v="117"/>
    <s v="AUI"/>
    <n v="11.407299999999999"/>
    <n v="17248.576000000001"/>
    <n v="469.58699999999999"/>
    <n v="195986.94"/>
    <x v="633"/>
    <n v="1980562.75"/>
    <n v="173622.946"/>
  </r>
  <r>
    <s v="SK14"/>
    <d v="2014-04-02T00:00:00"/>
    <x v="117"/>
    <s v="BUI"/>
    <n v="11.0732"/>
    <n v="1303.53"/>
    <n v="0"/>
    <n v="14378.2"/>
    <x v="1"/>
    <n v="2121218.9700000002"/>
    <n v="191562.628"/>
  </r>
  <r>
    <s v="SK14"/>
    <d v="2014-04-02T00:00:00"/>
    <x v="117"/>
    <s v="RGI"/>
    <n v="17.5366"/>
    <n v="15126.751"/>
    <n v="990"/>
    <n v="264224.68"/>
    <x v="634"/>
    <n v="53405558.43"/>
    <n v="3045380.86"/>
  </r>
  <r>
    <s v="SK14"/>
    <d v="2014-04-02T00:00:00"/>
    <x v="117"/>
    <s v="U2A"/>
    <n v="17.3429"/>
    <n v="3795.1709999999998"/>
    <n v="0"/>
    <n v="65559.58"/>
    <x v="1"/>
    <n v="395795.71"/>
    <n v="22821.728999999999"/>
  </r>
  <r>
    <s v="SK14"/>
    <d v="2014-04-03T00:00:00"/>
    <x v="118"/>
    <s v="AA"/>
    <n v="23.157599999999999"/>
    <n v="47870.678"/>
    <n v="63757.614999999998"/>
    <n v="1105357.8799999999"/>
    <x v="635"/>
    <n v="275613620.81999999"/>
    <n v="11901663.311000001"/>
  </r>
  <r>
    <s v="SK14"/>
    <d v="2014-04-03T00:00:00"/>
    <x v="118"/>
    <s v="AB"/>
    <n v="18.4727"/>
    <n v="28335.352999999999"/>
    <n v="30058.767"/>
    <n v="521934.35"/>
    <x v="636"/>
    <n v="15731060.880000001"/>
    <n v="851584.277"/>
  </r>
  <r>
    <s v="SK14"/>
    <d v="2014-04-03T00:00:00"/>
    <x v="118"/>
    <s v="AC"/>
    <n v="19.188800000000001"/>
    <n v="6395.991"/>
    <n v="23818.157999999999"/>
    <n v="122380.9"/>
    <x v="637"/>
    <n v="38783145.200000003"/>
    <n v="2021131.2990000001"/>
  </r>
  <r>
    <s v="SK14"/>
    <d v="2014-04-03T00:00:00"/>
    <x v="118"/>
    <s v="AUI"/>
    <n v="11.4404"/>
    <n v="30803.748"/>
    <n v="0"/>
    <n v="351387.6"/>
    <x v="1"/>
    <n v="2338725.59"/>
    <n v="204426.69399999999"/>
  </r>
  <r>
    <s v="SK14"/>
    <d v="2014-04-03T00:00:00"/>
    <x v="118"/>
    <s v="RGI"/>
    <n v="17.587900000000001"/>
    <n v="15540.183000000001"/>
    <n v="635"/>
    <n v="272521.82"/>
    <x v="638"/>
    <n v="53823971.090000004"/>
    <n v="3060286.0430000001"/>
  </r>
  <r>
    <s v="SK14"/>
    <d v="2014-04-03T00:00:00"/>
    <x v="118"/>
    <s v="U2A"/>
    <n v="17.393699999999999"/>
    <n v="1598.0719999999999"/>
    <n v="15.654999999999999"/>
    <n v="27715.19"/>
    <x v="639"/>
    <n v="424479.5"/>
    <n v="24404.146000000001"/>
  </r>
  <r>
    <s v="SK14"/>
    <d v="2014-04-04T00:00:00"/>
    <x v="119"/>
    <s v="A3"/>
    <n v="18.768799999999999"/>
    <n v="324.85700000000003"/>
    <n v="26642.535"/>
    <n v="6084.76"/>
    <x v="640"/>
    <n v="6497262.79"/>
    <n v="346173.85"/>
  </r>
  <r>
    <s v="SK14"/>
    <d v="2014-04-04T00:00:00"/>
    <x v="119"/>
    <s v="AA"/>
    <n v="23.204799999999999"/>
    <n v="3268.107"/>
    <n v="80140.297000000006"/>
    <n v="75681.53"/>
    <x v="641"/>
    <n v="274391548.70999998"/>
    <n v="11824791.120999999"/>
  </r>
  <r>
    <s v="SK14"/>
    <d v="2014-04-04T00:00:00"/>
    <x v="119"/>
    <s v="AB"/>
    <n v="18.509599999999999"/>
    <n v="1997.578"/>
    <n v="11705.067999999999"/>
    <n v="36900.660000000003"/>
    <x v="642"/>
    <n v="15582794.4"/>
    <n v="841876.78700000001"/>
  </r>
  <r>
    <s v="SK14"/>
    <d v="2014-04-04T00:00:00"/>
    <x v="119"/>
    <s v="AC"/>
    <n v="19.2272"/>
    <n v="1759.771"/>
    <n v="9112.7669999999998"/>
    <n v="33767.919999999998"/>
    <x v="643"/>
    <n v="38719218.890000001"/>
    <n v="2013778.3030000001"/>
  </r>
  <r>
    <s v="SK14"/>
    <d v="2014-04-04T00:00:00"/>
    <x v="119"/>
    <s v="AI"/>
    <n v="17.865600000000001"/>
    <n v="286181"/>
    <n v="0"/>
    <n v="5102292.43"/>
    <x v="1"/>
    <n v="32852090.039999999"/>
    <n v="1838844.1359999999"/>
  </r>
  <r>
    <s v="SK14"/>
    <d v="2014-04-04T00:00:00"/>
    <x v="119"/>
    <s v="AUI"/>
    <n v="11.463699999999999"/>
    <n v="15426.975"/>
    <n v="145.803"/>
    <n v="176490.77"/>
    <x v="644"/>
    <n v="2518671.2000000002"/>
    <n v="219707.86600000001"/>
  </r>
  <r>
    <s v="SK14"/>
    <d v="2014-04-04T00:00:00"/>
    <x v="119"/>
    <s v="RGI"/>
    <n v="17.624099999999999"/>
    <n v="10428.473"/>
    <n v="0"/>
    <n v="183415.18"/>
    <x v="1"/>
    <n v="54118569.130000003"/>
    <n v="3070714.5159999998"/>
  </r>
  <r>
    <s v="SK14"/>
    <d v="2014-04-04T00:00:00"/>
    <x v="119"/>
    <s v="S4"/>
    <n v="18.8262"/>
    <n v="38.174999999999997"/>
    <n v="0"/>
    <n v="717.22"/>
    <x v="1"/>
    <n v="1189162.06"/>
    <n v="63165.302000000003"/>
  </r>
  <r>
    <s v="SK14"/>
    <d v="2014-04-04T00:00:00"/>
    <x v="119"/>
    <s v="U2A"/>
    <n v="17.429600000000001"/>
    <n v="2351.5129999999999"/>
    <n v="11.754"/>
    <n v="40901.39"/>
    <x v="645"/>
    <n v="466136"/>
    <n v="26743.904999999999"/>
  </r>
  <r>
    <s v="SK14"/>
    <d v="2014-04-07T00:00:00"/>
    <x v="120"/>
    <s v="AA"/>
    <n v="22.991800000000001"/>
    <n v="42367.853000000003"/>
    <n v="4230.1480000000001"/>
    <n v="983137.57"/>
    <x v="646"/>
    <n v="272750054.98000002"/>
    <n v="11862928.825999999"/>
  </r>
  <r>
    <s v="SK14"/>
    <d v="2014-04-07T00:00:00"/>
    <x v="120"/>
    <s v="AC"/>
    <n v="19.048300000000001"/>
    <n v="9258.2919999999995"/>
    <n v="2787.1120000000001"/>
    <n v="178011.04"/>
    <x v="647"/>
    <n v="38482347.990000002"/>
    <n v="2020249.483"/>
  </r>
  <r>
    <s v="SK14"/>
    <d v="2014-04-07T00:00:00"/>
    <x v="120"/>
    <s v="AGH"/>
    <n v="18.7653"/>
    <n v="2"/>
    <n v="0"/>
    <n v="37.82"/>
    <x v="1"/>
    <n v="9991339.5899999999"/>
    <n v="532437.72699999996"/>
  </r>
  <r>
    <s v="SK14"/>
    <d v="2014-04-07T00:00:00"/>
    <x v="120"/>
    <s v="RGI"/>
    <n v="17.4634"/>
    <n v="7957.7759999999998"/>
    <n v="0"/>
    <n v="140248.79999999999"/>
    <x v="1"/>
    <n v="53764178.469999999"/>
    <n v="3078672.2919999999"/>
  </r>
  <r>
    <s v="SK14"/>
    <d v="2014-04-07T00:00:00"/>
    <x v="120"/>
    <s v="S4"/>
    <n v="18.654199999999999"/>
    <n v="109.886"/>
    <n v="132.86799999999999"/>
    <n v="2068.7199999999998"/>
    <x v="648"/>
    <n v="1177868.1499999999"/>
    <n v="63142.32"/>
  </r>
  <r>
    <s v="SK14"/>
    <d v="2014-04-07T00:00:00"/>
    <x v="120"/>
    <s v="U2A"/>
    <n v="17.270900000000001"/>
    <n v="1825.8150000000001"/>
    <n v="0"/>
    <n v="31823.11"/>
    <x v="1"/>
    <n v="493425.71"/>
    <n v="28569.72"/>
  </r>
  <r>
    <s v="SK14"/>
    <d v="2014-04-08T00:00:00"/>
    <x v="121"/>
    <s v="A3"/>
    <n v="18.361599999999999"/>
    <n v="22.14"/>
    <n v="0"/>
    <n v="411.74"/>
    <x v="1"/>
    <n v="6356728.5499999998"/>
    <n v="346195.99"/>
  </r>
  <r>
    <s v="SK14"/>
    <d v="2014-04-08T00:00:00"/>
    <x v="121"/>
    <s v="AA"/>
    <n v="22.7014"/>
    <n v="6204.0420000000004"/>
    <n v="128676.605"/>
    <n v="142642.07999999999"/>
    <x v="649"/>
    <n v="266524837.13999999"/>
    <n v="11740456.263"/>
  </r>
  <r>
    <s v="SK14"/>
    <d v="2014-04-08T00:00:00"/>
    <x v="121"/>
    <s v="AB"/>
    <n v="18.1051"/>
    <n v="0"/>
    <n v="85978.866999999998"/>
    <n v="0"/>
    <x v="650"/>
    <n v="13685585.119999999"/>
    <n v="755897.92"/>
  </r>
  <r>
    <s v="SK14"/>
    <d v="2014-04-08T00:00:00"/>
    <x v="121"/>
    <s v="AC"/>
    <n v="18.806899999999999"/>
    <n v="5830.0889999999999"/>
    <n v="17496.974999999999"/>
    <n v="111053.29"/>
    <x v="651"/>
    <n v="37775304.109999999"/>
    <n v="2008582.5970000001"/>
  </r>
  <r>
    <s v="SK14"/>
    <d v="2014-04-08T00:00:00"/>
    <x v="121"/>
    <s v="AI"/>
    <n v="17.479500000000002"/>
    <n v="0"/>
    <n v="470318"/>
    <n v="0"/>
    <x v="652"/>
    <n v="23921162.77"/>
    <n v="1368526.1359999999"/>
  </r>
  <r>
    <s v="SK14"/>
    <d v="2014-04-08T00:00:00"/>
    <x v="121"/>
    <s v="AUI"/>
    <n v="11.2128"/>
    <n v="943.70299999999997"/>
    <n v="0"/>
    <n v="10719.05"/>
    <x v="1"/>
    <n v="2474124.94"/>
    <n v="220651.56899999999"/>
  </r>
  <r>
    <s v="SK14"/>
    <d v="2014-04-08T00:00:00"/>
    <x v="121"/>
    <s v="RGI"/>
    <n v="17.243099999999998"/>
    <n v="5598.4560000000001"/>
    <n v="0"/>
    <n v="97768.16"/>
    <x v="1"/>
    <n v="53182364.469999999"/>
    <n v="3084270.7480000001"/>
  </r>
  <r>
    <s v="SK14"/>
    <d v="2014-04-08T00:00:00"/>
    <x v="121"/>
    <s v="S4"/>
    <n v="18.418800000000001"/>
    <n v="132.94300000000001"/>
    <n v="0"/>
    <n v="2479.9499999999998"/>
    <x v="1"/>
    <n v="1165456.1000000001"/>
    <n v="63275.262999999999"/>
  </r>
  <r>
    <s v="SK14"/>
    <d v="2014-04-08T00:00:00"/>
    <x v="121"/>
    <s v="U2A"/>
    <n v="17.0532"/>
    <n v="3486.8130000000001"/>
    <n v="6.7729999999999997"/>
    <n v="60220.44"/>
    <x v="653"/>
    <n v="546551.57999999996"/>
    <n v="32049.759999999998"/>
  </r>
  <r>
    <s v="SK14"/>
    <d v="2014-04-09T00:00:00"/>
    <x v="122"/>
    <s v="AA"/>
    <n v="22.709700000000002"/>
    <n v="62936.565999999999"/>
    <n v="16576.982"/>
    <n v="1428748.17"/>
    <x v="654"/>
    <n v="267674735.80000001"/>
    <n v="11786815.846999999"/>
  </r>
  <r>
    <s v="SK14"/>
    <d v="2014-04-09T00:00:00"/>
    <x v="122"/>
    <s v="AB"/>
    <n v="18.110900000000001"/>
    <n v="284.15499999999997"/>
    <n v="7034.6180000000004"/>
    <n v="5144.66"/>
    <x v="655"/>
    <n v="13567750.67"/>
    <n v="749147.45700000005"/>
  </r>
  <r>
    <s v="SK14"/>
    <d v="2014-04-09T00:00:00"/>
    <x v="122"/>
    <s v="AC"/>
    <n v="18.812999999999999"/>
    <n v="42683.031999999999"/>
    <n v="3561.221"/>
    <n v="802735.53"/>
    <x v="656"/>
    <n v="38523510.020000003"/>
    <n v="2047704.4080000001"/>
  </r>
  <r>
    <s v="SK14"/>
    <d v="2014-04-09T00:00:00"/>
    <x v="122"/>
    <s v="AUI"/>
    <n v="11.216900000000001"/>
    <n v="56045.968000000001"/>
    <n v="0"/>
    <n v="628432.23"/>
    <x v="1"/>
    <n v="3103687.34"/>
    <n v="276697.53700000001"/>
  </r>
  <r>
    <s v="SK14"/>
    <d v="2014-04-09T00:00:00"/>
    <x v="122"/>
    <s v="C1M"/>
    <n v="11.0738"/>
    <n v="113.893"/>
    <n v="0"/>
    <n v="1260.82"/>
    <x v="1"/>
    <n v="479151.05"/>
    <n v="43268.887000000002"/>
  </r>
  <r>
    <s v="SK14"/>
    <d v="2014-04-09T00:00:00"/>
    <x v="122"/>
    <s v="RGI"/>
    <n v="17.249700000000001"/>
    <n v="14452.257"/>
    <n v="1902.799"/>
    <n v="249202.04"/>
    <x v="657"/>
    <n v="53419305.259999998"/>
    <n v="3096820.2059999998"/>
  </r>
  <r>
    <s v="SK14"/>
    <d v="2014-04-09T00:00:00"/>
    <x v="122"/>
    <s v="U2A"/>
    <n v="17.059899999999999"/>
    <n v="560.15200000000004"/>
    <n v="0"/>
    <n v="9552.41"/>
    <x v="1"/>
    <n v="556320.30000000005"/>
    <n v="32609.912"/>
  </r>
  <r>
    <s v="SK14"/>
    <d v="2014-04-10T00:00:00"/>
    <x v="123"/>
    <s v="AA"/>
    <n v="22.978400000000001"/>
    <n v="25394.894"/>
    <n v="24286.704000000002"/>
    <n v="576710.41"/>
    <x v="658"/>
    <n v="270867821.60000002"/>
    <n v="11787924.037"/>
  </r>
  <r>
    <s v="SK14"/>
    <d v="2014-04-10T00:00:00"/>
    <x v="123"/>
    <s v="AB"/>
    <n v="18.3245"/>
    <n v="1662.617"/>
    <n v="3414.346"/>
    <n v="30111.48"/>
    <x v="659"/>
    <n v="13695652.220000001"/>
    <n v="747395.728"/>
  </r>
  <r>
    <s v="SK14"/>
    <d v="2014-04-10T00:00:00"/>
    <x v="123"/>
    <s v="AC"/>
    <n v="19.0349"/>
    <n v="9684.5130000000008"/>
    <n v="2741.951"/>
    <n v="182194.74"/>
    <x v="660"/>
    <n v="39109958.770000003"/>
    <n v="2054646.97"/>
  </r>
  <r>
    <s v="SK14"/>
    <d v="2014-04-10T00:00:00"/>
    <x v="123"/>
    <s v="AI"/>
    <n v="17.6935"/>
    <n v="65499"/>
    <n v="0"/>
    <n v="1145328.6100000001"/>
    <x v="1"/>
    <n v="25372953.890000001"/>
    <n v="1434025.1359999999"/>
  </r>
  <r>
    <s v="SK14"/>
    <d v="2014-04-10T00:00:00"/>
    <x v="123"/>
    <s v="AUI"/>
    <n v="11.349600000000001"/>
    <n v="17083.205000000002"/>
    <n v="0"/>
    <n v="191620.6"/>
    <x v="1"/>
    <n v="3334304.13"/>
    <n v="293780.74200000003"/>
  </r>
  <r>
    <s v="SK14"/>
    <d v="2014-04-10T00:00:00"/>
    <x v="123"/>
    <s v="BUI"/>
    <n v="11.0159"/>
    <n v="0"/>
    <n v="801.16300000000001"/>
    <n v="0"/>
    <x v="661"/>
    <n v="2101402.23"/>
    <n v="190761.465"/>
  </r>
  <r>
    <s v="SK14"/>
    <d v="2014-04-10T00:00:00"/>
    <x v="123"/>
    <s v="RGI"/>
    <n v="17.4542"/>
    <n v="5325.1639999999998"/>
    <n v="249.17500000000001"/>
    <n v="91857.74"/>
    <x v="662"/>
    <n v="54141156.210000001"/>
    <n v="3101896.1949999998"/>
  </r>
  <r>
    <s v="SK14"/>
    <d v="2014-04-10T00:00:00"/>
    <x v="123"/>
    <s v="S4"/>
    <n v="18.644100000000002"/>
    <n v="0.90900000000000003"/>
    <n v="435.61200000000002"/>
    <n v="16.739999999999998"/>
    <x v="663"/>
    <n v="1171605"/>
    <n v="62840.56"/>
  </r>
  <r>
    <s v="SK14"/>
    <d v="2014-04-10T00:00:00"/>
    <x v="123"/>
    <s v="U2A"/>
    <n v="17.2622"/>
    <n v="2474.4160000000002"/>
    <n v="30.893999999999998"/>
    <n v="42213.31"/>
    <x v="664"/>
    <n v="605098"/>
    <n v="35053.434000000001"/>
  </r>
  <r>
    <s v="SK14"/>
    <d v="2014-04-11T00:00:00"/>
    <x v="124"/>
    <s v="A3"/>
    <n v="18.206099999999999"/>
    <n v="22.390999999999998"/>
    <n v="0"/>
    <n v="416.15"/>
    <x v="1"/>
    <n v="6303302.4199999999"/>
    <n v="346218.38099999999"/>
  </r>
  <r>
    <s v="SK14"/>
    <d v="2014-04-11T00:00:00"/>
    <x v="124"/>
    <s v="AA"/>
    <n v="22.5092"/>
    <n v="43585.262999999999"/>
    <n v="600.92499999999995"/>
    <n v="1001519.58"/>
    <x v="665"/>
    <n v="266303694.13999999"/>
    <n v="11830908.375"/>
  </r>
  <r>
    <s v="SK14"/>
    <d v="2014-04-11T00:00:00"/>
    <x v="124"/>
    <s v="AB"/>
    <n v="17.9495"/>
    <n v="546.89499999999998"/>
    <n v="2463.1590000000001"/>
    <n v="10021.58"/>
    <x v="666"/>
    <n v="13381000.49"/>
    <n v="745479.46400000004"/>
  </r>
  <r>
    <s v="SK14"/>
    <d v="2014-04-11T00:00:00"/>
    <x v="124"/>
    <s v="AC"/>
    <n v="18.645399999999999"/>
    <n v="2851.3020000000001"/>
    <n v="19482.109"/>
    <n v="54274.25"/>
    <x v="667"/>
    <n v="37999559.359999999"/>
    <n v="2038016.1629999999"/>
  </r>
  <r>
    <s v="SK14"/>
    <d v="2014-04-11T00:00:00"/>
    <x v="124"/>
    <s v="AI"/>
    <n v="17.3325"/>
    <n v="14087"/>
    <n v="0"/>
    <n v="249248.33"/>
    <x v="1"/>
    <n v="25099471.600000001"/>
    <n v="1448112.1359999999"/>
  </r>
  <r>
    <s v="SK14"/>
    <d v="2014-04-11T00:00:00"/>
    <x v="124"/>
    <s v="AUI"/>
    <n v="11.117900000000001"/>
    <n v="4809.8280000000004"/>
    <n v="0"/>
    <n v="54589.62"/>
    <x v="1"/>
    <n v="3319685.69"/>
    <n v="298590.57"/>
  </r>
  <r>
    <s v="SK14"/>
    <d v="2014-04-11T00:00:00"/>
    <x v="124"/>
    <s v="RGI"/>
    <n v="17.098099999999999"/>
    <n v="16735"/>
    <n v="629.99900000000002"/>
    <n v="292094.90000000002"/>
    <x v="668"/>
    <n v="53311960.990000002"/>
    <n v="3118001.196"/>
  </r>
  <r>
    <s v="SK14"/>
    <d v="2014-04-11T00:00:00"/>
    <x v="124"/>
    <s v="S4"/>
    <n v="18.2636"/>
    <n v="1307.422"/>
    <n v="200.61099999999999"/>
    <n v="24375.62"/>
    <x v="669"/>
    <n v="1167908.82"/>
    <n v="63947.370999999999"/>
  </r>
  <r>
    <s v="SK14"/>
    <d v="2014-04-11T00:00:00"/>
    <x v="124"/>
    <s v="U2A"/>
    <n v="16.9101"/>
    <n v="2264.7910000000002"/>
    <n v="69.739999999999995"/>
    <n v="39095.4"/>
    <x v="670"/>
    <n v="629874.24"/>
    <n v="37248.485000000001"/>
  </r>
  <r>
    <s v="SK14"/>
    <d v="2014-04-14T00:00:00"/>
    <x v="125"/>
    <s v="AA"/>
    <n v="22.3048"/>
    <n v="10320.200999999999"/>
    <n v="32964.063999999998"/>
    <n v="232299.49"/>
    <x v="671"/>
    <n v="263380531.75"/>
    <n v="11808264.512"/>
  </r>
  <r>
    <s v="SK14"/>
    <d v="2014-04-14T00:00:00"/>
    <x v="125"/>
    <s v="AB"/>
    <n v="17.784300000000002"/>
    <n v="1810.635"/>
    <n v="5226.0450000000001"/>
    <n v="32500"/>
    <x v="672"/>
    <n v="13197107.73"/>
    <n v="742064.054"/>
  </r>
  <r>
    <s v="SK14"/>
    <d v="2014-04-14T00:00:00"/>
    <x v="125"/>
    <s v="AC"/>
    <n v="18.473800000000001"/>
    <n v="3380.79"/>
    <n v="2787.0430000000001"/>
    <n v="63036.17"/>
    <x v="673"/>
    <n v="37660798.990000002"/>
    <n v="2038609.91"/>
  </r>
  <r>
    <s v="SK14"/>
    <d v="2014-04-14T00:00:00"/>
    <x v="125"/>
    <s v="AGH"/>
    <n v="18.348299999999998"/>
    <n v="0"/>
    <n v="1269.8889999999999"/>
    <n v="0"/>
    <x v="674"/>
    <n v="9746046.1600000001"/>
    <n v="531167.83799999999"/>
  </r>
  <r>
    <s v="SK14"/>
    <d v="2014-04-14T00:00:00"/>
    <x v="125"/>
    <s v="AUI"/>
    <n v="11.0169"/>
    <n v="13356.839"/>
    <n v="1474.1120000000001"/>
    <n v="148500"/>
    <x v="675"/>
    <n v="3420453.62"/>
    <n v="310473.29700000002"/>
  </r>
  <r>
    <s v="SK14"/>
    <d v="2014-04-14T00:00:00"/>
    <x v="125"/>
    <s v="C1M"/>
    <n v="10.8741"/>
    <n v="1061.296"/>
    <n v="0"/>
    <n v="11647.83"/>
    <x v="1"/>
    <n v="482051.09"/>
    <n v="44330.182999999997"/>
  </r>
  <r>
    <s v="SK14"/>
    <d v="2014-04-14T00:00:00"/>
    <x v="125"/>
    <s v="RGI"/>
    <n v="16.943899999999999"/>
    <n v="3398.8890000000001"/>
    <n v="650"/>
    <n v="58114.63"/>
    <x v="676"/>
    <n v="52877740.130000003"/>
    <n v="3120750.085"/>
  </r>
  <r>
    <s v="SK14"/>
    <d v="2014-04-14T00:00:00"/>
    <x v="125"/>
    <s v="U2A"/>
    <n v="16.7578"/>
    <n v="1181.1959999999999"/>
    <n v="38.015999999999998"/>
    <n v="19974.14"/>
    <x v="677"/>
    <n v="643358.61"/>
    <n v="38391.665000000001"/>
  </r>
  <r>
    <s v="SK14"/>
    <d v="2014-04-15T00:00:00"/>
    <x v="126"/>
    <s v="AA"/>
    <n v="22.404399999999999"/>
    <n v="7753.25"/>
    <n v="7964.1819999999998"/>
    <n v="172934.71"/>
    <x v="678"/>
    <n v="264552210.75"/>
    <n v="11808053.58"/>
  </r>
  <r>
    <s v="SK14"/>
    <d v="2014-04-15T00:00:00"/>
    <x v="126"/>
    <s v="AB"/>
    <n v="17.863"/>
    <n v="0"/>
    <n v="2572.585"/>
    <n v="0"/>
    <x v="679"/>
    <n v="13209556.960000001"/>
    <n v="739491.46900000004"/>
  </r>
  <r>
    <s v="SK14"/>
    <d v="2014-04-15T00:00:00"/>
    <x v="126"/>
    <s v="AC"/>
    <n v="18.555499999999999"/>
    <n v="3816.681"/>
    <n v="5457.5290000000005"/>
    <n v="70508.600000000006"/>
    <x v="680"/>
    <n v="37797018.659999996"/>
    <n v="2036969.0619999999"/>
  </r>
  <r>
    <s v="SK14"/>
    <d v="2014-04-15T00:00:00"/>
    <x v="126"/>
    <s v="AI"/>
    <n v="17.253299999999999"/>
    <n v="133433"/>
    <n v="0"/>
    <n v="2291871.89"/>
    <x v="1"/>
    <n v="27286874.25"/>
    <n v="1581545.1359999999"/>
  </r>
  <r>
    <s v="SK14"/>
    <d v="2014-04-15T00:00:00"/>
    <x v="126"/>
    <s v="AUI"/>
    <n v="11.0661"/>
    <n v="3958.748"/>
    <n v="0"/>
    <n v="43613.13"/>
    <x v="1"/>
    <n v="3479539.21"/>
    <n v="314432.04499999998"/>
  </r>
  <r>
    <s v="SK14"/>
    <d v="2014-04-15T00:00:00"/>
    <x v="126"/>
    <s v="BUI"/>
    <n v="10.7384"/>
    <n v="0"/>
    <n v="3125.3539999999998"/>
    <n v="0"/>
    <x v="681"/>
    <n v="2014920.68"/>
    <n v="187636.111"/>
  </r>
  <r>
    <s v="SK14"/>
    <d v="2014-04-15T00:00:00"/>
    <x v="126"/>
    <s v="RGI"/>
    <n v="17.0199"/>
    <n v="2580.5329999999999"/>
    <n v="5029.01"/>
    <n v="43724.25"/>
    <x v="682"/>
    <n v="53073335.399999999"/>
    <n v="3118301.608"/>
  </r>
  <r>
    <s v="SK14"/>
    <d v="2014-04-15T00:00:00"/>
    <x v="126"/>
    <s v="U2A"/>
    <n v="16.832999999999998"/>
    <n v="2188.913"/>
    <n v="0"/>
    <n v="36681.35"/>
    <x v="1"/>
    <n v="683094.17"/>
    <n v="40580.578000000001"/>
  </r>
  <r>
    <s v="SK14"/>
    <d v="2014-04-16T00:00:00"/>
    <x v="127"/>
    <s v="AA"/>
    <n v="22.560700000000001"/>
    <n v="12073.125"/>
    <n v="15789.971"/>
    <n v="270491.11"/>
    <x v="683"/>
    <n v="266313568.61000001"/>
    <n v="11804336.733999999"/>
  </r>
  <r>
    <s v="SK14"/>
    <d v="2014-04-16T00:00:00"/>
    <x v="127"/>
    <s v="AB"/>
    <n v="17.986899999999999"/>
    <n v="1372.3320000000001"/>
    <n v="436.94799999999998"/>
    <n v="24513.96"/>
    <x v="684"/>
    <n v="13317973.4"/>
    <n v="740426.853"/>
  </r>
  <r>
    <s v="SK14"/>
    <d v="2014-04-16T00:00:00"/>
    <x v="127"/>
    <s v="AC"/>
    <n v="18.684200000000001"/>
    <n v="231.602"/>
    <n v="3701.143"/>
    <n v="4297.49"/>
    <x v="685"/>
    <n v="37994268.5"/>
    <n v="2033499.5209999999"/>
  </r>
  <r>
    <s v="SK14"/>
    <d v="2014-04-16T00:00:00"/>
    <x v="127"/>
    <s v="AI"/>
    <n v="17.373999999999999"/>
    <n v="43579"/>
    <n v="0"/>
    <n v="751881.56"/>
    <x v="1"/>
    <n v="28234898.100000001"/>
    <n v="1625124.1359999999"/>
  </r>
  <r>
    <s v="SK14"/>
    <d v="2014-04-16T00:00:00"/>
    <x v="127"/>
    <s v="AUI"/>
    <n v="11.1433"/>
    <n v="6144.893"/>
    <n v="13985.525"/>
    <n v="68000"/>
    <x v="686"/>
    <n v="3416438.09"/>
    <n v="306591.413"/>
  </r>
  <r>
    <s v="SK14"/>
    <d v="2014-04-16T00:00:00"/>
    <x v="127"/>
    <s v="C1M"/>
    <n v="10.997999999999999"/>
    <n v="606.13400000000001"/>
    <n v="0"/>
    <n v="6620.32"/>
    <x v="1"/>
    <n v="494207.82"/>
    <n v="44936.317000000003"/>
  </r>
  <r>
    <s v="SK14"/>
    <d v="2014-04-16T00:00:00"/>
    <x v="127"/>
    <s v="RGI"/>
    <n v="17.138999999999999"/>
    <n v="17487.548999999999"/>
    <n v="1165"/>
    <n v="297636.95"/>
    <x v="687"/>
    <n v="53724356.710000001"/>
    <n v="3134624.1570000001"/>
  </r>
  <r>
    <s v="SK14"/>
    <d v="2014-04-16T00:00:00"/>
    <x v="127"/>
    <s v="S4"/>
    <n v="18.3066"/>
    <n v="0"/>
    <n v="5.7629999999999999"/>
    <n v="0"/>
    <x v="688"/>
    <n v="1170556.1000000001"/>
    <n v="63941.608"/>
  </r>
  <r>
    <s v="SK14"/>
    <d v="2014-04-16T00:00:00"/>
    <x v="127"/>
    <s v="U2A"/>
    <n v="16.950900000000001"/>
    <n v="1544.442"/>
    <n v="73.745000000000005"/>
    <n v="25997.64"/>
    <x v="689"/>
    <n v="712805.07"/>
    <n v="42051.275000000001"/>
  </r>
  <r>
    <s v="SK14"/>
    <d v="2014-04-17T00:00:00"/>
    <x v="128"/>
    <s v="A3"/>
    <n v="18.411100000000001"/>
    <n v="22.751000000000001"/>
    <n v="0"/>
    <n v="415.16"/>
    <x v="1"/>
    <n v="6374676.7599999998"/>
    <n v="346241.13199999998"/>
  </r>
  <r>
    <s v="SK14"/>
    <d v="2014-04-17T00:00:00"/>
    <x v="128"/>
    <s v="AA"/>
    <n v="22.762499999999999"/>
    <n v="290292.44300000003"/>
    <n v="9419.3889999999992"/>
    <n v="6549200.71"/>
    <x v="690"/>
    <n v="275089995.10000002"/>
    <n v="12085209.788000001"/>
  </r>
  <r>
    <s v="SK14"/>
    <d v="2014-04-17T00:00:00"/>
    <x v="128"/>
    <s v="AB"/>
    <n v="18.147099999999998"/>
    <n v="4568.6080000000002"/>
    <n v="150.578"/>
    <n v="82175.11"/>
    <x v="691"/>
    <n v="13516772.710000001"/>
    <n v="744844.88300000003"/>
  </r>
  <r>
    <s v="SK14"/>
    <d v="2014-04-17T00:00:00"/>
    <x v="128"/>
    <s v="AC"/>
    <n v="18.8506"/>
    <n v="12847.932000000001"/>
    <n v="5804.45"/>
    <n v="240053.33"/>
    <x v="692"/>
    <n v="38465462.079999998"/>
    <n v="2040543.003"/>
  </r>
  <r>
    <s v="SK14"/>
    <d v="2014-04-17T00:00:00"/>
    <x v="128"/>
    <s v="AI"/>
    <n v="17.529800000000002"/>
    <n v="108910"/>
    <n v="0"/>
    <n v="1892202.34"/>
    <x v="1"/>
    <n v="30397303.329999998"/>
    <n v="1734034.1359999999"/>
  </r>
  <r>
    <s v="SK14"/>
    <d v="2014-04-17T00:00:00"/>
    <x v="128"/>
    <s v="AUI"/>
    <n v="11.243"/>
    <n v="1618.0550000000001"/>
    <n v="0"/>
    <n v="18030.48"/>
    <x v="1"/>
    <n v="3465200.94"/>
    <n v="308209.46799999999"/>
  </r>
  <r>
    <s v="SK14"/>
    <d v="2014-04-17T00:00:00"/>
    <x v="128"/>
    <s v="RGI"/>
    <n v="17.2927"/>
    <n v="9307.3940000000002"/>
    <n v="149.505"/>
    <n v="159519.71"/>
    <x v="693"/>
    <n v="54364562.899999999"/>
    <n v="3143782.0460000001"/>
  </r>
  <r>
    <s v="SK14"/>
    <d v="2014-04-17T00:00:00"/>
    <x v="128"/>
    <s v="S4"/>
    <n v="18.470700000000001"/>
    <n v="0"/>
    <n v="16.111000000000001"/>
    <n v="0"/>
    <x v="694"/>
    <n v="1180748.92"/>
    <n v="63925.497000000003"/>
  </r>
  <r>
    <s v="SK14"/>
    <d v="2014-04-17T00:00:00"/>
    <x v="128"/>
    <s v="U2A"/>
    <n v="17.103000000000002"/>
    <n v="2293.9609999999998"/>
    <n v="13.654"/>
    <n v="38884.57"/>
    <x v="695"/>
    <n v="758200.93"/>
    <n v="44331.582000000002"/>
  </r>
  <r>
    <s v="SK14"/>
    <d v="2014-04-22T00:00:00"/>
    <x v="129"/>
    <s v="A3"/>
    <n v="18.496500000000001"/>
    <n v="368.40100000000001"/>
    <n v="0"/>
    <n v="6782.67"/>
    <x v="1"/>
    <n v="6411068.2300000004"/>
    <n v="346609.533"/>
  </r>
  <r>
    <s v="SK14"/>
    <d v="2014-04-22T00:00:00"/>
    <x v="129"/>
    <s v="AA"/>
    <n v="22.868099999999998"/>
    <n v="4713.5649999999996"/>
    <n v="7829.59"/>
    <n v="107292.52"/>
    <x v="696"/>
    <n v="276295104.60000002"/>
    <n v="12082093.763"/>
  </r>
  <r>
    <s v="SK14"/>
    <d v="2014-04-22T00:00:00"/>
    <x v="129"/>
    <s v="AB"/>
    <n v="18.227599999999999"/>
    <n v="0"/>
    <n v="75773.551000000007"/>
    <n v="0"/>
    <x v="697"/>
    <n v="12195542.890000001"/>
    <n v="669071.33200000005"/>
  </r>
  <r>
    <s v="SK14"/>
    <d v="2014-04-22T00:00:00"/>
    <x v="129"/>
    <s v="AC"/>
    <n v="18.934200000000001"/>
    <n v="2.8450000000000002"/>
    <n v="51516.207999999999"/>
    <n v="53.63"/>
    <x v="698"/>
    <n v="37660667.060000002"/>
    <n v="1989029.64"/>
  </r>
  <r>
    <s v="SK14"/>
    <d v="2014-04-22T00:00:00"/>
    <x v="129"/>
    <s v="AUI"/>
    <n v="11.295199999999999"/>
    <n v="1956.7729999999999"/>
    <n v="1727.375"/>
    <n v="22000"/>
    <x v="699"/>
    <n v="3483869.93"/>
    <n v="308438.86599999998"/>
  </r>
  <r>
    <s v="SK14"/>
    <d v="2014-04-22T00:00:00"/>
    <x v="129"/>
    <s v="BUI"/>
    <n v="10.957599999999999"/>
    <n v="0"/>
    <n v="1124.6179999999999"/>
    <n v="0"/>
    <x v="700"/>
    <n v="2043717.11"/>
    <n v="186511.49299999999"/>
  </r>
  <r>
    <s v="SK14"/>
    <d v="2014-04-22T00:00:00"/>
    <x v="129"/>
    <s v="C1M"/>
    <n v="11.145099999999999"/>
    <n v="0"/>
    <n v="540.18100000000004"/>
    <n v="0"/>
    <x v="701"/>
    <n v="494800.42"/>
    <n v="44396.135999999999"/>
  </r>
  <r>
    <s v="SK14"/>
    <d v="2014-04-22T00:00:00"/>
    <x v="129"/>
    <s v="RGI"/>
    <n v="17.374700000000001"/>
    <n v="5583.8109999999997"/>
    <n v="573.05999999999995"/>
    <n v="96559.039999999994"/>
    <x v="702"/>
    <n v="54709450.140000001"/>
    <n v="3148792.7969999998"/>
  </r>
  <r>
    <s v="SK14"/>
    <d v="2014-04-22T00:00:00"/>
    <x v="129"/>
    <s v="S4"/>
    <n v="18.557700000000001"/>
    <n v="0"/>
    <n v="9.1110000000000007"/>
    <n v="0"/>
    <x v="703"/>
    <n v="1186139.17"/>
    <n v="63916.385999999999"/>
  </r>
  <r>
    <s v="SK14"/>
    <d v="2014-04-22T00:00:00"/>
    <x v="129"/>
    <s v="U2A"/>
    <n v="17.1844"/>
    <n v="1476.768"/>
    <n v="5.9390000000000001"/>
    <n v="25257.19"/>
    <x v="704"/>
    <n v="787087.74"/>
    <n v="45802.411"/>
  </r>
  <r>
    <s v="SK14"/>
    <d v="2014-04-23T00:00:00"/>
    <x v="130"/>
    <s v="A3"/>
    <n v="18.5487"/>
    <n v="22.408999999999999"/>
    <n v="0"/>
    <n v="414.5"/>
    <x v="1"/>
    <n v="6429574.6699999999"/>
    <n v="346631.94199999998"/>
  </r>
  <r>
    <s v="SK14"/>
    <d v="2014-04-23T00:00:00"/>
    <x v="130"/>
    <s v="AA"/>
    <n v="22.932700000000001"/>
    <n v="67328.157999999996"/>
    <n v="13592.034"/>
    <n v="1539667.04"/>
    <x v="705"/>
    <n v="278307064.81999999"/>
    <n v="12135829.887"/>
  </r>
  <r>
    <s v="SK14"/>
    <d v="2014-04-23T00:00:00"/>
    <x v="130"/>
    <s v="AB"/>
    <n v="18.278300000000002"/>
    <n v="0"/>
    <n v="11696.526"/>
    <n v="0"/>
    <x v="706"/>
    <n v="12015662.65"/>
    <n v="657374.80599999998"/>
  </r>
  <r>
    <s v="SK14"/>
    <d v="2014-04-23T00:00:00"/>
    <x v="130"/>
    <s v="AC"/>
    <n v="18.986799999999999"/>
    <n v="216.893"/>
    <n v="18382.312999999998"/>
    <n v="4106.6899999999996"/>
    <x v="707"/>
    <n v="37420486.119999997"/>
    <n v="1970864.22"/>
  </r>
  <r>
    <s v="SK14"/>
    <d v="2014-04-23T00:00:00"/>
    <x v="130"/>
    <s v="AGH"/>
    <n v="18.880500000000001"/>
    <n v="0"/>
    <n v="9125.3349999999991"/>
    <n v="0"/>
    <x v="708"/>
    <n v="9856446.7300000004"/>
    <n v="522042.50300000003"/>
  </r>
  <r>
    <s v="SK14"/>
    <d v="2014-04-23T00:00:00"/>
    <x v="130"/>
    <s v="AI"/>
    <n v="17.663"/>
    <n v="34086"/>
    <n v="0"/>
    <n v="600356.72"/>
    <x v="1"/>
    <n v="31230336.859999999"/>
    <n v="1768120.1359999999"/>
  </r>
  <r>
    <s v="SK14"/>
    <d v="2014-04-23T00:00:00"/>
    <x v="130"/>
    <s v="AUI"/>
    <n v="11.327"/>
    <n v="10943.224"/>
    <n v="535.72"/>
    <n v="123605.91"/>
    <x v="709"/>
    <n v="3611587.27"/>
    <n v="318846.37"/>
  </r>
  <r>
    <s v="SK14"/>
    <d v="2014-04-23T00:00:00"/>
    <x v="130"/>
    <s v="RGI"/>
    <n v="17.424099999999999"/>
    <n v="5755.3720000000003"/>
    <n v="0"/>
    <n v="99998.26"/>
    <x v="1"/>
    <n v="54965235.939999998"/>
    <n v="3154548.1690000002"/>
  </r>
  <r>
    <s v="SK14"/>
    <d v="2014-04-23T00:00:00"/>
    <x v="130"/>
    <s v="S4"/>
    <n v="18.610299999999999"/>
    <n v="18.114000000000001"/>
    <n v="0"/>
    <n v="336.15"/>
    <x v="1"/>
    <n v="1189839.56"/>
    <n v="63934.5"/>
  </r>
  <r>
    <s v="SK14"/>
    <d v="2014-04-23T00:00:00"/>
    <x v="130"/>
    <s v="U2A"/>
    <n v="17.2333"/>
    <n v="1108.961"/>
    <n v="1.9850000000000001"/>
    <n v="19056.77"/>
    <x v="710"/>
    <n v="808404.97"/>
    <n v="46909.387000000002"/>
  </r>
  <r>
    <s v="SK14"/>
    <d v="2014-04-24T00:00:00"/>
    <x v="131"/>
    <s v="AA"/>
    <n v="22.924900000000001"/>
    <n v="7128.7430000000004"/>
    <n v="16863.634999999998"/>
    <n v="163481.34"/>
    <x v="711"/>
    <n v="277989193.35000002"/>
    <n v="12126094.994999999"/>
  </r>
  <r>
    <s v="SK14"/>
    <d v="2014-04-24T00:00:00"/>
    <x v="131"/>
    <s v="AB"/>
    <n v="18.2713"/>
    <n v="8270.9259999999995"/>
    <n v="1653.28"/>
    <n v="151178.47"/>
    <x v="712"/>
    <n v="12131993.439999999"/>
    <n v="663992.45200000005"/>
  </r>
  <r>
    <s v="SK14"/>
    <d v="2014-04-24T00:00:00"/>
    <x v="131"/>
    <s v="AC"/>
    <n v="18.979600000000001"/>
    <n v="27190.196"/>
    <n v="3519.4989999999998"/>
    <n v="516254.84"/>
    <x v="713"/>
    <n v="37855474.560000002"/>
    <n v="1994534.9169999999"/>
  </r>
  <r>
    <s v="SK14"/>
    <d v="2014-04-24T00:00:00"/>
    <x v="131"/>
    <s v="AI"/>
    <n v="17.657399999999999"/>
    <n v="86163"/>
    <n v="0"/>
    <n v="1521897.07"/>
    <x v="1"/>
    <n v="32741762.260000002"/>
    <n v="1854283.1359999999"/>
  </r>
  <r>
    <s v="SK14"/>
    <d v="2014-04-24T00:00:00"/>
    <x v="131"/>
    <s v="AUI"/>
    <n v="11.3232"/>
    <n v="37.841000000000001"/>
    <n v="888.58900000000006"/>
    <n v="428.63"/>
    <x v="714"/>
    <n v="3600725.2"/>
    <n v="317995.62199999997"/>
  </r>
  <r>
    <s v="SK14"/>
    <d v="2014-04-24T00:00:00"/>
    <x v="131"/>
    <s v="BUI"/>
    <n v="10.9839"/>
    <n v="2528.1179999999999"/>
    <n v="2045.9690000000001"/>
    <n v="27779.21"/>
    <x v="715"/>
    <n v="2053914.38"/>
    <n v="186993.64199999999"/>
  </r>
  <r>
    <s v="SK14"/>
    <d v="2014-04-24T00:00:00"/>
    <x v="131"/>
    <s v="RGI"/>
    <n v="17.418600000000001"/>
    <n v="6850"/>
    <n v="0"/>
    <n v="119354.58"/>
    <x v="1"/>
    <n v="55066978.640000001"/>
    <n v="3161398.1690000002"/>
  </r>
  <r>
    <s v="SK14"/>
    <d v="2014-04-24T00:00:00"/>
    <x v="131"/>
    <s v="S4"/>
    <n v="18.604199999999999"/>
    <n v="0"/>
    <n v="1201.8699999999999"/>
    <n v="0"/>
    <x v="716"/>
    <n v="1167091.1499999999"/>
    <n v="62732.63"/>
  </r>
  <r>
    <s v="SK14"/>
    <d v="2014-04-24T00:00:00"/>
    <x v="131"/>
    <s v="U2A"/>
    <n v="17.227900000000002"/>
    <n v="1193.2919999999999"/>
    <n v="0.98299999999999998"/>
    <n v="20564.38"/>
    <x v="717"/>
    <n v="828690.77"/>
    <n v="48101.696000000004"/>
  </r>
  <r>
    <s v="SK14"/>
    <d v="2014-04-25T00:00:00"/>
    <x v="132"/>
    <s v="AA"/>
    <n v="22.8857"/>
    <n v="76744.433999999994"/>
    <n v="394018.83600000001"/>
    <n v="1759358.45"/>
    <x v="718"/>
    <n v="270252704"/>
    <n v="11808820.593"/>
  </r>
  <r>
    <s v="SK14"/>
    <d v="2014-04-25T00:00:00"/>
    <x v="132"/>
    <s v="AB"/>
    <n v="18.235099999999999"/>
    <n v="2102.5100000000002"/>
    <n v="1195.056"/>
    <n v="38415.589999999997"/>
    <x v="719"/>
    <n v="12124494.390000001"/>
    <n v="664899.90599999996"/>
  </r>
  <r>
    <s v="SK14"/>
    <d v="2014-04-25T00:00:00"/>
    <x v="132"/>
    <s v="AC"/>
    <n v="18.943899999999999"/>
    <n v="4300.2700000000004"/>
    <n v="14952.540999999999"/>
    <n v="81617.41"/>
    <x v="720"/>
    <n v="37582501.07"/>
    <n v="1983882.6459999999"/>
  </r>
  <r>
    <s v="SK14"/>
    <d v="2014-04-25T00:00:00"/>
    <x v="132"/>
    <s v="AI"/>
    <n v="17.627500000000001"/>
    <n v="28300"/>
    <n v="20418"/>
    <n v="499704.42"/>
    <x v="721"/>
    <n v="32825269.039999999"/>
    <n v="1862165.1359999999"/>
  </r>
  <r>
    <s v="SK14"/>
    <d v="2014-04-25T00:00:00"/>
    <x v="132"/>
    <s v="AUI"/>
    <n v="11.3024"/>
    <n v="794.82799999999997"/>
    <n v="600.90499999999997"/>
    <n v="9000"/>
    <x v="722"/>
    <n v="3596292.85"/>
    <n v="318189.54499999998"/>
  </r>
  <r>
    <s v="SK14"/>
    <d v="2014-04-25T00:00:00"/>
    <x v="132"/>
    <s v="RGI"/>
    <n v="17.388100000000001"/>
    <n v="181610.32500000001"/>
    <n v="0"/>
    <n v="3163398.09"/>
    <x v="1"/>
    <n v="58128648.149999999"/>
    <n v="3343008.4939999999"/>
  </r>
  <r>
    <s v="SK14"/>
    <d v="2014-04-25T00:00:00"/>
    <x v="132"/>
    <s v="S4"/>
    <n v="18.570499999999999"/>
    <n v="0"/>
    <n v="28.45"/>
    <n v="0"/>
    <x v="723"/>
    <n v="1164448.8899999999"/>
    <n v="62704.18"/>
  </r>
  <r>
    <s v="SK14"/>
    <d v="2014-04-25T00:00:00"/>
    <x v="132"/>
    <s v="U2A"/>
    <n v="17.189499999999999"/>
    <n v="1786.018"/>
    <n v="8.3089999999999993"/>
    <n v="30769.29"/>
    <x v="724"/>
    <n v="857401.68"/>
    <n v="49879.404999999999"/>
  </r>
  <r>
    <s v="SK14"/>
    <d v="2014-04-28T00:00:00"/>
    <x v="133"/>
    <s v="AA"/>
    <n v="22.7408"/>
    <n v="4616.6329999999998"/>
    <n v="23669.397000000001"/>
    <n v="105654.86"/>
    <x v="725"/>
    <n v="268108224.81"/>
    <n v="11789767.829"/>
  </r>
  <r>
    <s v="SK14"/>
    <d v="2014-04-28T00:00:00"/>
    <x v="133"/>
    <s v="AB"/>
    <n v="18.1174"/>
    <n v="376.34800000000001"/>
    <n v="10117.664000000001"/>
    <n v="6862.74"/>
    <x v="726"/>
    <n v="11869741.65"/>
    <n v="655158.59"/>
  </r>
  <r>
    <s v="SK14"/>
    <d v="2014-04-28T00:00:00"/>
    <x v="133"/>
    <s v="AC"/>
    <n v="18.8216"/>
    <n v="3492.373"/>
    <n v="37427.159"/>
    <n v="66159.16"/>
    <x v="727"/>
    <n v="36701192.75"/>
    <n v="1949947.86"/>
  </r>
  <r>
    <s v="SK14"/>
    <d v="2014-04-28T00:00:00"/>
    <x v="133"/>
    <s v="AI"/>
    <n v="17.5169"/>
    <n v="0"/>
    <n v="35198"/>
    <n v="0"/>
    <x v="728"/>
    <n v="32002884.899999999"/>
    <n v="1826967.1359999999"/>
  </r>
  <r>
    <s v="SK14"/>
    <d v="2014-04-28T00:00:00"/>
    <x v="133"/>
    <s v="AUI"/>
    <n v="11.2308"/>
    <n v="4423.8389999999999"/>
    <n v="37154.999000000003"/>
    <n v="50000"/>
    <x v="729"/>
    <n v="3205923.33"/>
    <n v="285458.38500000001"/>
  </r>
  <r>
    <s v="SK14"/>
    <d v="2014-04-28T00:00:00"/>
    <x v="133"/>
    <s v="BUI"/>
    <n v="10.8903"/>
    <n v="234.27500000000001"/>
    <n v="355.33699999999999"/>
    <n v="2567.91"/>
    <x v="730"/>
    <n v="2035097.71"/>
    <n v="186872.58"/>
  </r>
  <r>
    <s v="SK14"/>
    <d v="2014-04-28T00:00:00"/>
    <x v="133"/>
    <s v="RGI"/>
    <n v="17.2791"/>
    <n v="7982.4939999999997"/>
    <n v="2700"/>
    <n v="138800.56"/>
    <x v="731"/>
    <n v="57855445.229999997"/>
    <n v="3348290.9879999999"/>
  </r>
  <r>
    <s v="SK14"/>
    <d v="2014-04-28T00:00:00"/>
    <x v="133"/>
    <s v="U2A"/>
    <n v="17.081900000000001"/>
    <n v="4482.1120000000001"/>
    <n v="0"/>
    <n v="77045.289999999994"/>
    <x v="1"/>
    <n v="928599.29"/>
    <n v="54361.517"/>
  </r>
  <r>
    <s v="SK14"/>
    <d v="2014-04-29T00:00:00"/>
    <x v="134"/>
    <s v="A3"/>
    <n v="18.3949"/>
    <n v="22.620999999999999"/>
    <n v="0"/>
    <n v="416.04"/>
    <x v="1"/>
    <n v="6376663.0899999999"/>
    <n v="346654.56300000002"/>
  </r>
  <r>
    <s v="SK14"/>
    <d v="2014-04-29T00:00:00"/>
    <x v="134"/>
    <s v="AA"/>
    <n v="22.744199999999999"/>
    <n v="763.18"/>
    <n v="72732.69"/>
    <n v="17355.310000000001"/>
    <x v="732"/>
    <n v="266511583.87"/>
    <n v="11717798.319"/>
  </r>
  <r>
    <s v="SK14"/>
    <d v="2014-04-29T00:00:00"/>
    <x v="134"/>
    <s v="AB"/>
    <n v="18.119299999999999"/>
    <n v="0"/>
    <n v="1388.5709999999999"/>
    <n v="0"/>
    <x v="733"/>
    <n v="11845875.720000001"/>
    <n v="653770.01899999997"/>
  </r>
  <r>
    <s v="SK14"/>
    <d v="2014-04-29T00:00:00"/>
    <x v="134"/>
    <s v="AC"/>
    <n v="18.823699999999999"/>
    <n v="263.36099999999999"/>
    <n v="4994.7650000000003"/>
    <n v="4956.87"/>
    <x v="734"/>
    <n v="36616131.840000004"/>
    <n v="1945216.456"/>
  </r>
  <r>
    <s v="SK14"/>
    <d v="2014-04-29T00:00:00"/>
    <x v="134"/>
    <s v="AGH"/>
    <n v="18.744"/>
    <n v="0"/>
    <n v="39"/>
    <n v="0"/>
    <x v="735"/>
    <n v="9784444.1699999999"/>
    <n v="522003.50300000003"/>
  </r>
  <r>
    <s v="SK14"/>
    <d v="2014-04-29T00:00:00"/>
    <x v="134"/>
    <s v="AI"/>
    <n v="17.5199"/>
    <n v="0"/>
    <n v="51313"/>
    <n v="0"/>
    <x v="736"/>
    <n v="31109348.760000002"/>
    <n v="1775654.1359999999"/>
  </r>
  <r>
    <s v="SK14"/>
    <d v="2014-04-29T00:00:00"/>
    <x v="134"/>
    <s v="AUI"/>
    <n v="11.2325"/>
    <n v="3003.9290000000001"/>
    <n v="0"/>
    <n v="33736.519999999997"/>
    <x v="1"/>
    <n v="3240146.2"/>
    <n v="288462.31400000001"/>
  </r>
  <r>
    <s v="SK14"/>
    <d v="2014-04-29T00:00:00"/>
    <x v="134"/>
    <s v="RGI"/>
    <n v="17.282"/>
    <n v="6291.2359999999999"/>
    <n v="0"/>
    <n v="108706.39"/>
    <x v="1"/>
    <n v="57974044.369999997"/>
    <n v="3354582.2239999999"/>
  </r>
  <r>
    <s v="SK14"/>
    <d v="2014-04-29T00:00:00"/>
    <x v="134"/>
    <s v="U2A"/>
    <n v="17.084900000000001"/>
    <n v="2454.8679999999999"/>
    <n v="16.475999999999999"/>
    <n v="41933.620000000003"/>
    <x v="737"/>
    <n v="970421.03"/>
    <n v="56799.909"/>
  </r>
  <r>
    <s v="SK14"/>
    <d v="2014-04-30T00:00:00"/>
    <x v="135"/>
    <s v="AA"/>
    <n v="22.912099999999999"/>
    <n v="2551.2020000000002"/>
    <n v="39743.097000000002"/>
    <n v="58025.03"/>
    <x v="738"/>
    <n v="267626661.66999999"/>
    <n v="11680606.424000001"/>
  </r>
  <r>
    <s v="SK14"/>
    <d v="2014-04-30T00:00:00"/>
    <x v="135"/>
    <s v="AB"/>
    <n v="18.252300000000002"/>
    <n v="0"/>
    <n v="14837.279"/>
    <n v="0"/>
    <x v="739"/>
    <n v="11662013.289999999"/>
    <n v="638932.74"/>
  </r>
  <r>
    <s v="SK14"/>
    <d v="2014-04-30T00:00:00"/>
    <x v="135"/>
    <s v="AC"/>
    <n v="18.9619"/>
    <n v="3712.6709999999998"/>
    <n v="39036.760999999999"/>
    <n v="69886.19"/>
    <x v="740"/>
    <n v="36215093.57"/>
    <n v="1909892.3659999999"/>
  </r>
  <r>
    <s v="SK14"/>
    <d v="2014-04-30T00:00:00"/>
    <x v="135"/>
    <s v="RGI"/>
    <n v="17.41"/>
    <n v="19644.936000000002"/>
    <n v="3527.7840000000001"/>
    <n v="339505.46"/>
    <x v="741"/>
    <n v="58683763.43"/>
    <n v="3370699.3760000002"/>
  </r>
  <r>
    <s v="SK14"/>
    <d v="2014-04-30T00:00:00"/>
    <x v="135"/>
    <s v="S4"/>
    <n v="18.5932"/>
    <n v="11.624000000000001"/>
    <n v="0"/>
    <n v="214.54"/>
    <x v="1"/>
    <n v="1166087.7"/>
    <n v="62715.803999999996"/>
  </r>
  <r>
    <s v="SK14"/>
    <d v="2014-04-30T00:00:00"/>
    <x v="135"/>
    <s v="U2A"/>
    <n v="17.211400000000001"/>
    <n v="933.02499999999998"/>
    <n v="0"/>
    <n v="15940.68"/>
    <x v="1"/>
    <n v="993666.76"/>
    <n v="57732.934000000001"/>
  </r>
  <r>
    <s v="SK14"/>
    <d v="2014-05-01T00:00:00"/>
    <x v="136"/>
    <s v="A3"/>
    <n v="18.518699999999999"/>
    <n v="2.0880000000000001"/>
    <n v="8328.89"/>
    <n v="38.69"/>
    <x v="742"/>
    <n v="6265391.2699999996"/>
    <n v="338327.761"/>
  </r>
  <r>
    <s v="SK14"/>
    <d v="2014-05-01T00:00:00"/>
    <x v="136"/>
    <s v="AA"/>
    <n v="22.897300000000001"/>
    <n v="1449.9010000000001"/>
    <n v="28276.68"/>
    <n v="33220.26"/>
    <x v="743"/>
    <n v="266839941"/>
    <n v="11653779.645"/>
  </r>
  <r>
    <s v="SK14"/>
    <d v="2014-05-01T00:00:00"/>
    <x v="136"/>
    <s v="AB"/>
    <n v="18.239799999999999"/>
    <n v="0"/>
    <n v="31838.531999999999"/>
    <n v="0"/>
    <x v="744"/>
    <n v="11073290.93"/>
    <n v="607094.20799999998"/>
  </r>
  <r>
    <s v="SK14"/>
    <d v="2014-05-01T00:00:00"/>
    <x v="136"/>
    <s v="AC"/>
    <n v="18.948899999999998"/>
    <n v="11683.468999999999"/>
    <n v="2246.049"/>
    <n v="221540.75"/>
    <x v="745"/>
    <n v="36369096.969999999"/>
    <n v="1919329.7860000001"/>
  </r>
  <r>
    <s v="SK14"/>
    <d v="2014-05-01T00:00:00"/>
    <x v="136"/>
    <s v="AGH"/>
    <n v="18.891500000000001"/>
    <n v="0"/>
    <n v="463.20600000000002"/>
    <n v="0"/>
    <x v="746"/>
    <n v="9852659.2599999998"/>
    <n v="521540.29700000002"/>
  </r>
  <r>
    <s v="SK14"/>
    <d v="2014-05-01T00:00:00"/>
    <x v="136"/>
    <s v="AI"/>
    <n v="17.6386"/>
    <n v="33926"/>
    <n v="0"/>
    <n v="598780.32999999996"/>
    <x v="1"/>
    <n v="31918473.16"/>
    <n v="1809580.1359999999"/>
  </r>
  <r>
    <s v="SK14"/>
    <d v="2014-05-01T00:00:00"/>
    <x v="136"/>
    <s v="BUI"/>
    <n v="10.963900000000001"/>
    <n v="0"/>
    <n v="3215.1030000000001"/>
    <n v="0"/>
    <x v="747"/>
    <n v="2013604"/>
    <n v="183657.47700000001"/>
  </r>
  <r>
    <s v="SK14"/>
    <d v="2014-05-01T00:00:00"/>
    <x v="136"/>
    <s v="RGI"/>
    <n v="17.399100000000001"/>
    <n v="16843.306"/>
    <n v="957.87"/>
    <n v="293241.01"/>
    <x v="748"/>
    <n v="58923545.380000003"/>
    <n v="3386584.8119999999"/>
  </r>
  <r>
    <s v="SK14"/>
    <d v="2014-05-01T00:00:00"/>
    <x v="136"/>
    <s v="U2A"/>
    <n v="17.200800000000001"/>
    <n v="3186.1590000000001"/>
    <n v="360.959"/>
    <n v="54838.09"/>
    <x v="749"/>
    <n v="1041646.3"/>
    <n v="60558.133999999998"/>
  </r>
  <r>
    <s v="SK14"/>
    <d v="2014-05-02T00:00:00"/>
    <x v="137"/>
    <s v="A3"/>
    <n v="18.503799999999998"/>
    <n v="0"/>
    <n v="1586.3440000000001"/>
    <n v="0"/>
    <x v="750"/>
    <n v="6231010.0099999998"/>
    <n v="336741.41700000002"/>
  </r>
  <r>
    <s v="SK14"/>
    <d v="2014-05-02T00:00:00"/>
    <x v="137"/>
    <s v="AA"/>
    <n v="22.878900000000002"/>
    <n v="131.02000000000001"/>
    <n v="13728.941999999999"/>
    <n v="3000"/>
    <x v="751"/>
    <n v="266314698.94"/>
    <n v="11640181.722999999"/>
  </r>
  <r>
    <s v="SK14"/>
    <d v="2014-05-02T00:00:00"/>
    <x v="137"/>
    <s v="AC"/>
    <n v="18.9329"/>
    <n v="3393.337"/>
    <n v="0"/>
    <n v="64300"/>
    <x v="1"/>
    <n v="36402662.299999997"/>
    <n v="1922723.1229999999"/>
  </r>
  <r>
    <s v="SK14"/>
    <d v="2014-05-02T00:00:00"/>
    <x v="137"/>
    <s v="RGI"/>
    <n v="17.3855"/>
    <n v="5700.5789999999997"/>
    <n v="1480"/>
    <n v="99184.93"/>
    <x v="752"/>
    <n v="58950847.479999997"/>
    <n v="3390805.3909999998"/>
  </r>
  <r>
    <s v="SK14"/>
    <d v="2014-05-02T00:00:00"/>
    <x v="137"/>
    <s v="S4"/>
    <n v="18.566800000000001"/>
    <n v="0"/>
    <n v="211.351"/>
    <n v="0"/>
    <x v="753"/>
    <n v="1160508.8999999999"/>
    <n v="62504.453000000001"/>
  </r>
  <r>
    <s v="SK14"/>
    <d v="2014-05-02T00:00:00"/>
    <x v="137"/>
    <s v="U2A"/>
    <n v="17.1874"/>
    <n v="1555.375"/>
    <n v="0.98299999999999998"/>
    <n v="26753.73"/>
    <x v="754"/>
    <n v="1067552.1100000001"/>
    <n v="62112.525999999998"/>
  </r>
  <r>
    <s v="SK14"/>
    <d v="2014-05-06T00:00:00"/>
    <x v="138"/>
    <s v="AA"/>
    <n v="22.824100000000001"/>
    <n v="14814.027"/>
    <n v="1791.479"/>
    <n v="338928.64000000001"/>
    <x v="755"/>
    <n v="265974056.08000001"/>
    <n v="11653204.271"/>
  </r>
  <r>
    <s v="SK14"/>
    <d v="2014-05-06T00:00:00"/>
    <x v="138"/>
    <s v="AB"/>
    <n v="18.177800000000001"/>
    <n v="0"/>
    <n v="492.66800000000001"/>
    <n v="0"/>
    <x v="756"/>
    <n v="11026675.220000001"/>
    <n v="606601.54"/>
  </r>
  <r>
    <s v="SK14"/>
    <d v="2014-05-06T00:00:00"/>
    <x v="138"/>
    <s v="AC"/>
    <n v="18.884399999999999"/>
    <n v="2863.4589999999998"/>
    <n v="375.83699999999999"/>
    <n v="54213.58"/>
    <x v="757"/>
    <n v="36356464.840000004"/>
    <n v="1925210.7450000001"/>
  </r>
  <r>
    <s v="SK14"/>
    <d v="2014-05-06T00:00:00"/>
    <x v="138"/>
    <s v="AI"/>
    <n v="17.584"/>
    <n v="95355"/>
    <n v="0"/>
    <n v="1680612.8"/>
    <x v="1"/>
    <n v="33496471.129999999"/>
    <n v="1904935.1359999999"/>
  </r>
  <r>
    <s v="SK14"/>
    <d v="2014-05-06T00:00:00"/>
    <x v="138"/>
    <s v="AUI"/>
    <n v="11.272"/>
    <n v="3048.7759999999998"/>
    <n v="0"/>
    <n v="34448.120000000003"/>
    <x v="1"/>
    <n v="3285900.8"/>
    <n v="291511.09000000003"/>
  </r>
  <r>
    <s v="SK14"/>
    <d v="2014-05-06T00:00:00"/>
    <x v="138"/>
    <s v="RGI"/>
    <n v="17.345300000000002"/>
    <n v="3349.2179999999998"/>
    <n v="910"/>
    <n v="58227.9"/>
    <x v="758"/>
    <n v="58856804.049999997"/>
    <n v="3393244.6090000002"/>
  </r>
  <r>
    <s v="SK14"/>
    <d v="2014-05-06T00:00:00"/>
    <x v="138"/>
    <s v="S4"/>
    <n v="18.523399999999999"/>
    <n v="0"/>
    <n v="2200"/>
    <n v="0"/>
    <x v="759"/>
    <n v="1117041.6499999999"/>
    <n v="60304.453000000001"/>
  </r>
  <r>
    <s v="SK14"/>
    <d v="2014-05-06T00:00:00"/>
    <x v="138"/>
    <s v="U2A"/>
    <n v="17.1479"/>
    <n v="2603.66"/>
    <n v="16.207000000000001"/>
    <n v="44750.2"/>
    <x v="760"/>
    <n v="1109469.92"/>
    <n v="64699.978999999999"/>
  </r>
  <r>
    <s v="SK14"/>
    <d v="2014-05-07T00:00:00"/>
    <x v="139"/>
    <s v="A3"/>
    <n v="18.332699999999999"/>
    <n v="22.648"/>
    <n v="0"/>
    <n v="418.07"/>
    <x v="1"/>
    <n v="6173800.1900000004"/>
    <n v="336764.065"/>
  </r>
  <r>
    <s v="SK14"/>
    <d v="2014-05-07T00:00:00"/>
    <x v="139"/>
    <s v="AA"/>
    <n v="22.667300000000001"/>
    <n v="9127.1790000000001"/>
    <n v="5617.835"/>
    <n v="208319.64"/>
    <x v="761"/>
    <n v="264226527.06"/>
    <n v="11656713.615"/>
  </r>
  <r>
    <s v="SK14"/>
    <d v="2014-05-07T00:00:00"/>
    <x v="139"/>
    <s v="AB"/>
    <n v="18.052199999999999"/>
    <n v="7424.018"/>
    <n v="2685.4810000000002"/>
    <n v="134952.31"/>
    <x v="762"/>
    <n v="11036016.609999999"/>
    <n v="611340.07700000005"/>
  </r>
  <r>
    <s v="SK14"/>
    <d v="2014-05-07T00:00:00"/>
    <x v="139"/>
    <s v="AC"/>
    <n v="18.753900000000002"/>
    <n v="57194.252"/>
    <n v="9455.3989999999994"/>
    <n v="1080079.06"/>
    <x v="763"/>
    <n v="37000514.030000001"/>
    <n v="1972949.598"/>
  </r>
  <r>
    <s v="SK14"/>
    <d v="2014-05-07T00:00:00"/>
    <x v="139"/>
    <s v="AI"/>
    <n v="17.4636"/>
    <n v="34978"/>
    <n v="0"/>
    <n v="615053.15"/>
    <x v="1"/>
    <n v="33877900.259999998"/>
    <n v="1939913.1359999999"/>
  </r>
  <r>
    <s v="SK14"/>
    <d v="2014-05-07T00:00:00"/>
    <x v="139"/>
    <s v="AUI"/>
    <n v="11.1945"/>
    <n v="1293.4739999999999"/>
    <n v="0"/>
    <n v="14580.03"/>
    <x v="1"/>
    <n v="3277808.59"/>
    <n v="292804.56400000001"/>
  </r>
  <r>
    <s v="SK14"/>
    <d v="2014-05-07T00:00:00"/>
    <x v="139"/>
    <s v="RGI"/>
    <n v="17.226500000000001"/>
    <n v="4737.6589999999997"/>
    <n v="0"/>
    <n v="82176.399999999994"/>
    <x v="1"/>
    <n v="58535317.390000001"/>
    <n v="3397982.2680000002"/>
  </r>
  <r>
    <s v="SK14"/>
    <d v="2014-05-07T00:00:00"/>
    <x v="139"/>
    <s v="U2A"/>
    <n v="17.0305"/>
    <n v="1299.777"/>
    <n v="0"/>
    <n v="22288.43"/>
    <x v="1"/>
    <n v="1124011.78"/>
    <n v="65999.755999999994"/>
  </r>
  <r>
    <s v="SK14"/>
    <d v="2014-05-08T00:00:00"/>
    <x v="140"/>
    <s v="A3"/>
    <n v="18.444400000000002"/>
    <n v="16.931999999999999"/>
    <n v="0"/>
    <n v="310.41000000000003"/>
    <x v="1"/>
    <n v="6211715.6699999999"/>
    <n v="336780.99699999997"/>
  </r>
  <r>
    <s v="SK14"/>
    <d v="2014-05-08T00:00:00"/>
    <x v="140"/>
    <s v="AA"/>
    <n v="22.806699999999999"/>
    <n v="21403.075000000001"/>
    <n v="3922.3319999999999"/>
    <n v="485149.93"/>
    <x v="764"/>
    <n v="266250306.18000001"/>
    <n v="11674194.357999999"/>
  </r>
  <r>
    <s v="SK14"/>
    <d v="2014-05-08T00:00:00"/>
    <x v="140"/>
    <s v="AB"/>
    <n v="18.154900000000001"/>
    <n v="8931.0049999999992"/>
    <n v="10036.556"/>
    <n v="161224.29"/>
    <x v="765"/>
    <n v="11078737.369999999"/>
    <n v="610234.52599999995"/>
  </r>
  <r>
    <s v="SK14"/>
    <d v="2014-05-08T00:00:00"/>
    <x v="140"/>
    <s v="AC"/>
    <n v="18.8645"/>
    <n v="1025.0899999999999"/>
    <n v="23121.599999999999"/>
    <n v="19224.43"/>
    <x v="766"/>
    <n v="36801936.810000002"/>
    <n v="1950853.088"/>
  </r>
  <r>
    <s v="SK14"/>
    <d v="2014-05-08T00:00:00"/>
    <x v="140"/>
    <s v="AGH"/>
    <n v="18.910299999999999"/>
    <n v="2"/>
    <n v="0"/>
    <n v="37.549999999999997"/>
    <x v="1"/>
    <n v="9862496.8100000005"/>
    <n v="521542.29700000002"/>
  </r>
  <r>
    <s v="SK14"/>
    <d v="2014-05-08T00:00:00"/>
    <x v="140"/>
    <s v="AI"/>
    <n v="17.5717"/>
    <n v="98849"/>
    <n v="0"/>
    <n v="1726259.4"/>
    <x v="1"/>
    <n v="35824415.780000001"/>
    <n v="2038762.1359999999"/>
  </r>
  <r>
    <s v="SK14"/>
    <d v="2014-05-08T00:00:00"/>
    <x v="140"/>
    <s v="AUI"/>
    <n v="11.258800000000001"/>
    <n v="374.64499999999998"/>
    <n v="0"/>
    <n v="4193.96"/>
    <x v="1"/>
    <n v="3300843.44"/>
    <n v="293179.20899999997"/>
  </r>
  <r>
    <s v="SK14"/>
    <d v="2014-05-08T00:00:00"/>
    <x v="140"/>
    <s v="BUI"/>
    <n v="10.912599999999999"/>
    <n v="0"/>
    <n v="2345.8020000000001"/>
    <n v="0"/>
    <x v="767"/>
    <n v="1978573.3"/>
    <n v="181311.67499999999"/>
  </r>
  <r>
    <s v="SK14"/>
    <d v="2014-05-08T00:00:00"/>
    <x v="140"/>
    <s v="RGI"/>
    <n v="17.3323"/>
    <n v="13605.894"/>
    <n v="1300"/>
    <n v="234381.01"/>
    <x v="768"/>
    <n v="59108135.810000002"/>
    <n v="3410288.162"/>
  </r>
  <r>
    <s v="SK14"/>
    <d v="2014-05-08T00:00:00"/>
    <x v="140"/>
    <s v="S4"/>
    <n v="18.508099999999999"/>
    <n v="0"/>
    <n v="610.12699999999995"/>
    <n v="0"/>
    <x v="769"/>
    <n v="1104827.01"/>
    <n v="59694.326000000001"/>
  </r>
  <r>
    <s v="SK14"/>
    <d v="2014-05-08T00:00:00"/>
    <x v="140"/>
    <s v="U2A"/>
    <n v="17.1252"/>
    <n v="1919.2059999999999"/>
    <n v="2.302"/>
    <n v="32685.03"/>
    <x v="770"/>
    <n v="1163084.01"/>
    <n v="67916.66"/>
  </r>
  <r>
    <s v="SK14"/>
    <d v="2014-05-09T00:00:00"/>
    <x v="141"/>
    <s v="AA"/>
    <n v="22.795100000000001"/>
    <n v="18565.859"/>
    <n v="28852.616999999998"/>
    <n v="423425.96"/>
    <x v="771"/>
    <n v="265880456.63"/>
    <n v="11663907.6"/>
  </r>
  <r>
    <s v="SK14"/>
    <d v="2014-05-09T00:00:00"/>
    <x v="141"/>
    <s v="AB"/>
    <n v="18.1449"/>
    <n v="1652.4459999999999"/>
    <n v="1106.27"/>
    <n v="30000"/>
    <x v="772"/>
    <n v="11082559.949999999"/>
    <n v="610780.70200000005"/>
  </r>
  <r>
    <s v="SK14"/>
    <d v="2014-05-09T00:00:00"/>
    <x v="141"/>
    <s v="AC"/>
    <n v="18.854199999999999"/>
    <n v="3937.2080000000001"/>
    <n v="7256.0870000000004"/>
    <n v="74273.440000000002"/>
    <x v="773"/>
    <n v="36719139.640000001"/>
    <n v="1947534.209"/>
  </r>
  <r>
    <s v="SK14"/>
    <d v="2014-05-09T00:00:00"/>
    <x v="141"/>
    <s v="AI"/>
    <n v="17.563099999999999"/>
    <n v="88805"/>
    <n v="22640"/>
    <n v="1560454.82"/>
    <x v="774"/>
    <n v="36969003.049999997"/>
    <n v="2104927.1359999999"/>
  </r>
  <r>
    <s v="SK14"/>
    <d v="2014-05-09T00:00:00"/>
    <x v="141"/>
    <s v="RGI"/>
    <n v="17.323799999999999"/>
    <n v="4749.5029999999997"/>
    <n v="0"/>
    <n v="82319.78"/>
    <x v="1"/>
    <n v="59161579.340000004"/>
    <n v="3415037.665"/>
  </r>
  <r>
    <s v="SK14"/>
    <d v="2014-05-09T00:00:00"/>
    <x v="141"/>
    <s v="U2A"/>
    <n v="17.116900000000001"/>
    <n v="2123.4110000000001"/>
    <n v="65.382000000000005"/>
    <n v="36363.71"/>
    <x v="775"/>
    <n v="1197748.3700000001"/>
    <n v="69974.688999999998"/>
  </r>
  <r>
    <s v="SK14"/>
    <d v="2014-05-12T00:00:00"/>
    <x v="142"/>
    <s v="AA"/>
    <n v="22.7852"/>
    <n v="5628.4740000000002"/>
    <n v="9031.2250000000004"/>
    <n v="128301.63"/>
    <x v="776"/>
    <n v="265686928.40000001"/>
    <n v="11660504.848999999"/>
  </r>
  <r>
    <s v="SK14"/>
    <d v="2014-05-12T00:00:00"/>
    <x v="142"/>
    <s v="AB"/>
    <n v="18.134799999999998"/>
    <n v="0"/>
    <n v="6652.2110000000002"/>
    <n v="0"/>
    <x v="777"/>
    <n v="10955722.439999999"/>
    <n v="604128.49100000004"/>
  </r>
  <r>
    <s v="SK14"/>
    <d v="2014-05-12T00:00:00"/>
    <x v="142"/>
    <s v="AC"/>
    <n v="18.843599999999999"/>
    <n v="5421.7860000000001"/>
    <n v="4553.9719999999998"/>
    <n v="102223.44"/>
    <x v="778"/>
    <n v="36714945.93"/>
    <n v="1948402.023"/>
  </r>
  <r>
    <s v="SK14"/>
    <d v="2014-05-12T00:00:00"/>
    <x v="142"/>
    <s v="AGH"/>
    <n v="18.6374"/>
    <n v="250.86099999999999"/>
    <n v="0"/>
    <n v="4692.17"/>
    <x v="1"/>
    <n v="9724872.3900000006"/>
    <n v="521793.158"/>
  </r>
  <r>
    <s v="SK14"/>
    <d v="2014-05-12T00:00:00"/>
    <x v="142"/>
    <s v="AI"/>
    <n v="17.5565"/>
    <n v="131968"/>
    <n v="0"/>
    <n v="2317767.1800000002"/>
    <x v="1"/>
    <n v="39272052.350000001"/>
    <n v="2236895.1359999999"/>
  </r>
  <r>
    <s v="SK14"/>
    <d v="2014-05-12T00:00:00"/>
    <x v="142"/>
    <s v="AUI"/>
    <n v="11.248200000000001"/>
    <n v="1203.954"/>
    <n v="295.88900000000001"/>
    <n v="13548.22"/>
    <x v="779"/>
    <n v="3307940.06"/>
    <n v="294087.27399999998"/>
  </r>
  <r>
    <s v="SK14"/>
    <d v="2014-05-12T00:00:00"/>
    <x v="142"/>
    <s v="RGI"/>
    <n v="17.317399999999999"/>
    <n v="12416.735000000001"/>
    <n v="0"/>
    <n v="215104.99"/>
    <x v="1"/>
    <n v="59354440.200000003"/>
    <n v="3427454.4"/>
  </r>
  <r>
    <s v="SK14"/>
    <d v="2014-05-12T00:00:00"/>
    <x v="142"/>
    <s v="U2A"/>
    <n v="17.110700000000001"/>
    <n v="2047.096"/>
    <n v="1.2929999999999999"/>
    <n v="35039.79"/>
    <x v="780"/>
    <n v="1232319.3999999999"/>
    <n v="72020.491999999998"/>
  </r>
  <r>
    <s v="SK14"/>
    <d v="2014-05-13T00:00:00"/>
    <x v="143"/>
    <s v="A3"/>
    <n v="18.5901"/>
    <n v="22.396999999999998"/>
    <n v="0"/>
    <n v="412.71"/>
    <x v="1"/>
    <n v="6261193.3300000001"/>
    <n v="336803.39399999997"/>
  </r>
  <r>
    <s v="SK14"/>
    <d v="2014-05-13T00:00:00"/>
    <x v="143"/>
    <s v="AA"/>
    <n v="22.986899999999999"/>
    <n v="53879.582999999999"/>
    <n v="113414.36500000001"/>
    <n v="1227657.06"/>
    <x v="781"/>
    <n v="266670004.94"/>
    <n v="11600970.067"/>
  </r>
  <r>
    <s v="SK14"/>
    <d v="2014-05-13T00:00:00"/>
    <x v="143"/>
    <s v="AB"/>
    <n v="18.294499999999999"/>
    <n v="0"/>
    <n v="10295.123"/>
    <n v="0"/>
    <x v="782"/>
    <n v="10863896.49"/>
    <n v="593833.36800000002"/>
  </r>
  <r>
    <s v="SK14"/>
    <d v="2014-05-13T00:00:00"/>
    <x v="143"/>
    <s v="AC"/>
    <n v="19.009599999999999"/>
    <n v="12906.91"/>
    <n v="5.1369999999999996"/>
    <n v="243212.69"/>
    <x v="783"/>
    <n v="37283658.799999997"/>
    <n v="1961303.7960000001"/>
  </r>
  <r>
    <s v="SK14"/>
    <d v="2014-05-13T00:00:00"/>
    <x v="143"/>
    <s v="AI"/>
    <n v="17.712299999999999"/>
    <n v="185421"/>
    <n v="0"/>
    <n v="3255343.79"/>
    <x v="1"/>
    <n v="42904679.960000001"/>
    <n v="2422316.1359999999"/>
  </r>
  <r>
    <s v="SK14"/>
    <d v="2014-05-13T00:00:00"/>
    <x v="143"/>
    <s v="AUI"/>
    <n v="11.3477"/>
    <n v="14194.736000000001"/>
    <n v="4272.3890000000001"/>
    <n v="159665.23000000001"/>
    <x v="784"/>
    <n v="3449815"/>
    <n v="304009.62099999998"/>
  </r>
  <r>
    <s v="SK14"/>
    <d v="2014-05-13T00:00:00"/>
    <x v="143"/>
    <s v="RGI"/>
    <n v="17.471"/>
    <n v="6014.8249999999998"/>
    <n v="2450"/>
    <n v="104160.67"/>
    <x v="785"/>
    <n v="59943286.840000004"/>
    <n v="3431019.2250000001"/>
  </r>
  <r>
    <s v="SK14"/>
    <d v="2014-05-13T00:00:00"/>
    <x v="143"/>
    <s v="S4"/>
    <n v="18.6555"/>
    <n v="13.31"/>
    <n v="7.681"/>
    <n v="246.13"/>
    <x v="786"/>
    <n v="1113734.28"/>
    <n v="59699.955000000002"/>
  </r>
  <r>
    <s v="SK14"/>
    <d v="2014-05-13T00:00:00"/>
    <x v="143"/>
    <s v="U2A"/>
    <n v="17.262499999999999"/>
    <n v="2879.8780000000002"/>
    <n v="39.767000000000003"/>
    <n v="49276.87"/>
    <x v="787"/>
    <n v="1292284.8"/>
    <n v="74860.603000000003"/>
  </r>
  <r>
    <s v="SK14"/>
    <d v="2014-05-14T00:00:00"/>
    <x v="144"/>
    <s v="AA"/>
    <n v="22.993200000000002"/>
    <n v="5413.7690000000002"/>
    <n v="9198.0849999999991"/>
    <n v="124445.75999999999"/>
    <x v="788"/>
    <n v="266655943.53999999"/>
    <n v="11597185.751"/>
  </r>
  <r>
    <s v="SK14"/>
    <d v="2014-05-14T00:00:00"/>
    <x v="144"/>
    <s v="AB"/>
    <n v="18.2988"/>
    <n v="0"/>
    <n v="1739.328"/>
    <n v="0"/>
    <x v="789"/>
    <n v="10834594.52"/>
    <n v="592094.04"/>
  </r>
  <r>
    <s v="SK14"/>
    <d v="2014-05-14T00:00:00"/>
    <x v="144"/>
    <s v="AC"/>
    <n v="19.013999999999999"/>
    <n v="10057.26"/>
    <n v="2742.1790000000001"/>
    <n v="191184.48"/>
    <x v="790"/>
    <n v="37431415.229999997"/>
    <n v="1968618.8770000001"/>
  </r>
  <r>
    <s v="SK14"/>
    <d v="2014-05-14T00:00:00"/>
    <x v="144"/>
    <s v="AI"/>
    <n v="17.717500000000001"/>
    <n v="95408"/>
    <n v="0"/>
    <n v="1689895.12"/>
    <x v="1"/>
    <n v="44607691"/>
    <n v="2517724.1359999999"/>
  </r>
  <r>
    <s v="SK14"/>
    <d v="2014-05-14T00:00:00"/>
    <x v="144"/>
    <s v="AUI"/>
    <n v="11.3508"/>
    <n v="2461.3919999999998"/>
    <n v="0"/>
    <n v="27931.14"/>
    <x v="1"/>
    <n v="3478697.52"/>
    <n v="306471.01299999998"/>
  </r>
  <r>
    <s v="SK14"/>
    <d v="2014-05-14T00:00:00"/>
    <x v="144"/>
    <s v="RGI"/>
    <n v="17.476099999999999"/>
    <n v="97221.520999999993"/>
    <n v="2088.402"/>
    <n v="1698553"/>
    <x v="791"/>
    <n v="61623472.509999998"/>
    <n v="3526152.344"/>
  </r>
  <r>
    <s v="SK14"/>
    <d v="2014-05-14T00:00:00"/>
    <x v="144"/>
    <s v="U2A"/>
    <n v="17.267700000000001"/>
    <n v="1990.027"/>
    <n v="87.561999999999998"/>
    <n v="34352.980000000003"/>
    <x v="792"/>
    <n v="1325521.3899999999"/>
    <n v="76763.067999999999"/>
  </r>
  <r>
    <s v="SK14"/>
    <d v="2014-05-15T00:00:00"/>
    <x v="145"/>
    <s v="AA"/>
    <n v="22.872800000000002"/>
    <n v="10256.396000000001"/>
    <n v="26418.876"/>
    <n v="235827.39"/>
    <x v="793"/>
    <n v="264890021.44"/>
    <n v="11581023.271"/>
  </r>
  <r>
    <s v="SK14"/>
    <d v="2014-05-15T00:00:00"/>
    <x v="145"/>
    <s v="AB"/>
    <n v="18.202200000000001"/>
    <n v="0"/>
    <n v="6594.893"/>
    <n v="0"/>
    <x v="794"/>
    <n v="10657376.300000001"/>
    <n v="585499.147"/>
  </r>
  <r>
    <s v="SK14"/>
    <d v="2014-05-15T00:00:00"/>
    <x v="145"/>
    <s v="AC"/>
    <n v="18.913699999999999"/>
    <n v="42642.19"/>
    <n v="7017.9560000000001"/>
    <n v="810798.62"/>
    <x v="795"/>
    <n v="37907666.409999996"/>
    <n v="2004243.111"/>
  </r>
  <r>
    <s v="SK14"/>
    <d v="2014-05-15T00:00:00"/>
    <x v="145"/>
    <s v="AI"/>
    <n v="17.6251"/>
    <n v="315098"/>
    <n v="5660"/>
    <n v="5582748.8200000003"/>
    <x v="796"/>
    <n v="49828910.219999999"/>
    <n v="2827162.1359999999"/>
  </r>
  <r>
    <s v="SK14"/>
    <d v="2014-05-15T00:00:00"/>
    <x v="145"/>
    <s v="AUI"/>
    <n v="11.291399999999999"/>
    <n v="1692.0509999999999"/>
    <n v="201.898"/>
    <n v="19206.13"/>
    <x v="797"/>
    <n v="3477308.52"/>
    <n v="307961.16600000003"/>
  </r>
  <r>
    <s v="SK14"/>
    <d v="2014-05-15T00:00:00"/>
    <x v="145"/>
    <s v="RGI"/>
    <n v="17.385000000000002"/>
    <n v="24709.705000000002"/>
    <n v="1185.403"/>
    <n v="431829.02"/>
    <x v="798"/>
    <n v="61711039.810000002"/>
    <n v="3549676.6460000002"/>
  </r>
  <r>
    <s v="SK14"/>
    <d v="2014-05-15T00:00:00"/>
    <x v="145"/>
    <s v="S4"/>
    <n v="18.563400000000001"/>
    <n v="0"/>
    <n v="840.89"/>
    <n v="0"/>
    <x v="799"/>
    <n v="1092626.3899999999"/>
    <n v="58859.065000000002"/>
  </r>
  <r>
    <s v="SK14"/>
    <d v="2014-05-15T00:00:00"/>
    <x v="145"/>
    <s v="U2A"/>
    <n v="17.177700000000002"/>
    <n v="1440.758"/>
    <n v="5.7720000000000002"/>
    <n v="24878.7"/>
    <x v="800"/>
    <n v="1343263.37"/>
    <n v="78198.054000000004"/>
  </r>
  <r>
    <s v="SK14"/>
    <d v="2014-05-16T00:00:00"/>
    <x v="146"/>
    <s v="AA"/>
    <n v="22.674099999999999"/>
    <n v="3828.3510000000001"/>
    <n v="4505.567"/>
    <n v="87565.11"/>
    <x v="801"/>
    <n v="262573848.72"/>
    <n v="11580346.055"/>
  </r>
  <r>
    <s v="SK14"/>
    <d v="2014-05-16T00:00:00"/>
    <x v="146"/>
    <s v="AB"/>
    <n v="18.043399999999998"/>
    <n v="4752.1729999999998"/>
    <n v="19618.767"/>
    <n v="86500"/>
    <x v="802"/>
    <n v="10296125.9"/>
    <n v="570632.55299999996"/>
  </r>
  <r>
    <s v="SK14"/>
    <d v="2014-05-16T00:00:00"/>
    <x v="146"/>
    <s v="AC"/>
    <n v="18.7486"/>
    <n v="1781.5139999999999"/>
    <n v="55.64"/>
    <n v="33695.019999999997"/>
    <x v="803"/>
    <n v="37609202.840000004"/>
    <n v="2005968.9850000001"/>
  </r>
  <r>
    <s v="SK14"/>
    <d v="2014-05-16T00:00:00"/>
    <x v="146"/>
    <s v="AI"/>
    <n v="17.472300000000001"/>
    <n v="0"/>
    <n v="93721"/>
    <n v="0"/>
    <x v="804"/>
    <n v="47759595.32"/>
    <n v="2733441.1359999999"/>
  </r>
  <r>
    <s v="SK14"/>
    <d v="2014-05-16T00:00:00"/>
    <x v="146"/>
    <s v="AUI"/>
    <n v="11.193300000000001"/>
    <n v="2703.4490000000001"/>
    <n v="10467.092000000001"/>
    <n v="30525.72"/>
    <x v="805"/>
    <n v="3360203.86"/>
    <n v="300197.52299999999"/>
  </r>
  <r>
    <s v="SK14"/>
    <d v="2014-05-16T00:00:00"/>
    <x v="146"/>
    <s v="BUI"/>
    <n v="10.845499999999999"/>
    <n v="0"/>
    <n v="1733.0519999999999"/>
    <n v="0"/>
    <x v="806"/>
    <n v="1947622.83"/>
    <n v="179578.62299999999"/>
  </r>
  <r>
    <s v="SK14"/>
    <d v="2014-05-16T00:00:00"/>
    <x v="146"/>
    <s v="C1M"/>
    <n v="11.0158"/>
    <n v="204.55799999999999"/>
    <n v="0"/>
    <n v="2273.21"/>
    <x v="1"/>
    <n v="491313.14"/>
    <n v="44600.694000000003"/>
  </r>
  <r>
    <s v="SK14"/>
    <d v="2014-05-16T00:00:00"/>
    <x v="146"/>
    <s v="RGI"/>
    <n v="17.234300000000001"/>
    <n v="46255.370999999999"/>
    <n v="0"/>
    <n v="804146.84"/>
    <x v="1"/>
    <n v="61973468.390000001"/>
    <n v="3595932.017"/>
  </r>
  <r>
    <s v="SK14"/>
    <d v="2014-05-16T00:00:00"/>
    <x v="146"/>
    <s v="U2A"/>
    <n v="17.0289"/>
    <n v="1744.9659999999999"/>
    <n v="86.513000000000005"/>
    <n v="29974.51"/>
    <x v="807"/>
    <n v="1359870.65"/>
    <n v="79856.506999999998"/>
  </r>
  <r>
    <s v="SK14"/>
    <d v="2014-05-19T00:00:00"/>
    <x v="147"/>
    <s v="A3"/>
    <n v="18.3584"/>
    <n v="22.402000000000001"/>
    <n v="0"/>
    <n v="410.79"/>
    <x v="1"/>
    <n v="6183589.2599999998"/>
    <n v="336825.79599999997"/>
  </r>
  <r>
    <s v="SK14"/>
    <d v="2014-05-19T00:00:00"/>
    <x v="147"/>
    <s v="AA"/>
    <n v="22.700500000000002"/>
    <n v="2494.8110000000001"/>
    <n v="164706.054"/>
    <n v="56567.59"/>
    <x v="808"/>
    <n v="259196814.53999999"/>
    <n v="11418134.812000001"/>
  </r>
  <r>
    <s v="SK14"/>
    <d v="2014-05-19T00:00:00"/>
    <x v="147"/>
    <s v="AB"/>
    <n v="18.062100000000001"/>
    <n v="0"/>
    <n v="12029.272999999999"/>
    <n v="0"/>
    <x v="809"/>
    <n v="10089550.960000001"/>
    <n v="558603.28"/>
  </r>
  <r>
    <s v="SK14"/>
    <d v="2014-05-19T00:00:00"/>
    <x v="147"/>
    <s v="AC"/>
    <n v="18.7681"/>
    <n v="9385.3690000000006"/>
    <n v="17944.277999999998"/>
    <n v="175962.54"/>
    <x v="810"/>
    <n v="37487651.520000003"/>
    <n v="1997410.0759999999"/>
  </r>
  <r>
    <s v="SK14"/>
    <d v="2014-05-19T00:00:00"/>
    <x v="147"/>
    <s v="AGH"/>
    <n v="18.513300000000001"/>
    <n v="0"/>
    <n v="2362.44"/>
    <n v="0"/>
    <x v="811"/>
    <n v="9616381.3699999992"/>
    <n v="519430.71799999999"/>
  </r>
  <r>
    <s v="SK14"/>
    <d v="2014-05-19T00:00:00"/>
    <x v="147"/>
    <s v="AI"/>
    <n v="17.4937"/>
    <n v="0"/>
    <n v="268786"/>
    <n v="0"/>
    <x v="812"/>
    <n v="43116000.25"/>
    <n v="2464655.1359999999"/>
  </r>
  <r>
    <s v="SK14"/>
    <d v="2014-05-19T00:00:00"/>
    <x v="147"/>
    <s v="AUI"/>
    <n v="11.206300000000001"/>
    <n v="4240.3649999999998"/>
    <n v="0"/>
    <n v="47463.68"/>
    <x v="1"/>
    <n v="3411628.89"/>
    <n v="304437.88799999998"/>
  </r>
  <r>
    <s v="SK14"/>
    <d v="2014-05-19T00:00:00"/>
    <x v="147"/>
    <s v="RGI"/>
    <n v="17.255400000000002"/>
    <n v="3934.6590000000001"/>
    <n v="0"/>
    <n v="67810.84"/>
    <x v="1"/>
    <n v="62117225.090000004"/>
    <n v="3599866.676"/>
  </r>
  <r>
    <s v="SK14"/>
    <d v="2014-05-19T00:00:00"/>
    <x v="147"/>
    <s v="S4"/>
    <n v="18.424600000000002"/>
    <n v="0"/>
    <n v="22.236999999999998"/>
    <n v="0"/>
    <x v="813"/>
    <n v="1084044.81"/>
    <n v="58836.828000000001"/>
  </r>
  <r>
    <s v="SK14"/>
    <d v="2014-05-19T00:00:00"/>
    <x v="147"/>
    <s v="U2A"/>
    <n v="17.05"/>
    <n v="1403.8440000000001"/>
    <n v="34.927999999999997"/>
    <n v="23906"/>
    <x v="814"/>
    <n v="1384892.09"/>
    <n v="81225.422999999995"/>
  </r>
  <r>
    <s v="SK14"/>
    <d v="2014-05-20T00:00:00"/>
    <x v="148"/>
    <s v="A3"/>
    <n v="18.428799999999999"/>
    <n v="0"/>
    <n v="1344.729"/>
    <n v="0"/>
    <x v="815"/>
    <n v="6182497.9900000002"/>
    <n v="335481.06699999998"/>
  </r>
  <r>
    <s v="SK14"/>
    <d v="2014-05-20T00:00:00"/>
    <x v="148"/>
    <s v="AA"/>
    <n v="22.787400000000002"/>
    <n v="32325.47"/>
    <n v="90573.312000000005"/>
    <n v="733804.37"/>
    <x v="816"/>
    <n v="258862517.84"/>
    <n v="11359886.970000001"/>
  </r>
  <r>
    <s v="SK14"/>
    <d v="2014-05-20T00:00:00"/>
    <x v="148"/>
    <s v="AB"/>
    <n v="18.130600000000001"/>
    <n v="0"/>
    <n v="5428.2420000000002"/>
    <n v="0"/>
    <x v="817"/>
    <n v="10029373.939999999"/>
    <n v="553175.03799999994"/>
  </r>
  <r>
    <s v="SK14"/>
    <d v="2014-05-20T00:00:00"/>
    <x v="148"/>
    <s v="AC"/>
    <n v="18.839300000000001"/>
    <n v="762.96199999999999"/>
    <n v="8448.3140000000003"/>
    <n v="14319.34"/>
    <x v="818"/>
    <n v="37484945.950000003"/>
    <n v="1989724.7239999999"/>
  </r>
  <r>
    <s v="SK14"/>
    <d v="2014-05-20T00:00:00"/>
    <x v="148"/>
    <s v="AGH"/>
    <n v="18.5611"/>
    <n v="0"/>
    <n v="9910"/>
    <n v="0"/>
    <x v="819"/>
    <n v="9457272.1099999994"/>
    <n v="509520.71799999999"/>
  </r>
  <r>
    <s v="SK14"/>
    <d v="2014-05-20T00:00:00"/>
    <x v="148"/>
    <s v="AI"/>
    <n v="17.5611"/>
    <n v="0"/>
    <n v="561076"/>
    <n v="0"/>
    <x v="820"/>
    <n v="33428969.59"/>
    <n v="1903579.1359999999"/>
  </r>
  <r>
    <s v="SK14"/>
    <d v="2014-05-20T00:00:00"/>
    <x v="148"/>
    <s v="AUI"/>
    <n v="11.2493"/>
    <n v="2587.83"/>
    <n v="0"/>
    <n v="29000"/>
    <x v="1"/>
    <n v="3453810.49"/>
    <n v="307025.71799999999"/>
  </r>
  <r>
    <s v="SK14"/>
    <d v="2014-05-20T00:00:00"/>
    <x v="148"/>
    <s v="RGI"/>
    <n v="17.321899999999999"/>
    <n v="1870.998"/>
    <n v="133740"/>
    <n v="32284.95"/>
    <x v="821"/>
    <n v="60072257.560000002"/>
    <n v="3467997.6740000001"/>
  </r>
  <r>
    <s v="SK14"/>
    <d v="2014-05-20T00:00:00"/>
    <x v="148"/>
    <s v="S4"/>
    <n v="18.4954"/>
    <n v="595.81299999999999"/>
    <n v="9.1929999999999996"/>
    <n v="10977.6"/>
    <x v="822"/>
    <n v="1099062.6200000001"/>
    <n v="59423.447999999997"/>
  </r>
  <r>
    <s v="SK14"/>
    <d v="2014-05-20T00:00:00"/>
    <x v="148"/>
    <s v="U2A"/>
    <n v="17.1157"/>
    <n v="9349.4650000000001"/>
    <n v="16.096"/>
    <n v="159407.70000000001"/>
    <x v="823"/>
    <n v="1549978.83"/>
    <n v="90558.792000000001"/>
  </r>
  <r>
    <s v="SK14"/>
    <d v="2014-05-21T00:00:00"/>
    <x v="149"/>
    <s v="A3"/>
    <n v="18.275600000000001"/>
    <n v="0"/>
    <n v="368.40100000000001"/>
    <n v="0"/>
    <x v="824"/>
    <n v="6124368.6100000003"/>
    <n v="335112.66600000003"/>
  </r>
  <r>
    <s v="SK14"/>
    <d v="2014-05-21T00:00:00"/>
    <x v="149"/>
    <s v="AA"/>
    <n v="22.597999999999999"/>
    <n v="11085.33"/>
    <n v="8517.4969999999994"/>
    <n v="252605.85"/>
    <x v="825"/>
    <n v="256768556.94"/>
    <n v="11362454.802999999"/>
  </r>
  <r>
    <s v="SK14"/>
    <d v="2014-05-21T00:00:00"/>
    <x v="149"/>
    <s v="AB"/>
    <n v="17.979099999999999"/>
    <n v="0"/>
    <n v="2490.8290000000002"/>
    <n v="0"/>
    <x v="826"/>
    <n v="9900802.1600000001"/>
    <n v="550684.20900000003"/>
  </r>
  <r>
    <s v="SK14"/>
    <d v="2014-05-21T00:00:00"/>
    <x v="149"/>
    <s v="AC"/>
    <n v="18.681899999999999"/>
    <n v="2913.6790000000001"/>
    <n v="10684.817999999999"/>
    <n v="54891.67"/>
    <x v="827"/>
    <n v="37026604.039999999"/>
    <n v="1981953.585"/>
  </r>
  <r>
    <s v="SK14"/>
    <d v="2014-05-21T00:00:00"/>
    <x v="149"/>
    <s v="AUI"/>
    <n v="11.1557"/>
    <n v="14.738"/>
    <n v="0"/>
    <n v="165.79"/>
    <x v="1"/>
    <n v="3425262.51"/>
    <n v="307040.45600000001"/>
  </r>
  <r>
    <s v="SK14"/>
    <d v="2014-05-21T00:00:00"/>
    <x v="149"/>
    <s v="BUI"/>
    <n v="10.806900000000001"/>
    <n v="0"/>
    <n v="668.71699999999998"/>
    <n v="0"/>
    <x v="828"/>
    <n v="1933459.58"/>
    <n v="178909.90599999999"/>
  </r>
  <r>
    <s v="SK14"/>
    <d v="2014-05-21T00:00:00"/>
    <x v="149"/>
    <s v="RGI"/>
    <n v="17.1782"/>
    <n v="11624.289000000001"/>
    <n v="1202.27"/>
    <n v="201354.57"/>
    <x v="829"/>
    <n v="59753128.210000001"/>
    <n v="3478419.693"/>
  </r>
  <r>
    <s v="SK14"/>
    <d v="2014-05-21T00:00:00"/>
    <x v="149"/>
    <s v="S4"/>
    <n v="18.341899999999999"/>
    <n v="18.18"/>
    <n v="8.9480000000000004"/>
    <n v="336.25"/>
    <x v="830"/>
    <n v="1090110.25"/>
    <n v="59432.68"/>
  </r>
  <r>
    <s v="SK14"/>
    <d v="2014-05-21T00:00:00"/>
    <x v="149"/>
    <s v="U2A"/>
    <n v="16.9739"/>
    <n v="1934.472"/>
    <n v="102.127"/>
    <n v="33109.949999999997"/>
    <x v="831"/>
    <n v="1568233.71"/>
    <n v="92391.137000000002"/>
  </r>
  <r>
    <s v="SK14"/>
    <d v="2014-05-22T00:00:00"/>
    <x v="150"/>
    <s v="AA"/>
    <n v="22.781700000000001"/>
    <n v="43240.281000000003"/>
    <n v="18845.878000000001"/>
    <n v="977143.86"/>
    <x v="832"/>
    <n v="259411535.75999999"/>
    <n v="11386849.206"/>
  </r>
  <r>
    <s v="SK14"/>
    <d v="2014-05-22T00:00:00"/>
    <x v="150"/>
    <s v="AB"/>
    <n v="18.124500000000001"/>
    <n v="0"/>
    <n v="3449.9960000000001"/>
    <n v="0"/>
    <x v="833"/>
    <n v="9918347.9199999999"/>
    <n v="547234.21299999999"/>
  </r>
  <r>
    <s v="SK14"/>
    <d v="2014-05-22T00:00:00"/>
    <x v="150"/>
    <s v="AC"/>
    <n v="18.832999999999998"/>
    <n v="669.09699999999998"/>
    <n v="2232.7820000000002"/>
    <n v="12500"/>
    <x v="834"/>
    <n v="37296617.229999997"/>
    <n v="1980389.9"/>
  </r>
  <r>
    <s v="SK14"/>
    <d v="2014-05-22T00:00:00"/>
    <x v="150"/>
    <s v="AI"/>
    <n v="17.557400000000001"/>
    <n v="695521"/>
    <n v="108751"/>
    <n v="12112845.98"/>
    <x v="835"/>
    <n v="43724090.710000001"/>
    <n v="2490349.1359999999"/>
  </r>
  <r>
    <s v="SK14"/>
    <d v="2014-05-22T00:00:00"/>
    <x v="150"/>
    <s v="AUI"/>
    <n v="11.2464"/>
    <n v="520.04200000000003"/>
    <n v="0"/>
    <n v="5801.43"/>
    <x v="1"/>
    <n v="3458954.56"/>
    <n v="307560.49800000002"/>
  </r>
  <r>
    <s v="SK14"/>
    <d v="2014-05-22T00:00:00"/>
    <x v="150"/>
    <s v="RGI"/>
    <n v="17.318200000000001"/>
    <n v="10865.806"/>
    <n v="2431.7139999999999"/>
    <n v="186654.42"/>
    <x v="836"/>
    <n v="60386142.969999999"/>
    <n v="3486853.7850000001"/>
  </r>
  <r>
    <s v="SK14"/>
    <d v="2014-05-22T00:00:00"/>
    <x v="150"/>
    <s v="U2A"/>
    <n v="17.112300000000001"/>
    <n v="3113.6709999999998"/>
    <n v="0"/>
    <n v="52851.25"/>
    <x v="1"/>
    <n v="1634302.49"/>
    <n v="95504.808000000005"/>
  </r>
  <r>
    <s v="SK14"/>
    <d v="2014-05-23T00:00:00"/>
    <x v="151"/>
    <s v="AA"/>
    <n v="22.832699999999999"/>
    <n v="8135.62"/>
    <n v="20885.530999999999"/>
    <n v="185343.26"/>
    <x v="837"/>
    <n v="259700893.30000001"/>
    <n v="11374099.295"/>
  </r>
  <r>
    <s v="SK14"/>
    <d v="2014-05-23T00:00:00"/>
    <x v="151"/>
    <s v="AB"/>
    <n v="18.164300000000001"/>
    <n v="6256.6559999999999"/>
    <n v="455.05399999999997"/>
    <n v="113398.77"/>
    <x v="838"/>
    <n v="10045516.210000001"/>
    <n v="553035.81499999994"/>
  </r>
  <r>
    <s v="SK14"/>
    <d v="2014-05-23T00:00:00"/>
    <x v="151"/>
    <s v="AC"/>
    <n v="18.874300000000002"/>
    <n v="17578"/>
    <n v="38594.258999999998"/>
    <n v="331046.45"/>
    <x v="839"/>
    <n v="36981872.640000001"/>
    <n v="1959373.6410000001"/>
  </r>
  <r>
    <s v="SK14"/>
    <d v="2014-05-23T00:00:00"/>
    <x v="151"/>
    <s v="AUI"/>
    <n v="11.271599999999999"/>
    <n v="103.084"/>
    <n v="0"/>
    <n v="1159.32"/>
    <x v="1"/>
    <n v="3467856.41"/>
    <n v="307663.58199999999"/>
  </r>
  <r>
    <s v="SK14"/>
    <d v="2014-05-23T00:00:00"/>
    <x v="151"/>
    <s v="RGI"/>
    <n v="17.357299999999999"/>
    <n v="17739.252"/>
    <n v="0"/>
    <n v="307211.51"/>
    <x v="1"/>
    <n v="60830412.049999997"/>
    <n v="3504593.037"/>
  </r>
  <r>
    <s v="SK14"/>
    <d v="2014-05-23T00:00:00"/>
    <x v="151"/>
    <s v="S4"/>
    <n v="18.532900000000001"/>
    <n v="0"/>
    <n v="16.548999999999999"/>
    <n v="0"/>
    <x v="840"/>
    <n v="1101154.03"/>
    <n v="59416.131000000001"/>
  </r>
  <r>
    <s v="SK14"/>
    <d v="2014-05-23T00:00:00"/>
    <x v="151"/>
    <s v="U2A"/>
    <n v="17.151"/>
    <n v="1390.704"/>
    <n v="12.9"/>
    <n v="23798.06"/>
    <x v="841"/>
    <n v="1661630.44"/>
    <n v="96882.611999999994"/>
  </r>
  <r>
    <s v="SK14"/>
    <d v="2014-05-27T00:00:00"/>
    <x v="152"/>
    <s v="AA"/>
    <n v="22.8813"/>
    <n v="11539.343000000001"/>
    <n v="3391.107"/>
    <n v="263474.34000000003"/>
    <x v="842"/>
    <n v="260440869.30000001"/>
    <n v="11382247.530999999"/>
  </r>
  <r>
    <s v="SK14"/>
    <d v="2014-05-27T00:00:00"/>
    <x v="152"/>
    <s v="AC"/>
    <n v="18.9115"/>
    <n v="11130.592000000001"/>
    <n v="10813.843999999999"/>
    <n v="210082.15"/>
    <x v="843"/>
    <n v="37060607.719999999"/>
    <n v="1959690.389"/>
  </r>
  <r>
    <s v="SK14"/>
    <d v="2014-05-27T00:00:00"/>
    <x v="152"/>
    <s v="AGH"/>
    <n v="18.5672"/>
    <n v="0"/>
    <n v="2030"/>
    <n v="0"/>
    <x v="844"/>
    <n v="9422674.6300000008"/>
    <n v="507490.71799999999"/>
  </r>
  <r>
    <s v="SK14"/>
    <d v="2014-05-27T00:00:00"/>
    <x v="152"/>
    <s v="AUI"/>
    <n v="11.2956"/>
    <n v="8.8550000000000004"/>
    <n v="0"/>
    <n v="99.81"/>
    <x v="1"/>
    <n v="3475347.89"/>
    <n v="307672.43699999998"/>
  </r>
  <r>
    <s v="SK14"/>
    <d v="2014-05-27T00:00:00"/>
    <x v="152"/>
    <s v="RGI"/>
    <n v="17.395800000000001"/>
    <n v="12169.993"/>
    <n v="575"/>
    <n v="211237.65"/>
    <x v="845"/>
    <n v="61166770.060000002"/>
    <n v="3516188.03"/>
  </r>
  <r>
    <s v="SK14"/>
    <d v="2014-05-27T00:00:00"/>
    <x v="152"/>
    <s v="U2A"/>
    <n v="17.1892"/>
    <n v="2282.5129999999999"/>
    <n v="252.24299999999999"/>
    <n v="39147.4"/>
    <x v="846"/>
    <n v="1700234.79"/>
    <n v="98912.881999999998"/>
  </r>
  <r>
    <s v="SK14"/>
    <d v="2014-05-28T00:00:00"/>
    <x v="153"/>
    <s v="A3"/>
    <n v="18.599900000000002"/>
    <n v="0"/>
    <n v="839.45500000000004"/>
    <n v="0"/>
    <x v="847"/>
    <n v="6217457.7300000004"/>
    <n v="334273.21100000001"/>
  </r>
  <r>
    <s v="SK14"/>
    <d v="2014-05-28T00:00:00"/>
    <x v="153"/>
    <s v="AA"/>
    <n v="22.999099999999999"/>
    <n v="203449.28"/>
    <n v="3720.7150000000001"/>
    <n v="4655183.99"/>
    <x v="848"/>
    <n v="266374788.56999999"/>
    <n v="11581976.096000001"/>
  </r>
  <r>
    <s v="SK14"/>
    <d v="2014-05-28T00:00:00"/>
    <x v="153"/>
    <s v="AB"/>
    <n v="18.292999999999999"/>
    <n v="16858.433000000001"/>
    <n v="2860.7420000000002"/>
    <n v="306823.46000000002"/>
    <x v="849"/>
    <n v="10372721.74"/>
    <n v="567033.50600000005"/>
  </r>
  <r>
    <s v="SK14"/>
    <d v="2014-05-28T00:00:00"/>
    <x v="153"/>
    <s v="AC"/>
    <n v="19.007999999999999"/>
    <n v="12945.974"/>
    <n v="11712.050999999999"/>
    <n v="244827.81"/>
    <x v="850"/>
    <n v="37273270.399999999"/>
    <n v="1960924.3119999999"/>
  </r>
  <r>
    <s v="SK14"/>
    <d v="2014-05-28T00:00:00"/>
    <x v="153"/>
    <s v="AGH"/>
    <n v="18.625"/>
    <n v="14750"/>
    <n v="12516.261"/>
    <n v="273865.57"/>
    <x v="851"/>
    <n v="9493599.4900000002"/>
    <n v="509724.45699999999"/>
  </r>
  <r>
    <s v="SK14"/>
    <d v="2014-05-28T00:00:00"/>
    <x v="153"/>
    <s v="AI"/>
    <n v="17.7271"/>
    <n v="203535"/>
    <n v="120622"/>
    <n v="3589543.26"/>
    <x v="852"/>
    <n v="45616578.920000002"/>
    <n v="2573262.1359999999"/>
  </r>
  <r>
    <s v="SK14"/>
    <d v="2014-05-28T00:00:00"/>
    <x v="153"/>
    <s v="AUI"/>
    <n v="11.3537"/>
    <n v="1191.4570000000001"/>
    <n v="2869.518"/>
    <n v="13458.22"/>
    <x v="853"/>
    <n v="3474181.41"/>
    <n v="305994.37599999999"/>
  </r>
  <r>
    <s v="SK14"/>
    <d v="2014-05-28T00:00:00"/>
    <x v="153"/>
    <s v="RGI"/>
    <n v="17.485600000000002"/>
    <n v="4625.5010000000002"/>
    <n v="0"/>
    <n v="80464.41"/>
    <x v="1"/>
    <n v="61563699.850000001"/>
    <n v="3520813.531"/>
  </r>
  <r>
    <s v="SK14"/>
    <d v="2014-05-28T00:00:00"/>
    <x v="153"/>
    <s v="U2A"/>
    <n v="17.278099999999998"/>
    <n v="3002.8240000000001"/>
    <n v="32.04"/>
    <n v="51616.26"/>
    <x v="854"/>
    <n v="1760356.51"/>
    <n v="101883.666"/>
  </r>
  <r>
    <s v="SK14"/>
    <d v="2014-05-29T00:00:00"/>
    <x v="154"/>
    <s v="A3"/>
    <n v="18.6066"/>
    <n v="0"/>
    <n v="219.68700000000001"/>
    <n v="0"/>
    <x v="855"/>
    <n v="6215601.4299999997"/>
    <n v="334053.52399999998"/>
  </r>
  <r>
    <s v="SK14"/>
    <d v="2014-05-29T00:00:00"/>
    <x v="154"/>
    <s v="AA"/>
    <n v="23.007300000000001"/>
    <n v="19895.491000000002"/>
    <n v="40915.582000000002"/>
    <n v="457578.39"/>
    <x v="856"/>
    <n v="265986768.03"/>
    <n v="11560956.005000001"/>
  </r>
  <r>
    <s v="SK14"/>
    <d v="2014-05-29T00:00:00"/>
    <x v="154"/>
    <s v="AB"/>
    <n v="18.2988"/>
    <n v="0"/>
    <n v="2210.4560000000001"/>
    <n v="0"/>
    <x v="857"/>
    <n v="10335569.310000001"/>
    <n v="564823.05000000005"/>
  </r>
  <r>
    <s v="SK14"/>
    <d v="2014-05-29T00:00:00"/>
    <x v="154"/>
    <s v="AC"/>
    <n v="19.014099999999999"/>
    <n v="659.60199999999998"/>
    <n v="9381.6779999999999"/>
    <n v="12537.69"/>
    <x v="858"/>
    <n v="37119273.280000001"/>
    <n v="1952202.236"/>
  </r>
  <r>
    <s v="SK14"/>
    <d v="2014-05-29T00:00:00"/>
    <x v="154"/>
    <s v="AI"/>
    <n v="17.733899999999998"/>
    <n v="37874"/>
    <n v="0"/>
    <n v="671396.19"/>
    <x v="1"/>
    <n v="46305538"/>
    <n v="2611136.1359999999"/>
  </r>
  <r>
    <s v="SK14"/>
    <d v="2014-05-29T00:00:00"/>
    <x v="154"/>
    <s v="AUI"/>
    <n v="11.357799999999999"/>
    <n v="78.914000000000001"/>
    <n v="0"/>
    <n v="895.97"/>
    <x v="1"/>
    <n v="3476324.53"/>
    <n v="306073.28999999998"/>
  </r>
  <r>
    <s v="SK14"/>
    <d v="2014-05-29T00:00:00"/>
    <x v="154"/>
    <s v="BUI"/>
    <n v="10.999000000000001"/>
    <n v="0"/>
    <n v="786.21100000000001"/>
    <n v="0"/>
    <x v="859"/>
    <n v="1959190.52"/>
    <n v="178123.69500000001"/>
  </r>
  <r>
    <s v="SK14"/>
    <d v="2014-05-29T00:00:00"/>
    <x v="154"/>
    <s v="RGI"/>
    <n v="17.4923"/>
    <n v="12720.972"/>
    <n v="0"/>
    <n v="222433.94"/>
    <x v="1"/>
    <n v="61809577.109999999"/>
    <n v="3533534.503"/>
  </r>
  <r>
    <s v="SK14"/>
    <d v="2014-05-29T00:00:00"/>
    <x v="154"/>
    <s v="U2A"/>
    <n v="17.284700000000001"/>
    <n v="2053.9290000000001"/>
    <n v="47.466999999999999"/>
    <n v="35487.86"/>
    <x v="860"/>
    <n v="1795712.69"/>
    <n v="103890.128"/>
  </r>
  <r>
    <s v="SK14"/>
    <d v="2014-05-30T00:00:00"/>
    <x v="155"/>
    <s v="AA"/>
    <n v="23.1022"/>
    <n v="8.6929999999999996"/>
    <n v="1278.384"/>
    <n v="200"/>
    <x v="861"/>
    <n v="267053713.75"/>
    <n v="11559686.313999999"/>
  </r>
  <r>
    <s v="SK14"/>
    <d v="2014-05-30T00:00:00"/>
    <x v="155"/>
    <s v="AB"/>
    <n v="18.3734"/>
    <n v="0"/>
    <n v="128.886"/>
    <n v="0"/>
    <x v="862"/>
    <n v="10375375.060000001"/>
    <n v="564694.16399999999"/>
  </r>
  <r>
    <s v="SK14"/>
    <d v="2014-05-30T00:00:00"/>
    <x v="155"/>
    <s v="AC"/>
    <n v="19.0916"/>
    <n v="1392.1489999999999"/>
    <n v="6785.8689999999997"/>
    <n v="26470.47"/>
    <x v="863"/>
    <n v="37167761.649999999"/>
    <n v="1946808.5160000001"/>
  </r>
  <r>
    <s v="SK14"/>
    <d v="2014-05-30T00:00:00"/>
    <x v="155"/>
    <s v="AI"/>
    <n v="17.807300000000001"/>
    <n v="0"/>
    <n v="122711"/>
    <n v="0"/>
    <x v="864"/>
    <n v="44312181.770000003"/>
    <n v="2488425.1359999999"/>
  </r>
  <r>
    <s v="SK14"/>
    <d v="2014-05-30T00:00:00"/>
    <x v="155"/>
    <s v="C1M"/>
    <n v="11.2173"/>
    <n v="0"/>
    <n v="900.495"/>
    <n v="0"/>
    <x v="865"/>
    <n v="490200.11"/>
    <n v="43700.199000000001"/>
  </r>
  <r>
    <s v="SK14"/>
    <d v="2014-05-30T00:00:00"/>
    <x v="155"/>
    <s v="RGI"/>
    <n v="17.564699999999998"/>
    <n v="4583.7309999999998"/>
    <n v="0"/>
    <n v="80180.009999999995"/>
    <x v="1"/>
    <n v="62146110.710000001"/>
    <n v="3538118.2340000002"/>
  </r>
  <r>
    <s v="SK14"/>
    <d v="2014-05-30T00:00:00"/>
    <x v="155"/>
    <s v="S4"/>
    <n v="18.754100000000001"/>
    <n v="175.97300000000001"/>
    <n v="0"/>
    <n v="3286.57"/>
    <x v="1"/>
    <n v="1117595.6000000001"/>
    <n v="59592.103999999999"/>
  </r>
  <r>
    <s v="SK14"/>
    <d v="2014-05-30T00:00:00"/>
    <x v="155"/>
    <s v="U2A"/>
    <n v="17.356400000000001"/>
    <n v="2128.69"/>
    <n v="9.7729999999999997"/>
    <n v="36793.89"/>
    <x v="866"/>
    <n v="1839934.93"/>
    <n v="106009.045"/>
  </r>
  <r>
    <s v="SK14"/>
    <d v="2014-06-03T00:00:00"/>
    <x v="156"/>
    <s v="AA"/>
    <n v="23.1966"/>
    <n v="38972.107000000004"/>
    <n v="3316.9450000000002"/>
    <n v="900341.4"/>
    <x v="867"/>
    <n v="268972549.69"/>
    <n v="11595341.476"/>
  </r>
  <r>
    <s v="SK14"/>
    <d v="2014-06-03T00:00:00"/>
    <x v="156"/>
    <s v="AB"/>
    <n v="18.445499999999999"/>
    <n v="0"/>
    <n v="24092.346000000001"/>
    <n v="0"/>
    <x v="868"/>
    <n v="9971690.4100000001"/>
    <n v="540601.81799999997"/>
  </r>
  <r>
    <s v="SK14"/>
    <d v="2014-06-03T00:00:00"/>
    <x v="156"/>
    <s v="AC"/>
    <n v="19.166499999999999"/>
    <n v="2579.239"/>
    <n v="35288.118000000002"/>
    <n v="49241.79"/>
    <x v="869"/>
    <n v="36686684.219999999"/>
    <n v="1914099.6370000001"/>
  </r>
  <r>
    <s v="SK14"/>
    <d v="2014-06-03T00:00:00"/>
    <x v="156"/>
    <s v="AGH"/>
    <n v="18.7637"/>
    <n v="4"/>
    <n v="0"/>
    <n v="74.78"/>
    <x v="1"/>
    <n v="9564371.0999999996"/>
    <n v="509728.45699999999"/>
  </r>
  <r>
    <s v="SK14"/>
    <d v="2014-06-03T00:00:00"/>
    <x v="156"/>
    <s v="AI"/>
    <n v="17.881599999999999"/>
    <n v="0"/>
    <n v="47855"/>
    <n v="0"/>
    <x v="870"/>
    <n v="43641256.590000004"/>
    <n v="2440570.1359999999"/>
  </r>
  <r>
    <s v="SK14"/>
    <d v="2014-06-03T00:00:00"/>
    <x v="156"/>
    <s v="AUI"/>
    <n v="11.4513"/>
    <n v="0"/>
    <n v="8882.0990000000002"/>
    <n v="0"/>
    <x v="871"/>
    <n v="3413294.06"/>
    <n v="298071.64299999998"/>
  </r>
  <r>
    <s v="SK14"/>
    <d v="2014-06-03T00:00:00"/>
    <x v="156"/>
    <s v="C1M"/>
    <n v="11.2614"/>
    <n v="2992.431"/>
    <n v="0"/>
    <n v="33567"/>
    <x v="1"/>
    <n v="525822.24"/>
    <n v="46692.63"/>
  </r>
  <r>
    <s v="SK14"/>
    <d v="2014-06-03T00:00:00"/>
    <x v="156"/>
    <s v="RGI"/>
    <n v="17.638000000000002"/>
    <n v="6036.8450000000003"/>
    <n v="1979.972"/>
    <n v="106035.41"/>
    <x v="872"/>
    <n v="62476836.240000002"/>
    <n v="3542175.1069999998"/>
  </r>
  <r>
    <s v="SK14"/>
    <d v="2014-06-03T00:00:00"/>
    <x v="156"/>
    <s v="U2A"/>
    <n v="17.429099999999998"/>
    <n v="2628.6840000000002"/>
    <n v="154.374"/>
    <n v="45624.52"/>
    <x v="873"/>
    <n v="1890763.26"/>
    <n v="108483.355"/>
  </r>
  <r>
    <s v="SK14"/>
    <d v="2014-06-04T00:00:00"/>
    <x v="157"/>
    <s v="AA"/>
    <n v="23.1753"/>
    <n v="37136.53"/>
    <n v="17728.865000000002"/>
    <n v="861441.2"/>
    <x v="874"/>
    <n v="269174832.39999998"/>
    <n v="11614749.141000001"/>
  </r>
  <r>
    <s v="SK14"/>
    <d v="2014-06-04T00:00:00"/>
    <x v="157"/>
    <s v="AB"/>
    <n v="18.427800000000001"/>
    <n v="1897.482"/>
    <n v="570.78599999999994"/>
    <n v="35000"/>
    <x v="875"/>
    <n v="9986553.1999999993"/>
    <n v="541928.51399999997"/>
  </r>
  <r>
    <s v="SK14"/>
    <d v="2014-06-04T00:00:00"/>
    <x v="157"/>
    <s v="AC"/>
    <n v="19.148099999999999"/>
    <n v="7205.1620000000003"/>
    <n v="16158.548000000001"/>
    <n v="138097.74"/>
    <x v="876"/>
    <n v="36479979.210000001"/>
    <n v="1905146.2509999999"/>
  </r>
  <r>
    <s v="SK14"/>
    <d v="2014-06-04T00:00:00"/>
    <x v="157"/>
    <s v="AGH"/>
    <n v="18.766100000000002"/>
    <n v="138"/>
    <n v="0"/>
    <n v="2589.4"/>
    <x v="1"/>
    <n v="9568200.4700000007"/>
    <n v="509866.45699999999"/>
  </r>
  <r>
    <s v="SK14"/>
    <d v="2014-06-04T00:00:00"/>
    <x v="157"/>
    <s v="AI"/>
    <n v="17.865500000000001"/>
    <n v="253720"/>
    <n v="825750"/>
    <n v="4536919.55"/>
    <x v="877"/>
    <n v="33382387.050000001"/>
    <n v="1868540.1359999999"/>
  </r>
  <r>
    <s v="SK14"/>
    <d v="2014-06-04T00:00:00"/>
    <x v="157"/>
    <s v="BUI"/>
    <n v="11.076599999999999"/>
    <n v="0"/>
    <n v="2170.9899999999998"/>
    <n v="0"/>
    <x v="878"/>
    <n v="1948958.04"/>
    <n v="175952.70499999999"/>
  </r>
  <r>
    <s v="SK14"/>
    <d v="2014-06-04T00:00:00"/>
    <x v="157"/>
    <s v="RGI"/>
    <n v="17.6221"/>
    <n v="26919.287"/>
    <n v="500"/>
    <n v="474801.37"/>
    <x v="879"/>
    <n v="62886195.200000003"/>
    <n v="3568594.3939999999"/>
  </r>
  <r>
    <s v="SK14"/>
    <d v="2014-06-04T00:00:00"/>
    <x v="157"/>
    <s v="S4"/>
    <n v="18.816299999999998"/>
    <n v="473.85700000000003"/>
    <n v="396.77499999999998"/>
    <n v="8924.1299999999992"/>
    <x v="880"/>
    <n v="1122751.98"/>
    <n v="59669.186000000002"/>
  </r>
  <r>
    <s v="SK14"/>
    <d v="2014-06-04T00:00:00"/>
    <x v="157"/>
    <s v="U2A"/>
    <n v="17.413499999999999"/>
    <n v="5640.991"/>
    <n v="23.492000000000001"/>
    <n v="98317.75"/>
    <x v="881"/>
    <n v="1986890.72"/>
    <n v="114100.85400000001"/>
  </r>
  <r>
    <s v="SK14"/>
    <d v="2014-06-05T00:00:00"/>
    <x v="158"/>
    <s v="AA"/>
    <n v="23.218399999999999"/>
    <n v="3558.72"/>
    <n v="6124.46"/>
    <n v="82474.34"/>
    <x v="882"/>
    <n v="269616823.41000003"/>
    <n v="11612183.401000001"/>
  </r>
  <r>
    <s v="SK14"/>
    <d v="2014-06-05T00:00:00"/>
    <x v="158"/>
    <s v="AB"/>
    <n v="18.461400000000001"/>
    <n v="0"/>
    <n v="5609.9920000000002"/>
    <n v="0"/>
    <x v="883"/>
    <n v="9901182.9100000001"/>
    <n v="536318.522"/>
  </r>
  <r>
    <s v="SK14"/>
    <d v="2014-06-05T00:00:00"/>
    <x v="158"/>
    <s v="AC"/>
    <n v="19.183"/>
    <n v="141.15799999999999"/>
    <n v="15391.49"/>
    <n v="2702.91"/>
    <x v="884"/>
    <n v="36253907.57"/>
    <n v="1889895.919"/>
  </r>
  <r>
    <s v="SK14"/>
    <d v="2014-06-05T00:00:00"/>
    <x v="158"/>
    <s v="AGH"/>
    <n v="18.787700000000001"/>
    <n v="1"/>
    <n v="0"/>
    <n v="18.77"/>
    <x v="1"/>
    <n v="9579219.9399999995"/>
    <n v="509867.45699999999"/>
  </r>
  <r>
    <s v="SK14"/>
    <d v="2014-06-05T00:00:00"/>
    <x v="158"/>
    <s v="RGI"/>
    <n v="17.6553"/>
    <n v="186330.05"/>
    <n v="2308.6570000000002"/>
    <n v="3283513.99"/>
    <x v="885"/>
    <n v="66253605.5"/>
    <n v="3752615.787"/>
  </r>
  <r>
    <s v="SK14"/>
    <d v="2014-06-05T00:00:00"/>
    <x v="158"/>
    <s v="U2A"/>
    <n v="17.446300000000001"/>
    <n v="3749.6190000000001"/>
    <n v="9.1609999999999996"/>
    <n v="65294.28"/>
    <x v="886"/>
    <n v="2055899.71"/>
    <n v="117841.31200000001"/>
  </r>
  <r>
    <s v="SK14"/>
    <d v="2014-06-06T00:00:00"/>
    <x v="159"/>
    <s v="AA"/>
    <n v="23.360499999999998"/>
    <n v="14691.462"/>
    <n v="4719.75"/>
    <n v="341112.24"/>
    <x v="887"/>
    <n v="271498896.74000001"/>
    <n v="11622155.113"/>
  </r>
  <r>
    <s v="SK14"/>
    <d v="2014-06-06T00:00:00"/>
    <x v="159"/>
    <s v="AB"/>
    <n v="18.573499999999999"/>
    <n v="567.29700000000003"/>
    <n v="3049.4830000000002"/>
    <n v="10473.09"/>
    <x v="888"/>
    <n v="9915234.2300000004"/>
    <n v="533836.33600000001"/>
  </r>
  <r>
    <s v="SK14"/>
    <d v="2014-06-06T00:00:00"/>
    <x v="159"/>
    <s v="AC"/>
    <n v="19.299600000000002"/>
    <n v="10741.453"/>
    <n v="4445.2219999999998"/>
    <n v="206053.3"/>
    <x v="889"/>
    <n v="36595681.670000002"/>
    <n v="1896192.15"/>
  </r>
  <r>
    <s v="SK14"/>
    <d v="2014-06-06T00:00:00"/>
    <x v="159"/>
    <s v="AGH"/>
    <n v="18.933499999999999"/>
    <n v="0"/>
    <n v="1"/>
    <n v="0"/>
    <x v="890"/>
    <n v="9653571.1600000001"/>
    <n v="509866.45699999999"/>
  </r>
  <r>
    <s v="SK14"/>
    <d v="2014-06-06T00:00:00"/>
    <x v="159"/>
    <s v="AI"/>
    <n v="18.009"/>
    <n v="0"/>
    <n v="63979.571000000004"/>
    <n v="0"/>
    <x v="891"/>
    <n v="32498328.43"/>
    <n v="1804560.5649999999"/>
  </r>
  <r>
    <s v="SK14"/>
    <d v="2014-06-06T00:00:00"/>
    <x v="159"/>
    <s v="AUI"/>
    <n v="11.5321"/>
    <n v="0"/>
    <n v="617.00099999999998"/>
    <n v="0"/>
    <x v="892"/>
    <n v="3430289.58"/>
    <n v="297454.64199999999"/>
  </r>
  <r>
    <s v="SK14"/>
    <d v="2014-06-06T00:00:00"/>
    <x v="159"/>
    <s v="RGI"/>
    <n v="17.7637"/>
    <n v="7971.4"/>
    <n v="700"/>
    <n v="140737.79999999999"/>
    <x v="893"/>
    <n v="66789378.609999999"/>
    <n v="3759887.1869999999"/>
  </r>
  <r>
    <s v="SK14"/>
    <d v="2014-06-06T00:00:00"/>
    <x v="159"/>
    <s v="U2A"/>
    <n v="17.5535"/>
    <n v="2754.973"/>
    <n v="3.5750000000000002"/>
    <n v="48064.2"/>
    <x v="894"/>
    <n v="2116822.09"/>
    <n v="120592.71"/>
  </r>
  <r>
    <s v="SK14"/>
    <d v="2014-06-09T00:00:00"/>
    <x v="160"/>
    <s v="A3"/>
    <n v="18.9862"/>
    <n v="0"/>
    <n v="577.23400000000004"/>
    <n v="0"/>
    <x v="895"/>
    <n v="6331454.5"/>
    <n v="333476.28999999998"/>
  </r>
  <r>
    <s v="SK14"/>
    <d v="2014-06-09T00:00:00"/>
    <x v="160"/>
    <s v="AA"/>
    <n v="23.476700000000001"/>
    <n v="3786.5349999999999"/>
    <n v="19348.792000000001"/>
    <n v="88455.35"/>
    <x v="896"/>
    <n v="272484910.98000002"/>
    <n v="11606592.856000001"/>
  </r>
  <r>
    <s v="SK14"/>
    <d v="2014-06-09T00:00:00"/>
    <x v="160"/>
    <s v="AB"/>
    <n v="18.663699999999999"/>
    <n v="0"/>
    <n v="3775.2049999999999"/>
    <n v="0"/>
    <x v="897"/>
    <n v="9892905.0099999998"/>
    <n v="530061.13100000005"/>
  </r>
  <r>
    <s v="SK14"/>
    <d v="2014-06-09T00:00:00"/>
    <x v="160"/>
    <s v="AC"/>
    <n v="19.3932"/>
    <n v="1755.943"/>
    <n v="6378.4480000000003"/>
    <n v="33889.01"/>
    <x v="898"/>
    <n v="36683676.630000003"/>
    <n v="1891569.645"/>
  </r>
  <r>
    <s v="SK14"/>
    <d v="2014-06-09T00:00:00"/>
    <x v="160"/>
    <s v="AI"/>
    <n v="18.099699999999999"/>
    <n v="68255"/>
    <n v="0"/>
    <n v="1229204.3"/>
    <x v="1"/>
    <n v="33897488.140000001"/>
    <n v="1872815.5649999999"/>
  </r>
  <r>
    <s v="SK14"/>
    <d v="2014-06-09T00:00:00"/>
    <x v="160"/>
    <s v="AUI"/>
    <n v="11.589499999999999"/>
    <n v="141.53700000000001"/>
    <n v="29933.233"/>
    <n v="1632.23"/>
    <x v="899"/>
    <n v="3102092.76"/>
    <n v="267662.946"/>
  </r>
  <r>
    <s v="SK14"/>
    <d v="2014-06-09T00:00:00"/>
    <x v="160"/>
    <s v="BUI"/>
    <n v="11.218400000000001"/>
    <n v="0"/>
    <n v="712.61599999999999"/>
    <n v="0"/>
    <x v="900"/>
    <n v="1965912.87"/>
    <n v="175240.08900000001"/>
  </r>
  <r>
    <s v="SK14"/>
    <d v="2014-06-09T00:00:00"/>
    <x v="160"/>
    <s v="RGI"/>
    <n v="17.853200000000001"/>
    <n v="9899.35"/>
    <n v="0"/>
    <n v="175849.59"/>
    <x v="1"/>
    <n v="67302670.689999998"/>
    <n v="3769786.537"/>
  </r>
  <r>
    <s v="SK14"/>
    <d v="2014-06-09T00:00:00"/>
    <x v="160"/>
    <s v="S4"/>
    <n v="19.0639"/>
    <n v="0"/>
    <n v="3.81"/>
    <n v="0"/>
    <x v="901"/>
    <n v="1137455.8400000001"/>
    <n v="59665.375999999997"/>
  </r>
  <r>
    <s v="SK14"/>
    <d v="2014-06-09T00:00:00"/>
    <x v="160"/>
    <s v="U2A"/>
    <n v="17.642199999999999"/>
    <n v="2663.415"/>
    <n v="42.529000000000003"/>
    <n v="46752.05"/>
    <x v="902"/>
    <n v="2173752.9"/>
    <n v="123213.59600000001"/>
  </r>
  <r>
    <s v="SK14"/>
    <d v="2014-06-10T00:00:00"/>
    <x v="161"/>
    <s v="AA"/>
    <n v="23.527999999999999"/>
    <n v="1543.123"/>
    <n v="18056.558000000001"/>
    <n v="36227.47"/>
    <x v="903"/>
    <n v="272690911.69999999"/>
    <n v="11590079.421"/>
  </r>
  <r>
    <s v="SK14"/>
    <d v="2014-06-10T00:00:00"/>
    <x v="161"/>
    <s v="AB"/>
    <n v="18.703700000000001"/>
    <n v="0"/>
    <n v="1417.2950000000001"/>
    <n v="0"/>
    <x v="904"/>
    <n v="9887574.9100000001"/>
    <n v="528643.83600000001"/>
  </r>
  <r>
    <s v="SK14"/>
    <d v="2014-06-10T00:00:00"/>
    <x v="161"/>
    <s v="AC"/>
    <n v="19.434799999999999"/>
    <n v="19.966000000000001"/>
    <n v="2415.4340000000002"/>
    <n v="387.2"/>
    <x v="905"/>
    <n v="36715652.979999997"/>
    <n v="1889174.1769999999"/>
  </r>
  <r>
    <s v="SK14"/>
    <d v="2014-06-10T00:00:00"/>
    <x v="161"/>
    <s v="AI"/>
    <n v="18.139600000000002"/>
    <n v="34858"/>
    <n v="0"/>
    <n v="630919.34"/>
    <x v="1"/>
    <n v="34604453.579999998"/>
    <n v="1907673.5649999999"/>
  </r>
  <r>
    <s v="SK14"/>
    <d v="2014-06-10T00:00:00"/>
    <x v="161"/>
    <s v="AUI"/>
    <n v="11.614800000000001"/>
    <n v="66.063999999999993"/>
    <n v="684.76199999999994"/>
    <n v="765.65"/>
    <x v="906"/>
    <n v="3101675.09"/>
    <n v="267044.24800000002"/>
  </r>
  <r>
    <s v="SK14"/>
    <d v="2014-06-10T00:00:00"/>
    <x v="161"/>
    <s v="C1M"/>
    <n v="11.418900000000001"/>
    <n v="0"/>
    <n v="780.37800000000004"/>
    <n v="0"/>
    <x v="907"/>
    <n v="524269.42"/>
    <n v="45912.252"/>
  </r>
  <r>
    <s v="SK14"/>
    <d v="2014-06-10T00:00:00"/>
    <x v="161"/>
    <s v="RGI"/>
    <n v="17.892499999999998"/>
    <n v="18361.794999999998"/>
    <n v="0"/>
    <n v="327816.34999999998"/>
    <x v="1"/>
    <n v="67779437.879999995"/>
    <n v="3788148.3319999999"/>
  </r>
  <r>
    <s v="SK14"/>
    <d v="2014-06-10T00:00:00"/>
    <x v="161"/>
    <s v="U2A"/>
    <n v="17.681100000000001"/>
    <n v="1525.982"/>
    <n v="117.83199999999999"/>
    <n v="26921.71"/>
    <x v="908"/>
    <n v="2203447.06"/>
    <n v="124621.746"/>
  </r>
  <r>
    <s v="SK14"/>
    <d v="2014-06-11T00:00:00"/>
    <x v="162"/>
    <s v="AA"/>
    <n v="23.515999999999998"/>
    <n v="4578.7569999999996"/>
    <n v="25782.958999999999"/>
    <n v="107729"/>
    <x v="909"/>
    <n v="272053252.54000002"/>
    <n v="11568875.219000001"/>
  </r>
  <r>
    <s v="SK14"/>
    <d v="2014-06-11T00:00:00"/>
    <x v="162"/>
    <s v="AB"/>
    <n v="18.6934"/>
    <n v="0"/>
    <n v="20930.309000000001"/>
    <n v="0"/>
    <x v="910"/>
    <n v="9490869.2100000009"/>
    <n v="507713.527"/>
  </r>
  <r>
    <s v="SK14"/>
    <d v="2014-06-11T00:00:00"/>
    <x v="162"/>
    <s v="AC"/>
    <n v="19.424099999999999"/>
    <n v="509.036"/>
    <n v="2165.6909999999998"/>
    <n v="9893.0300000000007"/>
    <x v="911"/>
    <n v="36663247.009999998"/>
    <n v="1887517.5220000001"/>
  </r>
  <r>
    <s v="SK14"/>
    <d v="2014-06-11T00:00:00"/>
    <x v="162"/>
    <s v="AGH"/>
    <n v="18.9251"/>
    <n v="0"/>
    <n v="7638"/>
    <n v="0"/>
    <x v="912"/>
    <n v="9504729.1799999997"/>
    <n v="502228.45699999999"/>
  </r>
  <r>
    <s v="SK14"/>
    <d v="2014-06-11T00:00:00"/>
    <x v="162"/>
    <s v="AI"/>
    <n v="18.130700000000001"/>
    <n v="0"/>
    <n v="33865"/>
    <n v="0"/>
    <x v="913"/>
    <n v="33973525.880000003"/>
    <n v="1873808.5649999999"/>
  </r>
  <r>
    <s v="SK14"/>
    <d v="2014-06-11T00:00:00"/>
    <x v="162"/>
    <s v="AUI"/>
    <n v="11.6089"/>
    <n v="22.948"/>
    <n v="21276.741999999998"/>
    <n v="266.54000000000002"/>
    <x v="914"/>
    <n v="2853361.13"/>
    <n v="245790.454"/>
  </r>
  <r>
    <s v="SK14"/>
    <d v="2014-06-11T00:00:00"/>
    <x v="162"/>
    <s v="RGI"/>
    <n v="17.883700000000001"/>
    <n v="2144.1689999999999"/>
    <n v="900"/>
    <n v="38364.58"/>
    <x v="915"/>
    <n v="67768526.269999996"/>
    <n v="3789392.5010000002"/>
  </r>
  <r>
    <s v="SK14"/>
    <d v="2014-06-11T00:00:00"/>
    <x v="162"/>
    <s v="S4"/>
    <n v="19.096900000000002"/>
    <n v="12.916"/>
    <n v="9.1590000000000007"/>
    <n v="246.78"/>
    <x v="916"/>
    <n v="1139496.52"/>
    <n v="59669.133000000002"/>
  </r>
  <r>
    <s v="SK14"/>
    <d v="2014-06-11T00:00:00"/>
    <x v="162"/>
    <s v="U2A"/>
    <n v="17.672499999999999"/>
    <n v="2782.0120000000002"/>
    <n v="34.281999999999996"/>
    <n v="49188.99"/>
    <x v="917"/>
    <n v="2250937.34"/>
    <n v="127369.476"/>
  </r>
  <r>
    <s v="SK14"/>
    <d v="2014-06-12T00:00:00"/>
    <x v="163"/>
    <s v="AA"/>
    <n v="23.401499999999999"/>
    <n v="16.285"/>
    <n v="78458.172999999995"/>
    <n v="382.95"/>
    <x v="918"/>
    <n v="268893703.72000003"/>
    <n v="11490433.331"/>
  </r>
  <r>
    <s v="SK14"/>
    <d v="2014-06-12T00:00:00"/>
    <x v="163"/>
    <s v="AB"/>
    <n v="18.601600000000001"/>
    <n v="0"/>
    <n v="4534.5540000000001"/>
    <n v="0"/>
    <x v="919"/>
    <n v="9359943.7599999998"/>
    <n v="503178.973"/>
  </r>
  <r>
    <s v="SK14"/>
    <d v="2014-06-12T00:00:00"/>
    <x v="163"/>
    <s v="AC"/>
    <n v="19.328700000000001"/>
    <n v="21.567"/>
    <n v="3329.0439999999999"/>
    <n v="418.92"/>
    <x v="920"/>
    <n v="36419397.399999999"/>
    <n v="1884210.0449999999"/>
  </r>
  <r>
    <s v="SK14"/>
    <d v="2014-06-12T00:00:00"/>
    <x v="163"/>
    <s v="AGH"/>
    <n v="18.817"/>
    <n v="0"/>
    <n v="8265.509"/>
    <n v="0"/>
    <x v="921"/>
    <n v="9294918.4000000004"/>
    <n v="493962.94799999997"/>
  </r>
  <r>
    <s v="SK14"/>
    <d v="2014-06-12T00:00:00"/>
    <x v="163"/>
    <s v="AI"/>
    <n v="18.042899999999999"/>
    <n v="523542"/>
    <n v="0"/>
    <n v="9492182.9399999995"/>
    <x v="1"/>
    <n v="43255085.880000003"/>
    <n v="2397350.5649999999"/>
  </r>
  <r>
    <s v="SK14"/>
    <d v="2014-06-12T00:00:00"/>
    <x v="163"/>
    <s v="AUI"/>
    <n v="11.5524"/>
    <n v="28.675999999999998"/>
    <n v="7860.2190000000001"/>
    <n v="332.9"/>
    <x v="922"/>
    <n v="2749002.71"/>
    <n v="237958.91099999999"/>
  </r>
  <r>
    <s v="SK14"/>
    <d v="2014-06-12T00:00:00"/>
    <x v="163"/>
    <s v="C1M"/>
    <n v="11.3566"/>
    <n v="0"/>
    <n v="1667.43"/>
    <n v="0"/>
    <x v="923"/>
    <n v="502472.72"/>
    <n v="44244.822"/>
  </r>
  <r>
    <s v="SK14"/>
    <d v="2014-06-12T00:00:00"/>
    <x v="163"/>
    <s v="RGI"/>
    <n v="17.7971"/>
    <n v="10089.816000000001"/>
    <n v="0"/>
    <n v="180443.06"/>
    <x v="1"/>
    <n v="67619707.170000002"/>
    <n v="3799482.3169999998"/>
  </r>
  <r>
    <s v="SK14"/>
    <d v="2014-06-12T00:00:00"/>
    <x v="163"/>
    <s v="U2A"/>
    <n v="17.5869"/>
    <n v="1052.9760000000001"/>
    <n v="9.7859999999999996"/>
    <n v="18608.8"/>
    <x v="924"/>
    <n v="2258385.7599999998"/>
    <n v="128412.666"/>
  </r>
  <r>
    <s v="SK14"/>
    <d v="2014-06-13T00:00:00"/>
    <x v="164"/>
    <s v="A3"/>
    <n v="18.8201"/>
    <n v="0"/>
    <n v="1143.2249999999999"/>
    <n v="0"/>
    <x v="925"/>
    <n v="6254543.3399999999"/>
    <n v="332333.065"/>
  </r>
  <r>
    <s v="SK14"/>
    <d v="2014-06-13T00:00:00"/>
    <x v="164"/>
    <s v="AA"/>
    <n v="23.2713"/>
    <n v="1032.664"/>
    <n v="25564.338"/>
    <n v="24165.87"/>
    <x v="926"/>
    <n v="266826795.03"/>
    <n v="11465901.657"/>
  </r>
  <r>
    <s v="SK14"/>
    <d v="2014-06-13T00:00:00"/>
    <x v="164"/>
    <s v="AB"/>
    <n v="18.497399999999999"/>
    <n v="0"/>
    <n v="4919.78"/>
    <n v="0"/>
    <x v="927"/>
    <n v="9216480.9700000007"/>
    <n v="498259.19300000003"/>
  </r>
  <r>
    <s v="SK14"/>
    <d v="2014-06-13T00:00:00"/>
    <x v="164"/>
    <s v="AC"/>
    <n v="19.220400000000001"/>
    <n v="30253.246999999999"/>
    <n v="5182.9949999999999"/>
    <n v="584755.96"/>
    <x v="928"/>
    <n v="36697136.210000001"/>
    <n v="1909280.297"/>
  </r>
  <r>
    <s v="SK14"/>
    <d v="2014-06-13T00:00:00"/>
    <x v="164"/>
    <s v="AI"/>
    <n v="17.942900000000002"/>
    <n v="28460"/>
    <n v="0"/>
    <n v="513500.93"/>
    <x v="1"/>
    <n v="43525974"/>
    <n v="2425810.5649999999"/>
  </r>
  <r>
    <s v="SK14"/>
    <d v="2014-06-13T00:00:00"/>
    <x v="164"/>
    <s v="AUI"/>
    <n v="11.488200000000001"/>
    <n v="28.817"/>
    <n v="12637.989"/>
    <n v="332.9"/>
    <x v="929"/>
    <n v="2588852.5099999998"/>
    <n v="225349.739"/>
  </r>
  <r>
    <s v="SK14"/>
    <d v="2014-06-13T00:00:00"/>
    <x v="164"/>
    <s v="BUI"/>
    <n v="11.118399999999999"/>
    <n v="359.44099999999997"/>
    <n v="0"/>
    <n v="4018.95"/>
    <x v="1"/>
    <n v="1952388"/>
    <n v="175599.53"/>
  </r>
  <r>
    <s v="SK14"/>
    <d v="2014-06-13T00:00:00"/>
    <x v="164"/>
    <s v="RGI"/>
    <n v="17.698399999999999"/>
    <n v="7510.1310000000003"/>
    <n v="0"/>
    <n v="133658.74"/>
    <x v="1"/>
    <n v="67377803.549999997"/>
    <n v="3806992.4479999999"/>
  </r>
  <r>
    <s v="SK14"/>
    <d v="2014-06-13T00:00:00"/>
    <x v="164"/>
    <s v="S4"/>
    <n v="18.8994"/>
    <n v="0"/>
    <n v="4.0209999999999999"/>
    <n v="0"/>
    <x v="930"/>
    <n v="1127634.54"/>
    <n v="59665.112000000001"/>
  </r>
  <r>
    <s v="SK14"/>
    <d v="2014-06-13T00:00:00"/>
    <x v="164"/>
    <s v="U2A"/>
    <n v="17.4895"/>
    <n v="3897.9859999999999"/>
    <n v="74.771000000000001"/>
    <n v="68553.16"/>
    <x v="931"/>
    <n v="2312742.34"/>
    <n v="132235.88099999999"/>
  </r>
  <r>
    <s v="SK14"/>
    <d v="2014-06-16T00:00:00"/>
    <x v="165"/>
    <s v="AA"/>
    <n v="23.337599999999998"/>
    <n v="22222.995999999999"/>
    <n v="8950.6910000000007"/>
    <n v="517157.98"/>
    <x v="932"/>
    <n v="267896903.19999999"/>
    <n v="11479173.961999999"/>
  </r>
  <r>
    <s v="SK14"/>
    <d v="2014-06-16T00:00:00"/>
    <x v="165"/>
    <s v="AB"/>
    <n v="18.547799999999999"/>
    <n v="927.51499999999999"/>
    <n v="3807.152"/>
    <n v="17156.62"/>
    <x v="933"/>
    <n v="9188197.4700000007"/>
    <n v="495379.55599999998"/>
  </r>
  <r>
    <s v="SK14"/>
    <d v="2014-06-16T00:00:00"/>
    <x v="165"/>
    <s v="AC"/>
    <n v="19.2728"/>
    <n v="8598.5120000000006"/>
    <n v="116.738"/>
    <n v="165266.82"/>
    <x v="934"/>
    <n v="36960653.630000003"/>
    <n v="1917762.071"/>
  </r>
  <r>
    <s v="SK14"/>
    <d v="2014-06-16T00:00:00"/>
    <x v="165"/>
    <s v="AI"/>
    <n v="17.995100000000001"/>
    <n v="0"/>
    <n v="75024"/>
    <n v="0"/>
    <x v="935"/>
    <n v="42302623.939999998"/>
    <n v="2350786.5649999999"/>
  </r>
  <r>
    <s v="SK14"/>
    <d v="2014-06-16T00:00:00"/>
    <x v="165"/>
    <s v="AUI"/>
    <n v="11.520899999999999"/>
    <n v="753.94600000000003"/>
    <n v="7513.0929999999998"/>
    <n v="8661.48"/>
    <x v="936"/>
    <n v="2518358.14"/>
    <n v="218590.592"/>
  </r>
  <r>
    <s v="SK14"/>
    <d v="2014-06-16T00:00:00"/>
    <x v="165"/>
    <s v="RGI"/>
    <n v="17.75"/>
    <n v="5748.2629999999999"/>
    <n v="800"/>
    <n v="101734.64"/>
    <x v="937"/>
    <n v="67661791.390000001"/>
    <n v="3811940.7110000001"/>
  </r>
  <r>
    <s v="SK14"/>
    <d v="2014-06-16T00:00:00"/>
    <x v="165"/>
    <s v="U2A"/>
    <n v="17.540700000000001"/>
    <n v="3235.0079999999998"/>
    <n v="7.5179999999999998"/>
    <n v="56578.7"/>
    <x v="938"/>
    <n v="2376116.19"/>
    <n v="135463.37100000001"/>
  </r>
  <r>
    <s v="SK14"/>
    <d v="2014-06-17T00:00:00"/>
    <x v="166"/>
    <s v="AA"/>
    <n v="23.3062"/>
    <n v="143200.83199999999"/>
    <n v="9258.1669999999995"/>
    <n v="3341963.72"/>
    <x v="939"/>
    <n v="270657787.05000001"/>
    <n v="11613116.627"/>
  </r>
  <r>
    <s v="SK14"/>
    <d v="2014-06-17T00:00:00"/>
    <x v="166"/>
    <s v="AB"/>
    <n v="18.522099999999998"/>
    <n v="1851.521"/>
    <n v="4345.3950000000004"/>
    <n v="34341.64"/>
    <x v="940"/>
    <n v="9129253.4199999999"/>
    <n v="492885.68199999997"/>
  </r>
  <r>
    <s v="SK14"/>
    <d v="2014-06-17T00:00:00"/>
    <x v="166"/>
    <s v="AC"/>
    <n v="19.246099999999998"/>
    <n v="1509.145"/>
    <n v="16498.678"/>
    <n v="29085.45"/>
    <x v="941"/>
    <n v="36620866.399999999"/>
    <n v="1902772.5379999999"/>
  </r>
  <r>
    <s v="SK14"/>
    <d v="2014-06-17T00:00:00"/>
    <x v="166"/>
    <s v="AGH"/>
    <n v="18.799399999999999"/>
    <n v="0"/>
    <n v="25450"/>
    <n v="0"/>
    <x v="942"/>
    <n v="8807774.6099999994"/>
    <n v="468512.94799999997"/>
  </r>
  <r>
    <s v="SK14"/>
    <d v="2014-06-17T00:00:00"/>
    <x v="166"/>
    <s v="AI"/>
    <n v="17.9712"/>
    <n v="324411"/>
    <n v="0"/>
    <n v="5837808.3899999997"/>
    <x v="1"/>
    <n v="48076585.479999997"/>
    <n v="2675197.5649999999"/>
  </r>
  <r>
    <s v="SK14"/>
    <d v="2014-06-17T00:00:00"/>
    <x v="166"/>
    <s v="AUI"/>
    <n v="11.5054"/>
    <n v="63.569000000000003"/>
    <n v="1455.6079999999999"/>
    <n v="732.37"/>
    <x v="943"/>
    <n v="2498950.44"/>
    <n v="217198.55300000001"/>
  </r>
  <r>
    <s v="SK14"/>
    <d v="2014-06-17T00:00:00"/>
    <x v="166"/>
    <s v="RGI"/>
    <n v="17.726400000000002"/>
    <n v="6290"/>
    <n v="195358.80799999999"/>
    <n v="111647.85"/>
    <x v="944"/>
    <n v="64220523.219999999"/>
    <n v="3622871.9029999999"/>
  </r>
  <r>
    <s v="SK14"/>
    <d v="2014-06-17T00:00:00"/>
    <x v="166"/>
    <s v="U2A"/>
    <n v="17.517499999999998"/>
    <n v="2036.7739999999999"/>
    <n v="77.664000000000001"/>
    <n v="35726.379999999997"/>
    <x v="945"/>
    <n v="2407293.2799999998"/>
    <n v="137422.481"/>
  </r>
  <r>
    <s v="SK14"/>
    <d v="2014-06-18T00:00:00"/>
    <x v="167"/>
    <s v="AA"/>
    <n v="23.388500000000001"/>
    <n v="28783.056"/>
    <n v="13292.811"/>
    <n v="670823.65"/>
    <x v="946"/>
    <n v="271976139.17000002"/>
    <n v="11628606.872"/>
  </r>
  <r>
    <s v="SK14"/>
    <d v="2014-06-18T00:00:00"/>
    <x v="167"/>
    <s v="AB"/>
    <n v="18.5867"/>
    <n v="0"/>
    <n v="2880.308"/>
    <n v="0"/>
    <x v="947"/>
    <n v="9107590.3399999999"/>
    <n v="490005.37400000001"/>
  </r>
  <r>
    <s v="SK14"/>
    <d v="2014-06-18T00:00:00"/>
    <x v="167"/>
    <s v="AC"/>
    <n v="19.313199999999998"/>
    <n v="46941.919999999998"/>
    <n v="7685.6390000000001"/>
    <n v="903448.89"/>
    <x v="948"/>
    <n v="37506887.189999998"/>
    <n v="1942028.8189999999"/>
  </r>
  <r>
    <s v="SK14"/>
    <d v="2014-06-18T00:00:00"/>
    <x v="167"/>
    <s v="AGH"/>
    <n v="18.869199999999999"/>
    <n v="0"/>
    <n v="3458"/>
    <n v="0"/>
    <x v="949"/>
    <n v="8775203.6199999992"/>
    <n v="465054.94799999997"/>
  </r>
  <r>
    <s v="SK14"/>
    <d v="2014-06-18T00:00:00"/>
    <x v="167"/>
    <s v="AI"/>
    <n v="18.0351"/>
    <n v="474631"/>
    <n v="0"/>
    <n v="8529688.6300000008"/>
    <x v="1"/>
    <n v="56807390.469999999"/>
    <n v="3149828.5649999999"/>
  </r>
  <r>
    <s v="SK14"/>
    <d v="2014-06-18T00:00:00"/>
    <x v="167"/>
    <s v="AUI"/>
    <n v="11.545999999999999"/>
    <n v="0"/>
    <n v="2930.9639999999999"/>
    <n v="0"/>
    <x v="950"/>
    <n v="2473936.6"/>
    <n v="214267.58900000001"/>
  </r>
  <r>
    <s v="SK14"/>
    <d v="2014-06-18T00:00:00"/>
    <x v="167"/>
    <s v="RGI"/>
    <n v="17.789400000000001"/>
    <n v="9142.5830000000005"/>
    <n v="0"/>
    <n v="162064.93"/>
    <x v="1"/>
    <n v="64611332.939999998"/>
    <n v="3632014.486"/>
  </r>
  <r>
    <s v="SK14"/>
    <d v="2014-06-18T00:00:00"/>
    <x v="167"/>
    <s v="S4"/>
    <n v="18.997399999999999"/>
    <n v="0"/>
    <n v="78.284999999999997"/>
    <n v="0"/>
    <x v="951"/>
    <n v="1131997.32"/>
    <n v="59586.826999999997"/>
  </r>
  <r>
    <s v="SK14"/>
    <d v="2014-06-18T00:00:00"/>
    <x v="167"/>
    <s v="U2A"/>
    <n v="17.579799999999999"/>
    <n v="1503.8710000000001"/>
    <n v="23.132999999999999"/>
    <n v="26344.01"/>
    <x v="952"/>
    <n v="2441887.09"/>
    <n v="138903.21900000001"/>
  </r>
  <r>
    <s v="SK14"/>
    <d v="2014-06-19T00:00:00"/>
    <x v="168"/>
    <s v="A3"/>
    <n v="19.0459"/>
    <n v="0"/>
    <n v="3012.6309999999999"/>
    <n v="0"/>
    <x v="953"/>
    <n v="6272215.1699999999"/>
    <n v="329320.43400000001"/>
  </r>
  <r>
    <s v="SK14"/>
    <d v="2014-06-19T00:00:00"/>
    <x v="168"/>
    <s v="AA"/>
    <n v="23.550599999999999"/>
    <n v="11068.786"/>
    <n v="3249.0619999999999"/>
    <n v="258882.3"/>
    <x v="954"/>
    <n v="274044480.25999999"/>
    <n v="11636426.596000001"/>
  </r>
  <r>
    <s v="SK14"/>
    <d v="2014-06-19T00:00:00"/>
    <x v="168"/>
    <s v="AB"/>
    <n v="18.714700000000001"/>
    <n v="761.37900000000002"/>
    <n v="0"/>
    <n v="14151.53"/>
    <x v="1"/>
    <n v="9184560.1500000004"/>
    <n v="490766.75300000003"/>
  </r>
  <r>
    <s v="SK14"/>
    <d v="2014-06-19T00:00:00"/>
    <x v="168"/>
    <s v="AC"/>
    <n v="19.446300000000001"/>
    <n v="3974.9549999999999"/>
    <n v="5800.1930000000002"/>
    <n v="76769.11"/>
    <x v="955"/>
    <n v="37729690.170000002"/>
    <n v="1940203.581"/>
  </r>
  <r>
    <s v="SK14"/>
    <d v="2014-06-19T00:00:00"/>
    <x v="168"/>
    <s v="AGH"/>
    <n v="19.0792"/>
    <n v="0"/>
    <n v="15912"/>
    <n v="0"/>
    <x v="956"/>
    <n v="8569283.5500000007"/>
    <n v="449142.94799999997"/>
  </r>
  <r>
    <s v="SK14"/>
    <d v="2014-06-19T00:00:00"/>
    <x v="168"/>
    <s v="AUI"/>
    <n v="11.625999999999999"/>
    <n v="8.6579999999999995"/>
    <n v="0"/>
    <n v="99.97"/>
    <x v="1"/>
    <n v="2491176.1"/>
    <n v="214276.247"/>
  </r>
  <r>
    <s v="SK14"/>
    <d v="2014-06-19T00:00:00"/>
    <x v="168"/>
    <s v="RGI"/>
    <n v="17.913"/>
    <n v="3005.3519999999999"/>
    <n v="2000"/>
    <n v="53463.27"/>
    <x v="957"/>
    <n v="65078280.530000001"/>
    <n v="3633019.838"/>
  </r>
  <r>
    <s v="SK14"/>
    <d v="2014-06-19T00:00:00"/>
    <x v="168"/>
    <s v="U2A"/>
    <n v="17.702000000000002"/>
    <n v="2799.7440000000001"/>
    <n v="24.574000000000002"/>
    <n v="49218.79"/>
    <x v="958"/>
    <n v="2507990.0499999998"/>
    <n v="141678.389"/>
  </r>
  <r>
    <s v="SK14"/>
    <d v="2014-06-20T00:00:00"/>
    <x v="169"/>
    <s v="AA"/>
    <n v="23.608599999999999"/>
    <n v="73543.555999999997"/>
    <n v="1059.4970000000001"/>
    <n v="1731994.87"/>
    <x v="959"/>
    <n v="276430671.35000002"/>
    <n v="11708910.654999999"/>
  </r>
  <r>
    <s v="SK14"/>
    <d v="2014-06-20T00:00:00"/>
    <x v="169"/>
    <s v="AB"/>
    <n v="18.760000000000002"/>
    <n v="4341.0929999999998"/>
    <n v="0"/>
    <n v="81242.27"/>
    <x v="1"/>
    <n v="9288242.3599999994"/>
    <n v="495107.84600000002"/>
  </r>
  <r>
    <s v="SK14"/>
    <d v="2014-06-20T00:00:00"/>
    <x v="169"/>
    <s v="AC"/>
    <n v="19.493300000000001"/>
    <n v="14139.597"/>
    <n v="624.13300000000004"/>
    <n v="274962.87"/>
    <x v="960"/>
    <n v="38084526.32"/>
    <n v="1953719.0449999999"/>
  </r>
  <r>
    <s v="SK14"/>
    <d v="2014-06-20T00:00:00"/>
    <x v="169"/>
    <s v="AGH"/>
    <n v="19.0822"/>
    <n v="0"/>
    <n v="4560"/>
    <n v="0"/>
    <x v="961"/>
    <n v="8483623.7699999996"/>
    <n v="444582.94799999997"/>
  </r>
  <r>
    <s v="SK14"/>
    <d v="2014-06-20T00:00:00"/>
    <x v="169"/>
    <s v="AI"/>
    <n v="18.205500000000001"/>
    <n v="0"/>
    <n v="12316.880999999999"/>
    <n v="0"/>
    <x v="962"/>
    <n v="57119928.439999998"/>
    <n v="3137511.6839999999"/>
  </r>
  <r>
    <s v="SK14"/>
    <d v="2014-06-20T00:00:00"/>
    <x v="169"/>
    <s v="AUI"/>
    <n v="11.6546"/>
    <n v="0"/>
    <n v="4444.107"/>
    <n v="0"/>
    <x v="963"/>
    <n v="2445517.15"/>
    <n v="209832.14"/>
  </r>
  <r>
    <s v="SK14"/>
    <d v="2014-06-20T00:00:00"/>
    <x v="169"/>
    <s v="RGI"/>
    <n v="17.9575"/>
    <n v="29037.741000000002"/>
    <n v="0"/>
    <n v="520152.82"/>
    <x v="1"/>
    <n v="65761343.509999998"/>
    <n v="3662057.5789999999"/>
  </r>
  <r>
    <s v="SK14"/>
    <d v="2014-06-20T00:00:00"/>
    <x v="169"/>
    <s v="S4"/>
    <n v="19.177299999999999"/>
    <n v="0"/>
    <n v="115.56100000000001"/>
    <n v="0"/>
    <x v="964"/>
    <n v="1140499.18"/>
    <n v="59471.266000000003"/>
  </r>
  <r>
    <s v="SK14"/>
    <d v="2014-06-20T00:00:00"/>
    <x v="169"/>
    <s v="U2A"/>
    <n v="17.745999999999999"/>
    <n v="2086.1849999999999"/>
    <n v="40.009"/>
    <n v="36929.57"/>
    <x v="965"/>
    <n v="2550540.27"/>
    <n v="143724.565"/>
  </r>
  <r>
    <s v="SK14"/>
    <d v="2014-06-23T00:00:00"/>
    <x v="170"/>
    <s v="AA"/>
    <n v="23.685099999999998"/>
    <n v="55750.296000000002"/>
    <n v="8108.24"/>
    <n v="1316186.45"/>
    <x v="966"/>
    <n v="278454634"/>
    <n v="11756552.710999999"/>
  </r>
  <r>
    <s v="SK14"/>
    <d v="2014-06-23T00:00:00"/>
    <x v="170"/>
    <s v="AB"/>
    <n v="18.8185"/>
    <n v="2321.8020000000001"/>
    <n v="13870.415000000001"/>
    <n v="43557"/>
    <x v="967"/>
    <n v="9099861.3200000003"/>
    <n v="483559.23300000001"/>
  </r>
  <r>
    <s v="SK14"/>
    <d v="2014-06-23T00:00:00"/>
    <x v="170"/>
    <s v="AC"/>
    <n v="19.554099999999998"/>
    <n v="11624.450999999999"/>
    <n v="37496.103000000003"/>
    <n v="226598.86"/>
    <x v="968"/>
    <n v="37697318.399999999"/>
    <n v="1927847.3929999999"/>
  </r>
  <r>
    <s v="SK14"/>
    <d v="2014-06-23T00:00:00"/>
    <x v="170"/>
    <s v="AGH"/>
    <n v="19.133299999999998"/>
    <n v="0"/>
    <n v="3030"/>
    <n v="0"/>
    <x v="969"/>
    <n v="8448386.3800000008"/>
    <n v="441552.94799999997"/>
  </r>
  <r>
    <s v="SK14"/>
    <d v="2014-06-23T00:00:00"/>
    <x v="170"/>
    <s v="AI"/>
    <n v="18.265599999999999"/>
    <n v="27380"/>
    <n v="0"/>
    <n v="498466.59"/>
    <x v="1"/>
    <n v="57808614.009999998"/>
    <n v="3164891.6839999999"/>
  </r>
  <r>
    <s v="SK14"/>
    <d v="2014-06-23T00:00:00"/>
    <x v="170"/>
    <s v="AUI"/>
    <n v="11.692399999999999"/>
    <n v="265.983"/>
    <n v="0"/>
    <n v="3099.93"/>
    <x v="1"/>
    <n v="2456549.88"/>
    <n v="210098.12299999999"/>
  </r>
  <r>
    <s v="SK14"/>
    <d v="2014-06-23T00:00:00"/>
    <x v="170"/>
    <s v="RGI"/>
    <n v="18.0168"/>
    <n v="12498.746999999999"/>
    <n v="1050"/>
    <n v="224446.75"/>
    <x v="970"/>
    <n v="66184715.350000001"/>
    <n v="3673506.3259999999"/>
  </r>
  <r>
    <s v="SK14"/>
    <d v="2014-06-23T00:00:00"/>
    <x v="170"/>
    <s v="S4"/>
    <n v="19.241199999999999"/>
    <n v="17.759"/>
    <n v="8.8170000000000002"/>
    <n v="340.58"/>
    <x v="971"/>
    <n v="1144468.83"/>
    <n v="59480.207999999999"/>
  </r>
  <r>
    <s v="SK14"/>
    <d v="2014-06-23T00:00:00"/>
    <x v="170"/>
    <s v="U2A"/>
    <n v="17.8048"/>
    <n v="2117.1080000000002"/>
    <n v="5.8730000000000002"/>
    <n v="37570.269999999997"/>
    <x v="972"/>
    <n v="2596582.13"/>
    <n v="145835.79999999999"/>
  </r>
  <r>
    <s v="SK14"/>
    <d v="2014-06-24T00:00:00"/>
    <x v="171"/>
    <s v="AA"/>
    <n v="23.660699999999999"/>
    <n v="66265.55"/>
    <n v="109365.435"/>
    <n v="1569506.18"/>
    <x v="973"/>
    <n v="277147952.13999999"/>
    <n v="11713452.825999999"/>
  </r>
  <r>
    <s v="SK14"/>
    <d v="2014-06-24T00:00:00"/>
    <x v="171"/>
    <s v="AB"/>
    <n v="18.798300000000001"/>
    <n v="0"/>
    <n v="1973.7349999999999"/>
    <n v="0"/>
    <x v="974"/>
    <n v="9053008.2899999991"/>
    <n v="481585.49800000002"/>
  </r>
  <r>
    <s v="SK14"/>
    <d v="2014-06-24T00:00:00"/>
    <x v="171"/>
    <s v="AC"/>
    <n v="19.533100000000001"/>
    <n v="12934.960999999999"/>
    <n v="28321.322"/>
    <n v="252931.52"/>
    <x v="975"/>
    <n v="37356383.340000004"/>
    <n v="1912461.0319999999"/>
  </r>
  <r>
    <s v="SK14"/>
    <d v="2014-06-24T00:00:00"/>
    <x v="171"/>
    <s v="AGH"/>
    <n v="19.163399999999999"/>
    <n v="0"/>
    <n v="11460"/>
    <n v="0"/>
    <x v="976"/>
    <n v="8242024.4100000001"/>
    <n v="430092.94799999997"/>
  </r>
  <r>
    <s v="SK14"/>
    <d v="2014-06-24T00:00:00"/>
    <x v="171"/>
    <s v="AI"/>
    <n v="18.2471"/>
    <n v="106549"/>
    <n v="0"/>
    <n v="1946181.41"/>
    <x v="1"/>
    <n v="59694454.289999999"/>
    <n v="3271440.6839999999"/>
  </r>
  <r>
    <s v="SK14"/>
    <d v="2014-06-24T00:00:00"/>
    <x v="171"/>
    <s v="AUI"/>
    <n v="11.680300000000001"/>
    <n v="225.06299999999999"/>
    <n v="1121.443"/>
    <n v="2631.52"/>
    <x v="977"/>
    <n v="2443548.7000000002"/>
    <n v="209201.74299999999"/>
  </r>
  <r>
    <s v="SK14"/>
    <d v="2014-06-24T00:00:00"/>
    <x v="171"/>
    <s v="BUI"/>
    <n v="11.299300000000001"/>
    <n v="0"/>
    <n v="5590.5839999999998"/>
    <n v="0"/>
    <x v="978"/>
    <n v="1920986.5"/>
    <n v="170008.946"/>
  </r>
  <r>
    <s v="SK14"/>
    <d v="2014-06-24T00:00:00"/>
    <x v="171"/>
    <s v="RGI"/>
    <n v="17.9986"/>
    <n v="7116.5209999999997"/>
    <n v="300"/>
    <n v="128217.23"/>
    <x v="979"/>
    <n v="66240569.340000004"/>
    <n v="3680322.8470000001"/>
  </r>
  <r>
    <s v="SK14"/>
    <d v="2014-06-24T00:00:00"/>
    <x v="171"/>
    <s v="U2A"/>
    <n v="17.786899999999999"/>
    <n v="1799.883"/>
    <n v="1.988"/>
    <n v="32046.42"/>
    <x v="980"/>
    <n v="2625949.5699999998"/>
    <n v="147633.69500000001"/>
  </r>
  <r>
    <s v="SK14"/>
    <d v="2014-06-25T00:00:00"/>
    <x v="172"/>
    <s v="AA"/>
    <n v="23.457799999999999"/>
    <n v="7931.4480000000003"/>
    <n v="8251.2950000000001"/>
    <n v="187663.62"/>
    <x v="981"/>
    <n v="274764626.20999998"/>
    <n v="11713132.979"/>
  </r>
  <r>
    <s v="SK14"/>
    <d v="2014-06-25T00:00:00"/>
    <x v="172"/>
    <s v="AB"/>
    <n v="18.636399999999998"/>
    <n v="1023.53"/>
    <n v="9589.1579999999994"/>
    <n v="19240.62"/>
    <x v="982"/>
    <n v="8815397.9600000009"/>
    <n v="473019.87"/>
  </r>
  <r>
    <s v="SK14"/>
    <d v="2014-06-25T00:00:00"/>
    <x v="172"/>
    <s v="AC"/>
    <n v="19.364899999999999"/>
    <n v="14645.537"/>
    <n v="18625.596000000001"/>
    <n v="286072.73"/>
    <x v="983"/>
    <n v="36957541.060000002"/>
    <n v="1908480.973"/>
  </r>
  <r>
    <s v="SK14"/>
    <d v="2014-06-25T00:00:00"/>
    <x v="172"/>
    <s v="AI"/>
    <n v="18.091100000000001"/>
    <n v="0"/>
    <n v="27673"/>
    <n v="0"/>
    <x v="984"/>
    <n v="58683322.450000003"/>
    <n v="3243767.6839999999"/>
  </r>
  <r>
    <s v="SK14"/>
    <d v="2014-06-25T00:00:00"/>
    <x v="172"/>
    <s v="AUI"/>
    <n v="11.5802"/>
    <n v="28.521999999999998"/>
    <n v="11976.317999999999"/>
    <n v="333.15"/>
    <x v="985"/>
    <n v="2284244.09"/>
    <n v="197253.94699999999"/>
  </r>
  <r>
    <s v="SK14"/>
    <d v="2014-06-25T00:00:00"/>
    <x v="172"/>
    <s v="RGI"/>
    <n v="17.8447"/>
    <n v="18491.937000000002"/>
    <n v="4285"/>
    <n v="332828.74"/>
    <x v="986"/>
    <n v="65927607.869999997"/>
    <n v="3694529.784"/>
  </r>
  <r>
    <s v="SK14"/>
    <d v="2014-06-25T00:00:00"/>
    <x v="172"/>
    <s v="S4"/>
    <n v="19.057700000000001"/>
    <n v="0.88400000000000001"/>
    <n v="0"/>
    <n v="16.989999999999998"/>
    <x v="1"/>
    <n v="1133574.08"/>
    <n v="59481.091999999997"/>
  </r>
  <r>
    <s v="SK14"/>
    <d v="2014-06-25T00:00:00"/>
    <x v="172"/>
    <s v="U2A"/>
    <n v="17.634899999999998"/>
    <n v="3145.8629999999998"/>
    <n v="0"/>
    <n v="55955.07"/>
    <x v="1"/>
    <n v="2658980.44"/>
    <n v="150779.55799999999"/>
  </r>
  <r>
    <s v="SK14"/>
    <d v="2014-06-26T00:00:00"/>
    <x v="173"/>
    <s v="AA"/>
    <n v="23.491099999999999"/>
    <n v="3996.4140000000002"/>
    <n v="32297.638999999999"/>
    <n v="93747.09"/>
    <x v="987"/>
    <n v="274489615.02999997"/>
    <n v="11684831.754000001"/>
  </r>
  <r>
    <s v="SK14"/>
    <d v="2014-06-26T00:00:00"/>
    <x v="173"/>
    <s v="AB"/>
    <n v="18.662099999999999"/>
    <n v="0"/>
    <n v="2472.1819999999998"/>
    <n v="0"/>
    <x v="988"/>
    <n v="8781406.2799999993"/>
    <n v="470547.68800000002"/>
  </r>
  <r>
    <s v="SK14"/>
    <d v="2014-06-26T00:00:00"/>
    <x v="173"/>
    <s v="AC"/>
    <n v="19.3916"/>
    <n v="3.9820000000000002"/>
    <n v="15363.027"/>
    <n v="77.11"/>
    <x v="989"/>
    <n v="36710618.659999996"/>
    <n v="1893121.9280000001"/>
  </r>
  <r>
    <s v="SK14"/>
    <d v="2014-06-26T00:00:00"/>
    <x v="173"/>
    <s v="AI"/>
    <n v="18.117100000000001"/>
    <n v="28599"/>
    <n v="0"/>
    <n v="517387.37"/>
    <x v="1"/>
    <n v="59285915.759999998"/>
    <n v="3272366.6839999999"/>
  </r>
  <r>
    <s v="SK14"/>
    <d v="2014-06-26T00:00:00"/>
    <x v="173"/>
    <s v="RGI"/>
    <n v="17.8703"/>
    <n v="6932.1490000000003"/>
    <n v="7253.4070000000002"/>
    <n v="123701.89"/>
    <x v="990"/>
    <n v="66016754.649999999"/>
    <n v="3694208.5260000001"/>
  </r>
  <r>
    <s v="SK14"/>
    <d v="2014-06-26T00:00:00"/>
    <x v="173"/>
    <s v="U2A"/>
    <n v="17.660299999999999"/>
    <n v="1910.15"/>
    <n v="62.323"/>
    <n v="33685.31"/>
    <x v="991"/>
    <n v="2695451.63"/>
    <n v="152627.38500000001"/>
  </r>
  <r>
    <s v="SK14"/>
    <d v="2014-06-27T00:00:00"/>
    <x v="174"/>
    <s v="A3"/>
    <n v="18.946999999999999"/>
    <n v="0"/>
    <n v="2149.752"/>
    <n v="0"/>
    <x v="992"/>
    <n v="6198904.4400000004"/>
    <n v="327170.68199999997"/>
  </r>
  <r>
    <s v="SK14"/>
    <d v="2014-06-27T00:00:00"/>
    <x v="174"/>
    <s v="AA"/>
    <n v="23.4282"/>
    <n v="10739.782999999999"/>
    <n v="22936.756000000001"/>
    <n v="252289.33"/>
    <x v="993"/>
    <n v="273469318.35000002"/>
    <n v="11672634.780999999"/>
  </r>
  <r>
    <s v="SK14"/>
    <d v="2014-06-27T00:00:00"/>
    <x v="174"/>
    <s v="AB"/>
    <n v="18.6114"/>
    <n v="0"/>
    <n v="1206.2650000000001"/>
    <n v="0"/>
    <x v="994"/>
    <n v="8735095.8100000005"/>
    <n v="469341.42300000001"/>
  </r>
  <r>
    <s v="SK14"/>
    <d v="2014-06-27T00:00:00"/>
    <x v="174"/>
    <s v="AC"/>
    <n v="19.338899999999999"/>
    <n v="28947.037"/>
    <n v="18384.363000000001"/>
    <n v="561329.36"/>
    <x v="995"/>
    <n v="36815141.770000003"/>
    <n v="1903684.602"/>
  </r>
  <r>
    <s v="SK14"/>
    <d v="2014-06-27T00:00:00"/>
    <x v="174"/>
    <s v="AI"/>
    <n v="18.068999999999999"/>
    <n v="0"/>
    <n v="798112"/>
    <n v="0"/>
    <x v="996"/>
    <n v="44707404.899999999"/>
    <n v="2474254.6839999999"/>
  </r>
  <r>
    <s v="SK14"/>
    <d v="2014-06-27T00:00:00"/>
    <x v="174"/>
    <s v="AUI"/>
    <n v="11.5656"/>
    <n v="57.540999999999997"/>
    <n v="1455.079"/>
    <n v="667.27"/>
    <x v="997"/>
    <n v="2265200.08"/>
    <n v="195856.40900000001"/>
  </r>
  <r>
    <s v="SK14"/>
    <d v="2014-06-27T00:00:00"/>
    <x v="174"/>
    <s v="RGI"/>
    <n v="17.822900000000001"/>
    <n v="8436.23"/>
    <n v="2608.6080000000002"/>
    <n v="150758.60999999999"/>
    <x v="998"/>
    <n v="65945313.399999999"/>
    <n v="3700036.148"/>
  </r>
  <r>
    <s v="SK14"/>
    <d v="2014-06-27T00:00:00"/>
    <x v="174"/>
    <s v="S4"/>
    <n v="19.034800000000001"/>
    <n v="0.89200000000000002"/>
    <n v="401.49200000000002"/>
    <n v="17.03"/>
    <x v="999"/>
    <n v="1124587.5900000001"/>
    <n v="59080.491999999998"/>
  </r>
  <r>
    <s v="SK14"/>
    <d v="2014-06-27T00:00:00"/>
    <x v="174"/>
    <s v="U2A"/>
    <n v="17.613499999999998"/>
    <n v="2753.1840000000002"/>
    <n v="12.891999999999999"/>
    <n v="48621.919999999998"/>
    <x v="1000"/>
    <n v="2736570.89"/>
    <n v="155367.677"/>
  </r>
  <r>
    <s v="SK14"/>
    <d v="2014-06-30T00:00:00"/>
    <x v="175"/>
    <s v="AA"/>
    <n v="23.399100000000001"/>
    <n v="4022.2040000000002"/>
    <n v="10018.343000000001"/>
    <n v="94233"/>
    <x v="1001"/>
    <n v="272989175.82999998"/>
    <n v="11666638.642000001"/>
  </r>
  <r>
    <s v="SK14"/>
    <d v="2014-06-30T00:00:00"/>
    <x v="175"/>
    <s v="AB"/>
    <n v="18.585999999999999"/>
    <n v="0"/>
    <n v="14720.811"/>
    <n v="0"/>
    <x v="1002"/>
    <n v="8449563.1899999995"/>
    <n v="454620.61200000002"/>
  </r>
  <r>
    <s v="SK14"/>
    <d v="2014-06-30T00:00:00"/>
    <x v="175"/>
    <s v="AC"/>
    <n v="19.3125"/>
    <n v="2249.4290000000001"/>
    <n v="6792.8969999999999"/>
    <n v="43501.5"/>
    <x v="1003"/>
    <n v="36677107.600000001"/>
    <n v="1899141.1340000001"/>
  </r>
  <r>
    <s v="SK14"/>
    <d v="2014-06-30T00:00:00"/>
    <x v="175"/>
    <s v="AGH"/>
    <n v="18.988600000000002"/>
    <n v="0"/>
    <n v="5"/>
    <n v="0"/>
    <x v="1004"/>
    <n v="8166788.1500000004"/>
    <n v="430087.94799999997"/>
  </r>
  <r>
    <s v="SK14"/>
    <d v="2014-06-30T00:00:00"/>
    <x v="175"/>
    <s v="AI"/>
    <n v="18.047699999999999"/>
    <n v="0"/>
    <n v="490458"/>
    <n v="0"/>
    <x v="1005"/>
    <n v="35802984.229999997"/>
    <n v="1983796.6839999999"/>
  </r>
  <r>
    <s v="SK14"/>
    <d v="2014-06-30T00:00:00"/>
    <x v="175"/>
    <s v="AUI"/>
    <n v="11.5512"/>
    <n v="86.608000000000004"/>
    <n v="10541.282999999999"/>
    <n v="1001.67"/>
    <x v="1006"/>
    <n v="2141620.81"/>
    <n v="185401.734"/>
  </r>
  <r>
    <s v="SK14"/>
    <d v="2014-06-30T00:00:00"/>
    <x v="175"/>
    <s v="BUI"/>
    <n v="11.1717"/>
    <n v="2650.1060000000002"/>
    <n v="0"/>
    <n v="29646.73"/>
    <x v="1"/>
    <n v="1928890.23"/>
    <n v="172659.052"/>
  </r>
  <r>
    <s v="SK14"/>
    <d v="2014-06-30T00:00:00"/>
    <x v="175"/>
    <s v="RGI"/>
    <n v="17.8018"/>
    <n v="16264.228999999999"/>
    <n v="0"/>
    <n v="289876.33"/>
    <x v="1"/>
    <n v="66156962.689999998"/>
    <n v="3716300.3769999999"/>
  </r>
  <r>
    <s v="SK14"/>
    <d v="2014-06-30T00:00:00"/>
    <x v="175"/>
    <s v="U2A"/>
    <n v="17.5929"/>
    <n v="2719.5369999999998"/>
    <n v="85.022999999999996"/>
    <n v="47900.67"/>
    <x v="1007"/>
    <n v="2779721.48"/>
    <n v="158002.19099999999"/>
  </r>
  <r>
    <s v="SK14"/>
    <d v="2014-07-01T00:00:00"/>
    <x v="176"/>
    <s v="AA"/>
    <n v="23.348500000000001"/>
    <n v="1329.627"/>
    <n v="327.77499999999998"/>
    <n v="31112.07"/>
    <x v="1008"/>
    <n v="272421864.13"/>
    <n v="11667640.494000001"/>
  </r>
  <r>
    <s v="SK14"/>
    <d v="2014-07-01T00:00:00"/>
    <x v="176"/>
    <s v="AB"/>
    <n v="18.545000000000002"/>
    <n v="783.06"/>
    <n v="2103.6999999999998"/>
    <n v="14553.95"/>
    <x v="1009"/>
    <n v="8406441.1799999997"/>
    <n v="453299.97200000001"/>
  </r>
  <r>
    <s v="SK14"/>
    <d v="2014-07-01T00:00:00"/>
    <x v="176"/>
    <s v="AC"/>
    <n v="19.2699"/>
    <n v="22939.935000000001"/>
    <n v="1462.9090000000001"/>
    <n v="443027.48"/>
    <x v="1010"/>
    <n v="37010097.619999997"/>
    <n v="1920618.16"/>
  </r>
  <r>
    <s v="SK14"/>
    <d v="2014-07-01T00:00:00"/>
    <x v="176"/>
    <s v="AGH"/>
    <n v="19.000699999999998"/>
    <n v="3"/>
    <n v="0"/>
    <n v="56.96"/>
    <x v="1"/>
    <n v="8172037.1900000004"/>
    <n v="430090.94799999997"/>
  </r>
  <r>
    <s v="SK14"/>
    <d v="2014-07-01T00:00:00"/>
    <x v="176"/>
    <s v="AI"/>
    <n v="18.009"/>
    <n v="78971"/>
    <n v="0"/>
    <n v="1425244.92"/>
    <x v="1"/>
    <n v="37148438.380000003"/>
    <n v="2062767.6839999999"/>
  </r>
  <r>
    <s v="SK14"/>
    <d v="2014-07-01T00:00:00"/>
    <x v="176"/>
    <s v="AUI"/>
    <n v="11.3803"/>
    <n v="52.055"/>
    <n v="18121.170999999998"/>
    <n v="601.29999999999995"/>
    <x v="1011"/>
    <n v="1904289.62"/>
    <n v="167332.61799999999"/>
  </r>
  <r>
    <s v="SK14"/>
    <d v="2014-07-01T00:00:00"/>
    <x v="176"/>
    <s v="BUI"/>
    <n v="11.0776"/>
    <n v="0"/>
    <n v="2637.201"/>
    <n v="0"/>
    <x v="1012"/>
    <n v="1883431.16"/>
    <n v="170021.851"/>
  </r>
  <r>
    <s v="SK14"/>
    <d v="2014-07-01T00:00:00"/>
    <x v="176"/>
    <s v="RGI"/>
    <n v="17.613"/>
    <n v="19425.845000000001"/>
    <n v="0"/>
    <n v="345814.18"/>
    <x v="1"/>
    <n v="65797219.049999997"/>
    <n v="3735726.2220000001"/>
  </r>
  <r>
    <s v="SK14"/>
    <d v="2014-07-01T00:00:00"/>
    <x v="176"/>
    <s v="U2A"/>
    <n v="17.555299999999999"/>
    <n v="1125.3499999999999"/>
    <n v="37.000999999999998"/>
    <n v="19798.18"/>
    <x v="1013"/>
    <n v="2792881.43"/>
    <n v="159090.54"/>
  </r>
  <r>
    <s v="SK14"/>
    <d v="2014-07-02T00:00:00"/>
    <x v="177"/>
    <s v="AA"/>
    <n v="23.498799999999999"/>
    <n v="56375.83"/>
    <n v="9268.6329999999998"/>
    <n v="1316291.1000000001"/>
    <x v="1014"/>
    <n v="275282751.85000002"/>
    <n v="11714747.691"/>
  </r>
  <r>
    <s v="SK14"/>
    <d v="2014-07-02T00:00:00"/>
    <x v="177"/>
    <s v="AB"/>
    <n v="18.663599999999999"/>
    <n v="0"/>
    <n v="1296.53"/>
    <n v="0"/>
    <x v="1015"/>
    <n v="8436020.6300000008"/>
    <n v="452003.44199999998"/>
  </r>
  <r>
    <s v="SK14"/>
    <d v="2014-07-02T00:00:00"/>
    <x v="177"/>
    <s v="AC"/>
    <n v="19.3932"/>
    <n v="28267.827000000001"/>
    <n v="2411.5439999999999"/>
    <n v="544718.23"/>
    <x v="1016"/>
    <n v="37748292.850000001"/>
    <n v="1946474.443"/>
  </r>
  <r>
    <s v="SK14"/>
    <d v="2014-07-02T00:00:00"/>
    <x v="177"/>
    <s v="AGH"/>
    <n v="19.088100000000001"/>
    <n v="24"/>
    <n v="117"/>
    <n v="456.02"/>
    <x v="1017"/>
    <n v="8207827.6600000001"/>
    <n v="429997.94799999997"/>
  </r>
  <r>
    <s v="SK14"/>
    <d v="2014-07-02T00:00:00"/>
    <x v="177"/>
    <s v="AI"/>
    <n v="18.125299999999999"/>
    <n v="299108"/>
    <n v="0"/>
    <n v="5386635.9699999997"/>
    <x v="1"/>
    <n v="42809800.399999999"/>
    <n v="2361875.6839999999"/>
  </r>
  <r>
    <s v="SK14"/>
    <d v="2014-07-02T00:00:00"/>
    <x v="177"/>
    <s v="RGI"/>
    <n v="17.726700000000001"/>
    <n v="15953.288"/>
    <n v="1875"/>
    <n v="280986.34000000003"/>
    <x v="1018"/>
    <n v="66471754.329999998"/>
    <n v="3749804.51"/>
  </r>
  <r>
    <s v="SK14"/>
    <d v="2014-07-02T00:00:00"/>
    <x v="177"/>
    <s v="U2A"/>
    <n v="17.668800000000001"/>
    <n v="1088.7840000000001"/>
    <n v="3.0979999999999999"/>
    <n v="19113.939999999999"/>
    <x v="1019"/>
    <n v="2830114.34"/>
    <n v="160176.226"/>
  </r>
  <r>
    <s v="SK14"/>
    <d v="2014-07-03T00:00:00"/>
    <x v="178"/>
    <s v="AA"/>
    <n v="23.5076"/>
    <n v="1082.442"/>
    <n v="5109.4350000000004"/>
    <n v="25436.12"/>
    <x v="1020"/>
    <n v="275291229.12"/>
    <n v="11710720.698000001"/>
  </r>
  <r>
    <s v="SK14"/>
    <d v="2014-07-03T00:00:00"/>
    <x v="178"/>
    <s v="AB"/>
    <n v="18.669799999999999"/>
    <n v="9518.3189999999995"/>
    <n v="2287.1979999999999"/>
    <n v="177646.1"/>
    <x v="1021"/>
    <n v="8573838.4900000002"/>
    <n v="459234.56300000002"/>
  </r>
  <r>
    <s v="SK14"/>
    <d v="2014-07-03T00:00:00"/>
    <x v="178"/>
    <s v="AC"/>
    <n v="19.3996"/>
    <n v="14759.335999999999"/>
    <n v="7507.9440000000004"/>
    <n v="286230.75"/>
    <x v="1022"/>
    <n v="37901559.579999998"/>
    <n v="1953725.835"/>
  </r>
  <r>
    <s v="SK14"/>
    <d v="2014-07-03T00:00:00"/>
    <x v="178"/>
    <s v="AI"/>
    <n v="18.1325"/>
    <n v="0"/>
    <n v="190696"/>
    <n v="0"/>
    <x v="1023"/>
    <n v="39368931.619999997"/>
    <n v="2171179.6839999999"/>
  </r>
  <r>
    <s v="SK14"/>
    <d v="2014-07-03T00:00:00"/>
    <x v="178"/>
    <s v="AUI"/>
    <n v="11.457800000000001"/>
    <n v="0"/>
    <n v="86.608000000000004"/>
    <n v="0"/>
    <x v="1024"/>
    <n v="1916275.69"/>
    <n v="167246.01"/>
  </r>
  <r>
    <s v="SK14"/>
    <d v="2014-07-03T00:00:00"/>
    <x v="178"/>
    <s v="C1M"/>
    <n v="11.327199999999999"/>
    <n v="0"/>
    <n v="1856.6949999999999"/>
    <n v="0"/>
    <x v="1025"/>
    <n v="480137.77"/>
    <n v="42388.127"/>
  </r>
  <r>
    <s v="SK14"/>
    <d v="2014-07-03T00:00:00"/>
    <x v="178"/>
    <s v="RGI"/>
    <n v="17.733699999999999"/>
    <n v="12636.947"/>
    <n v="430"/>
    <n v="224010.4"/>
    <x v="1026"/>
    <n v="66714499.119999997"/>
    <n v="3762011.4569999999"/>
  </r>
  <r>
    <s v="SK14"/>
    <d v="2014-07-03T00:00:00"/>
    <x v="178"/>
    <s v="S4"/>
    <n v="19.102799999999998"/>
    <n v="0"/>
    <n v="14.247"/>
    <n v="0"/>
    <x v="1027"/>
    <n v="1128331.32"/>
    <n v="59066.245000000003"/>
  </r>
  <r>
    <s v="SK14"/>
    <d v="2014-07-03T00:00:00"/>
    <x v="178"/>
    <s v="U2A"/>
    <n v="17.675799999999999"/>
    <n v="4961.8519999999999"/>
    <n v="6507.4650000000001"/>
    <n v="87669.96"/>
    <x v="1028"/>
    <n v="2803924.5"/>
    <n v="158630.61300000001"/>
  </r>
  <r>
    <s v="SK14"/>
    <d v="2014-07-07T00:00:00"/>
    <x v="179"/>
    <s v="AA"/>
    <n v="23.644400000000001"/>
    <n v="61.750999999999998"/>
    <n v="15496.616"/>
    <n v="1451.62"/>
    <x v="1029"/>
    <n v="276528201.88999999"/>
    <n v="11695285.833000001"/>
  </r>
  <r>
    <s v="SK14"/>
    <d v="2014-07-07T00:00:00"/>
    <x v="179"/>
    <s v="AC"/>
    <n v="19.5093"/>
    <n v="2399.0650000000001"/>
    <n v="13908.875"/>
    <n v="46540.91"/>
    <x v="1030"/>
    <n v="37891330.229999997"/>
    <n v="1942216.0249999999"/>
  </r>
  <r>
    <s v="SK14"/>
    <d v="2014-07-07T00:00:00"/>
    <x v="179"/>
    <s v="AI"/>
    <n v="18.2395"/>
    <n v="0"/>
    <n v="302974"/>
    <n v="0"/>
    <x v="1031"/>
    <n v="34075160.100000001"/>
    <n v="1868205.6839999999"/>
  </r>
  <r>
    <s v="SK14"/>
    <d v="2014-07-07T00:00:00"/>
    <x v="179"/>
    <s v="AUI"/>
    <n v="11.5245"/>
    <n v="0"/>
    <n v="2167.5569999999998"/>
    <n v="0"/>
    <x v="1032"/>
    <n v="1902446.56"/>
    <n v="165078.45300000001"/>
  </r>
  <r>
    <s v="SK14"/>
    <d v="2014-07-07T00:00:00"/>
    <x v="179"/>
    <s v="RGI"/>
    <n v="17.8384"/>
    <n v="6465.1289999999999"/>
    <n v="1040"/>
    <n v="114650.73"/>
    <x v="1033"/>
    <n v="67204969.849999994"/>
    <n v="3767436.5860000001"/>
  </r>
  <r>
    <s v="SK14"/>
    <d v="2014-07-07T00:00:00"/>
    <x v="179"/>
    <s v="U2A"/>
    <n v="17.7804"/>
    <n v="28966.755000000001"/>
    <n v="186.023"/>
    <n v="512010.16"/>
    <x v="1034"/>
    <n v="3332249.57"/>
    <n v="187411.345"/>
  </r>
  <r>
    <s v="SK14"/>
    <d v="2014-07-08T00:00:00"/>
    <x v="180"/>
    <s v="AA"/>
    <n v="23.532699999999998"/>
    <n v="12642.492"/>
    <n v="12076.58"/>
    <n v="298924.13"/>
    <x v="1035"/>
    <n v="275234578.91000003"/>
    <n v="11695851.744999999"/>
  </r>
  <r>
    <s v="SK14"/>
    <d v="2014-07-08T00:00:00"/>
    <x v="180"/>
    <s v="AB"/>
    <n v="18.6859"/>
    <n v="0"/>
    <n v="10643.584999999999"/>
    <n v="0"/>
    <x v="1036"/>
    <n v="8382329.8399999999"/>
    <n v="448590.978"/>
  </r>
  <r>
    <s v="SK14"/>
    <d v="2014-07-08T00:00:00"/>
    <x v="180"/>
    <s v="AC"/>
    <n v="19.4163"/>
    <n v="78.313999999999993"/>
    <n v="57799.218999999997"/>
    <n v="1527.87"/>
    <x v="1037"/>
    <n v="36589963.359999999"/>
    <n v="1884495.12"/>
  </r>
  <r>
    <s v="SK14"/>
    <d v="2014-07-08T00:00:00"/>
    <x v="180"/>
    <s v="AGH"/>
    <n v="19.017700000000001"/>
    <n v="2"/>
    <n v="0"/>
    <n v="38.22"/>
    <x v="1"/>
    <n v="8177603.9900000002"/>
    <n v="429999.94799999997"/>
  </r>
  <r>
    <s v="SK14"/>
    <d v="2014-07-08T00:00:00"/>
    <x v="180"/>
    <s v="AUI"/>
    <n v="11.47"/>
    <n v="136.255"/>
    <n v="3615.7379999999998"/>
    <n v="1570.27"/>
    <x v="1038"/>
    <n v="1853545.33"/>
    <n v="161598.97"/>
  </r>
  <r>
    <s v="SK14"/>
    <d v="2014-07-08T00:00:00"/>
    <x v="180"/>
    <s v="RGI"/>
    <n v="17.7544"/>
    <n v="1991.94"/>
    <n v="299.01"/>
    <n v="35532.93"/>
    <x v="1039"/>
    <n v="66918780.509999998"/>
    <n v="3769129.5159999998"/>
  </r>
  <r>
    <s v="SK14"/>
    <d v="2014-07-08T00:00:00"/>
    <x v="180"/>
    <s v="S4"/>
    <n v="19.126000000000001"/>
    <n v="0"/>
    <n v="5.4429999999999996"/>
    <n v="0"/>
    <x v="1040"/>
    <n v="1129599.05"/>
    <n v="59060.802000000003"/>
  </r>
  <r>
    <s v="SK14"/>
    <d v="2014-07-08T00:00:00"/>
    <x v="180"/>
    <s v="U2A"/>
    <n v="17.6968"/>
    <n v="7360.2169999999996"/>
    <n v="222.79900000000001"/>
    <n v="130868.22"/>
    <x v="1041"/>
    <n v="3442892.79"/>
    <n v="194548.76300000001"/>
  </r>
  <r>
    <s v="SK14"/>
    <d v="2014-07-09T00:00:00"/>
    <x v="181"/>
    <s v="AA"/>
    <n v="23.366399999999999"/>
    <n v="189785.36799999999"/>
    <n v="122045.845"/>
    <n v="4466162.1399999997"/>
    <x v="1042"/>
    <n v="274872929.91000003"/>
    <n v="11763591.267999999"/>
  </r>
  <r>
    <s v="SK14"/>
    <d v="2014-07-09T00:00:00"/>
    <x v="181"/>
    <s v="AB"/>
    <n v="18.553100000000001"/>
    <n v="0"/>
    <n v="987.26099999999997"/>
    <n v="0"/>
    <x v="1043"/>
    <n v="8304448.9800000004"/>
    <n v="447603.717"/>
  </r>
  <r>
    <s v="SK14"/>
    <d v="2014-07-09T00:00:00"/>
    <x v="181"/>
    <s v="AC"/>
    <n v="19.278400000000001"/>
    <n v="7062.3990000000003"/>
    <n v="6028.0550000000003"/>
    <n v="137125.65"/>
    <x v="1044"/>
    <n v="36349898.82"/>
    <n v="1885529.4639999999"/>
  </r>
  <r>
    <s v="SK14"/>
    <d v="2014-07-09T00:00:00"/>
    <x v="181"/>
    <s v="AI"/>
    <n v="18.0258"/>
    <n v="0"/>
    <n v="34975"/>
    <n v="0"/>
    <x v="1045"/>
    <n v="33045454.629999999"/>
    <n v="1833230.6839999999"/>
  </r>
  <r>
    <s v="SK14"/>
    <d v="2014-07-09T00:00:00"/>
    <x v="181"/>
    <s v="AUI"/>
    <n v="11.388999999999999"/>
    <n v="116.125"/>
    <n v="0"/>
    <n v="1331.95"/>
    <x v="1"/>
    <n v="1841772.91"/>
    <n v="161715.095"/>
  </r>
  <r>
    <s v="SK14"/>
    <d v="2014-07-09T00:00:00"/>
    <x v="181"/>
    <s v="C1M"/>
    <n v="11.256399999999999"/>
    <n v="111.006"/>
    <n v="0"/>
    <n v="1258.46"/>
    <x v="1"/>
    <n v="478385.61"/>
    <n v="42499.133000000002"/>
  </r>
  <r>
    <s v="SK14"/>
    <d v="2014-07-09T00:00:00"/>
    <x v="181"/>
    <s v="RGI"/>
    <n v="17.6294"/>
    <n v="8325.0769999999993"/>
    <n v="5948.0929999999998"/>
    <n v="147807.23000000001"/>
    <x v="1046"/>
    <n v="66489291.659999996"/>
    <n v="3771506.5"/>
  </r>
  <r>
    <s v="SK14"/>
    <d v="2014-07-09T00:00:00"/>
    <x v="181"/>
    <s v="U2A"/>
    <n v="17.572199999999999"/>
    <n v="3109.9050000000002"/>
    <n v="45.081000000000003"/>
    <n v="55035.26"/>
    <x v="1047"/>
    <n v="3472509.92"/>
    <n v="197613.587"/>
  </r>
  <r>
    <s v="SK14"/>
    <d v="2014-07-10T00:00:00"/>
    <x v="182"/>
    <s v="A3"/>
    <n v="18.945799999999998"/>
    <n v="0"/>
    <n v="1296.634"/>
    <n v="0"/>
    <x v="1048"/>
    <n v="6173956.4400000004"/>
    <n v="325874.04800000001"/>
  </r>
  <r>
    <s v="SK14"/>
    <d v="2014-07-10T00:00:00"/>
    <x v="182"/>
    <s v="AA"/>
    <n v="23.4268"/>
    <n v="2118.4270000000001"/>
    <n v="99021.485000000001"/>
    <n v="49500"/>
    <x v="1049"/>
    <n v="273313154.85000002"/>
    <n v="11666688.210000001"/>
  </r>
  <r>
    <s v="SK14"/>
    <d v="2014-07-10T00:00:00"/>
    <x v="182"/>
    <s v="AB"/>
    <n v="18.600300000000001"/>
    <n v="0"/>
    <n v="5074.8850000000002"/>
    <n v="0"/>
    <x v="1050"/>
    <n v="8231174.5199999996"/>
    <n v="442528.83199999999"/>
  </r>
  <r>
    <s v="SK14"/>
    <d v="2014-07-10T00:00:00"/>
    <x v="182"/>
    <s v="AC"/>
    <n v="19.327400000000001"/>
    <n v="8492.3850000000002"/>
    <n v="1568.7180000000001"/>
    <n v="163719.60999999999"/>
    <x v="1051"/>
    <n v="36576160.479999997"/>
    <n v="1892453.1310000001"/>
  </r>
  <r>
    <s v="SK14"/>
    <d v="2014-07-10T00:00:00"/>
    <x v="182"/>
    <s v="AI"/>
    <n v="18.072800000000001"/>
    <n v="0"/>
    <n v="145167"/>
    <n v="0"/>
    <x v="1052"/>
    <n v="30507965.27"/>
    <n v="1688063.6839999999"/>
  </r>
  <r>
    <s v="SK14"/>
    <d v="2014-07-10T00:00:00"/>
    <x v="182"/>
    <s v="AUI"/>
    <n v="11.4184"/>
    <n v="0"/>
    <n v="1022.285"/>
    <n v="0"/>
    <x v="1053"/>
    <n v="1834859.7"/>
    <n v="160692.81"/>
  </r>
  <r>
    <s v="SK14"/>
    <d v="2014-07-10T00:00:00"/>
    <x v="182"/>
    <s v="RGI"/>
    <n v="17.6753"/>
    <n v="6909.1310000000003"/>
    <n v="1300"/>
    <n v="121804.28"/>
    <x v="1054"/>
    <n v="66761629.25"/>
    <n v="3777115.6310000001"/>
  </r>
  <r>
    <s v="SK14"/>
    <d v="2014-07-10T00:00:00"/>
    <x v="182"/>
    <s v="S4"/>
    <n v="19.0411"/>
    <n v="0"/>
    <n v="2.052"/>
    <n v="0"/>
    <x v="1055"/>
    <n v="1124546.3899999999"/>
    <n v="59058.75"/>
  </r>
  <r>
    <s v="SK14"/>
    <d v="2014-07-10T00:00:00"/>
    <x v="182"/>
    <s v="U2A"/>
    <n v="17.618099999999998"/>
    <n v="4402.5079999999998"/>
    <n v="171.798"/>
    <n v="77361.48"/>
    <x v="1056"/>
    <n v="3556106.1"/>
    <n v="201844.29699999999"/>
  </r>
  <r>
    <s v="SK14"/>
    <d v="2014-07-11T00:00:00"/>
    <x v="183"/>
    <s v="AA"/>
    <n v="23.3231"/>
    <n v="7012.6639999999998"/>
    <n v="66080.160999999993"/>
    <n v="164284.32999999999"/>
    <x v="1057"/>
    <n v="270725350.54000002"/>
    <n v="11607620.713"/>
  </r>
  <r>
    <s v="SK14"/>
    <d v="2014-07-11T00:00:00"/>
    <x v="183"/>
    <s v="AB"/>
    <n v="18.517199999999999"/>
    <n v="1638.4680000000001"/>
    <n v="578.97299999999996"/>
    <n v="30476"/>
    <x v="1058"/>
    <n v="8214009.3300000001"/>
    <n v="443588.32699999999"/>
  </r>
  <r>
    <s v="SK14"/>
    <d v="2014-07-11T00:00:00"/>
    <x v="183"/>
    <s v="AC"/>
    <n v="19.241"/>
    <n v="122.571"/>
    <n v="35293.866999999998"/>
    <n v="2368.9699999999998"/>
    <x v="1059"/>
    <n v="35735974.460000001"/>
    <n v="1857281.835"/>
  </r>
  <r>
    <s v="SK14"/>
    <d v="2014-07-11T00:00:00"/>
    <x v="183"/>
    <s v="AI"/>
    <n v="17.993099999999998"/>
    <n v="59587"/>
    <n v="0"/>
    <n v="1076903.93"/>
    <x v="1"/>
    <n v="31445667.530000001"/>
    <n v="1747650.6839999999"/>
  </r>
  <r>
    <s v="SK14"/>
    <d v="2014-07-11T00:00:00"/>
    <x v="183"/>
    <s v="RGI"/>
    <n v="17.5974"/>
    <n v="3093.29"/>
    <n v="47890"/>
    <n v="54674.85"/>
    <x v="1060"/>
    <n v="65679089.640000001"/>
    <n v="3732318.9210000001"/>
  </r>
  <r>
    <s v="SK14"/>
    <d v="2014-07-11T00:00:00"/>
    <x v="183"/>
    <s v="S4"/>
    <n v="18.9574"/>
    <n v="12.923"/>
    <n v="0"/>
    <n v="246.06"/>
    <x v="1"/>
    <n v="1119846.19"/>
    <n v="59071.673000000003"/>
  </r>
  <r>
    <s v="SK14"/>
    <d v="2014-07-11T00:00:00"/>
    <x v="183"/>
    <s v="U2A"/>
    <n v="17.540500000000002"/>
    <n v="1791.598"/>
    <n v="94.756"/>
    <n v="31564.67"/>
    <x v="1061"/>
    <n v="3570211.77"/>
    <n v="203541.139"/>
  </r>
  <r>
    <s v="SK14"/>
    <d v="2014-07-14T00:00:00"/>
    <x v="184"/>
    <s v="AA"/>
    <n v="23.339300000000001"/>
    <n v="3770.2280000000001"/>
    <n v="27733.278999999999"/>
    <n v="87933.42"/>
    <x v="1062"/>
    <n v="270354242.92000002"/>
    <n v="11583657.662"/>
  </r>
  <r>
    <s v="SK14"/>
    <d v="2014-07-14T00:00:00"/>
    <x v="184"/>
    <s v="AB"/>
    <n v="18.527799999999999"/>
    <n v="1912.924"/>
    <n v="4027.8270000000002"/>
    <n v="35422"/>
    <x v="1063"/>
    <n v="8179521.5"/>
    <n v="441473.424"/>
  </r>
  <r>
    <s v="SK14"/>
    <d v="2014-07-14T00:00:00"/>
    <x v="184"/>
    <s v="AC"/>
    <n v="19.251999999999999"/>
    <n v="21623.222000000002"/>
    <n v="82.111000000000004"/>
    <n v="416052.33"/>
    <x v="1064"/>
    <n v="36171117.149999999"/>
    <n v="1878822.946"/>
  </r>
  <r>
    <s v="SK14"/>
    <d v="2014-07-14T00:00:00"/>
    <x v="184"/>
    <s v="AI"/>
    <n v="18.006699999999999"/>
    <n v="0"/>
    <n v="223227"/>
    <n v="0"/>
    <x v="1065"/>
    <n v="27449877.850000001"/>
    <n v="1524423.6839999999"/>
  </r>
  <r>
    <s v="SK14"/>
    <d v="2014-07-14T00:00:00"/>
    <x v="184"/>
    <s v="AUI"/>
    <n v="11.3758"/>
    <n v="0"/>
    <n v="4347.2929999999997"/>
    <n v="0"/>
    <x v="1066"/>
    <n v="1778551.12"/>
    <n v="156345.51699999999"/>
  </r>
  <r>
    <s v="SK14"/>
    <d v="2014-07-14T00:00:00"/>
    <x v="184"/>
    <s v="RGI"/>
    <n v="17.610700000000001"/>
    <n v="975"/>
    <n v="0"/>
    <n v="17157.53"/>
    <x v="1"/>
    <n v="65745960.520000003"/>
    <n v="3733293.9210000001"/>
  </r>
  <r>
    <s v="SK14"/>
    <d v="2014-07-14T00:00:00"/>
    <x v="184"/>
    <s v="U2A"/>
    <n v="17.553999999999998"/>
    <n v="2947.2809999999999"/>
    <n v="5.7140000000000004"/>
    <n v="51697.03"/>
    <x v="1067"/>
    <n v="3624593.89"/>
    <n v="206482.70600000001"/>
  </r>
  <r>
    <s v="SK14"/>
    <d v="2014-07-15T00:00:00"/>
    <x v="185"/>
    <s v="AA"/>
    <n v="23.4162"/>
    <n v="82557.534"/>
    <n v="26138.89"/>
    <n v="1926835.05"/>
    <x v="1068"/>
    <n v="272566076.47000003"/>
    <n v="11640076.306"/>
  </r>
  <r>
    <s v="SK14"/>
    <d v="2014-07-15T00:00:00"/>
    <x v="185"/>
    <s v="AB"/>
    <n v="18.588100000000001"/>
    <n v="29911.746999999999"/>
    <n v="3579.7710000000002"/>
    <n v="554198.88"/>
    <x v="1069"/>
    <n v="8695594.9600000009"/>
    <n v="467805.4"/>
  </r>
  <r>
    <s v="SK14"/>
    <d v="2014-07-15T00:00:00"/>
    <x v="185"/>
    <s v="AC"/>
    <n v="19.314599999999999"/>
    <n v="27279.827000000001"/>
    <n v="133.268"/>
    <n v="525191.21"/>
    <x v="1070"/>
    <n v="36813127.899999999"/>
    <n v="1905969.5049999999"/>
  </r>
  <r>
    <s v="SK14"/>
    <d v="2014-07-15T00:00:00"/>
    <x v="185"/>
    <s v="AUI"/>
    <n v="11.4133"/>
    <n v="52.734999999999999"/>
    <n v="0"/>
    <n v="599.9"/>
    <x v="1"/>
    <n v="1785012.72"/>
    <n v="156398.25200000001"/>
  </r>
  <r>
    <s v="SK14"/>
    <d v="2014-07-15T00:00:00"/>
    <x v="185"/>
    <s v="RGI"/>
    <n v="17.6691"/>
    <n v="23581.157999999999"/>
    <n v="740"/>
    <n v="415279.23"/>
    <x v="1071"/>
    <n v="66367502.5"/>
    <n v="3756135.0789999999"/>
  </r>
  <r>
    <s v="SK14"/>
    <d v="2014-07-15T00:00:00"/>
    <x v="185"/>
    <s v="S4"/>
    <n v="19.035399999999999"/>
    <n v="0"/>
    <n v="4.07"/>
    <n v="0"/>
    <x v="1072"/>
    <n v="1124375.51"/>
    <n v="59067.603000000003"/>
  </r>
  <r>
    <s v="SK14"/>
    <d v="2014-07-15T00:00:00"/>
    <x v="185"/>
    <s v="U2A"/>
    <n v="17.612300000000001"/>
    <n v="1742.645"/>
    <n v="65.62"/>
    <n v="30590.400000000001"/>
    <x v="1073"/>
    <n v="3666161.28"/>
    <n v="208159.731"/>
  </r>
  <r>
    <s v="SK14"/>
    <d v="2014-07-16T00:00:00"/>
    <x v="186"/>
    <s v="AA"/>
    <n v="23.441800000000001"/>
    <n v="38070.385999999999"/>
    <n v="1024.931"/>
    <n v="891463.74"/>
    <x v="1074"/>
    <n v="273732956.75"/>
    <n v="11677121.761"/>
  </r>
  <r>
    <s v="SK14"/>
    <d v="2014-07-16T00:00:00"/>
    <x v="186"/>
    <s v="AB"/>
    <n v="18.607700000000001"/>
    <n v="1433.383"/>
    <n v="894.65200000000004"/>
    <n v="26643.86"/>
    <x v="1075"/>
    <n v="8714784.0199999996"/>
    <n v="468344.13099999999"/>
  </r>
  <r>
    <s v="SK14"/>
    <d v="2014-07-16T00:00:00"/>
    <x v="186"/>
    <s v="AC"/>
    <n v="19.335000000000001"/>
    <n v="5201.1090000000004"/>
    <n v="207.637"/>
    <n v="100457.34"/>
    <x v="1076"/>
    <n v="36948474.880000003"/>
    <n v="1910962.977"/>
  </r>
  <r>
    <s v="SK14"/>
    <d v="2014-07-16T00:00:00"/>
    <x v="186"/>
    <s v="AGH"/>
    <n v="18.858699999999999"/>
    <n v="0"/>
    <n v="12115.611999999999"/>
    <n v="0"/>
    <x v="1077"/>
    <n v="7880742.2999999998"/>
    <n v="417884.33600000001"/>
  </r>
  <r>
    <s v="SK14"/>
    <d v="2014-07-16T00:00:00"/>
    <x v="186"/>
    <s v="AI"/>
    <n v="18.086600000000001"/>
    <n v="0"/>
    <n v="136715"/>
    <n v="0"/>
    <x v="1078"/>
    <n v="25098900.300000001"/>
    <n v="1387708.6839999999"/>
  </r>
  <r>
    <s v="SK14"/>
    <d v="2014-07-16T00:00:00"/>
    <x v="186"/>
    <s v="BUI"/>
    <n v="11.115"/>
    <n v="0"/>
    <n v="3107.319"/>
    <n v="0"/>
    <x v="1079"/>
    <n v="1855257.42"/>
    <n v="166914.53200000001"/>
  </r>
  <r>
    <s v="SK14"/>
    <d v="2014-07-16T00:00:00"/>
    <x v="186"/>
    <s v="RGI"/>
    <n v="17.688800000000001"/>
    <n v="16944.352999999999"/>
    <n v="148.07400000000001"/>
    <n v="299392.02"/>
    <x v="1080"/>
    <n v="66738647.039999999"/>
    <n v="3772931.358"/>
  </r>
  <r>
    <s v="SK14"/>
    <d v="2014-07-16T00:00:00"/>
    <x v="186"/>
    <s v="U2A"/>
    <n v="17.632000000000001"/>
    <n v="2368.518"/>
    <n v="71.963999999999999"/>
    <n v="41715.19"/>
    <x v="1081"/>
    <n v="3710759.23"/>
    <n v="210456.285"/>
  </r>
  <r>
    <s v="SK14"/>
    <d v="2014-07-17T00:00:00"/>
    <x v="187"/>
    <s v="A3"/>
    <n v="18.989100000000001"/>
    <n v="0"/>
    <n v="713.81700000000001"/>
    <n v="0"/>
    <x v="1082"/>
    <n v="6174490.1100000003"/>
    <n v="325160.23100000003"/>
  </r>
  <r>
    <s v="SK14"/>
    <d v="2014-07-17T00:00:00"/>
    <x v="187"/>
    <s v="AA"/>
    <n v="23.4803"/>
    <n v="7243.25"/>
    <n v="9665.027"/>
    <n v="169794.79"/>
    <x v="1083"/>
    <n v="274124945.73000002"/>
    <n v="11674699.983999999"/>
  </r>
  <r>
    <s v="SK14"/>
    <d v="2014-07-17T00:00:00"/>
    <x v="187"/>
    <s v="AB"/>
    <n v="18.6374"/>
    <n v="9146.4750000000004"/>
    <n v="0"/>
    <n v="170194.88"/>
    <x v="1"/>
    <n v="8899182.8800000008"/>
    <n v="477490.60600000003"/>
  </r>
  <r>
    <s v="SK14"/>
    <d v="2014-07-17T00:00:00"/>
    <x v="187"/>
    <s v="AC"/>
    <n v="19.3659"/>
    <n v="30686.696"/>
    <n v="0"/>
    <n v="593327.21"/>
    <x v="1"/>
    <n v="37601818.340000004"/>
    <n v="1941649.673"/>
  </r>
  <r>
    <s v="SK14"/>
    <d v="2014-07-17T00:00:00"/>
    <x v="187"/>
    <s v="AGH"/>
    <n v="18.884"/>
    <n v="0"/>
    <n v="2140"/>
    <n v="0"/>
    <x v="1084"/>
    <n v="7850903.0999999996"/>
    <n v="415744.33600000001"/>
  </r>
  <r>
    <s v="SK14"/>
    <d v="2014-07-17T00:00:00"/>
    <x v="187"/>
    <s v="AI"/>
    <n v="18.116599999999998"/>
    <n v="37660"/>
    <n v="0"/>
    <n v="681141.36"/>
    <x v="1"/>
    <n v="25822844.149999999"/>
    <n v="1425368.6839999999"/>
  </r>
  <r>
    <s v="SK14"/>
    <d v="2014-07-17T00:00:00"/>
    <x v="187"/>
    <s v="AUI"/>
    <n v="11.4445"/>
    <n v="55.369"/>
    <n v="0"/>
    <n v="632.64"/>
    <x v="1"/>
    <n v="1790531.18"/>
    <n v="156453.62100000001"/>
  </r>
  <r>
    <s v="SK14"/>
    <d v="2014-07-17T00:00:00"/>
    <x v="187"/>
    <s v="BUI"/>
    <n v="11.1328"/>
    <n v="0"/>
    <n v="1300.22"/>
    <n v="0"/>
    <x v="1085"/>
    <n v="1843748.26"/>
    <n v="165614.31200000001"/>
  </r>
  <r>
    <s v="SK14"/>
    <d v="2014-07-17T00:00:00"/>
    <x v="187"/>
    <s v="RGI"/>
    <n v="17.7182"/>
    <n v="8550.0040000000008"/>
    <n v="0"/>
    <n v="151239.15"/>
    <x v="1"/>
    <n v="67000943.159999996"/>
    <n v="3781481.3620000002"/>
  </r>
  <r>
    <s v="SK14"/>
    <d v="2014-07-17T00:00:00"/>
    <x v="187"/>
    <s v="U2A"/>
    <n v="17.661300000000001"/>
    <n v="3080.0329999999999"/>
    <n v="238.685"/>
    <n v="54307.39"/>
    <x v="1086"/>
    <n v="3767117.69"/>
    <n v="213297.633"/>
  </r>
  <r>
    <s v="SK14"/>
    <d v="2014-07-18T00:00:00"/>
    <x v="188"/>
    <s v="AA"/>
    <n v="23.154299999999999"/>
    <n v="22239.47"/>
    <n v="37287.027000000002"/>
    <n v="522189.44"/>
    <x v="1087"/>
    <n v="269970578.70999998"/>
    <n v="11659652.426999999"/>
  </r>
  <r>
    <s v="SK14"/>
    <d v="2014-07-18T00:00:00"/>
    <x v="188"/>
    <s v="AB"/>
    <n v="18.3779"/>
    <n v="0"/>
    <n v="2036.2570000000001"/>
    <n v="0"/>
    <x v="1088"/>
    <n v="8737838.8000000007"/>
    <n v="475454.34899999999"/>
  </r>
  <r>
    <s v="SK14"/>
    <d v="2014-07-18T00:00:00"/>
    <x v="188"/>
    <s v="AC"/>
    <n v="19.0962"/>
    <n v="84.325000000000003"/>
    <n v="58611.881999999998"/>
    <n v="1633.02"/>
    <x v="1089"/>
    <n v="35960553.780000001"/>
    <n v="1883122.1159999999"/>
  </r>
  <r>
    <s v="SK14"/>
    <d v="2014-07-18T00:00:00"/>
    <x v="188"/>
    <s v="AGH"/>
    <n v="18.613299999999999"/>
    <n v="0"/>
    <n v="3780"/>
    <n v="0"/>
    <x v="1090"/>
    <n v="7668017.8899999997"/>
    <n v="411964.33600000001"/>
  </r>
  <r>
    <s v="SK14"/>
    <d v="2014-07-18T00:00:00"/>
    <x v="188"/>
    <s v="AI"/>
    <n v="17.865400000000001"/>
    <n v="61325"/>
    <n v="0"/>
    <n v="1111000.5"/>
    <x v="1"/>
    <n v="26560448.539999999"/>
    <n v="1486693.6839999999"/>
  </r>
  <r>
    <s v="SK14"/>
    <d v="2014-07-18T00:00:00"/>
    <x v="188"/>
    <s v="BUI"/>
    <n v="10.9778"/>
    <n v="0"/>
    <n v="1226.643"/>
    <n v="0"/>
    <x v="1091"/>
    <n v="1804608.05"/>
    <n v="164387.66899999999"/>
  </r>
  <r>
    <s v="SK14"/>
    <d v="2014-07-18T00:00:00"/>
    <x v="188"/>
    <s v="RGI"/>
    <n v="17.4725"/>
    <n v="8148.4629999999997"/>
    <n v="0"/>
    <n v="144376.54999999999"/>
    <x v="1"/>
    <n v="66214453.640000001"/>
    <n v="3789629.8250000002"/>
  </r>
  <r>
    <s v="SK14"/>
    <d v="2014-07-18T00:00:00"/>
    <x v="188"/>
    <s v="S4"/>
    <n v="18.824200000000001"/>
    <n v="173.71299999999999"/>
    <n v="0"/>
    <n v="3315.92"/>
    <x v="1"/>
    <n v="1115169.79"/>
    <n v="59241.315999999999"/>
  </r>
  <r>
    <s v="SK14"/>
    <d v="2014-07-18T00:00:00"/>
    <x v="188"/>
    <s v="U2A"/>
    <n v="17.416499999999999"/>
    <n v="3014.7489999999998"/>
    <n v="56.738"/>
    <n v="53244.34"/>
    <x v="1092"/>
    <n v="3766426.15"/>
    <n v="216255.644"/>
  </r>
  <r>
    <s v="SK14"/>
    <d v="2014-07-21T00:00:00"/>
    <x v="189"/>
    <s v="A3"/>
    <n v="18.901700000000002"/>
    <n v="0"/>
    <n v="53.222000000000001"/>
    <n v="0"/>
    <x v="1093"/>
    <n v="6145074.1200000001"/>
    <n v="325107.00900000002"/>
  </r>
  <r>
    <s v="SK14"/>
    <d v="2014-07-21T00:00:00"/>
    <x v="189"/>
    <s v="AA"/>
    <n v="23.372199999999999"/>
    <n v="16731.477999999999"/>
    <n v="2791.5990000000002"/>
    <n v="387405.66"/>
    <x v="1094"/>
    <n v="272837755.47000003"/>
    <n v="11673592.306"/>
  </r>
  <r>
    <s v="SK14"/>
    <d v="2014-07-21T00:00:00"/>
    <x v="189"/>
    <s v="AB"/>
    <n v="18.5486"/>
    <n v="1021.073"/>
    <n v="4986.2169999999996"/>
    <n v="18765.18"/>
    <x v="1095"/>
    <n v="8745467.25"/>
    <n v="471489.20500000002"/>
  </r>
  <r>
    <s v="SK14"/>
    <d v="2014-07-21T00:00:00"/>
    <x v="189"/>
    <s v="AC"/>
    <n v="19.273599999999998"/>
    <n v="3600.1680000000001"/>
    <n v="51431.851999999999"/>
    <n v="68749.53"/>
    <x v="1096"/>
    <n v="35372577.829999998"/>
    <n v="1835290.432"/>
  </r>
  <r>
    <s v="SK14"/>
    <d v="2014-07-21T00:00:00"/>
    <x v="189"/>
    <s v="AGH"/>
    <n v="18.788900000000002"/>
    <n v="0"/>
    <n v="2010"/>
    <n v="0"/>
    <x v="1097"/>
    <n v="7702603.4199999999"/>
    <n v="409954.33600000001"/>
  </r>
  <r>
    <s v="SK14"/>
    <d v="2014-07-21T00:00:00"/>
    <x v="189"/>
    <s v="AUI"/>
    <n v="11.3779"/>
    <n v="38.386000000000003"/>
    <n v="8799.6710000000003"/>
    <n v="433.21"/>
    <x v="1098"/>
    <n v="1680423.09"/>
    <n v="147692.33600000001"/>
  </r>
  <r>
    <s v="SK14"/>
    <d v="2014-07-21T00:00:00"/>
    <x v="189"/>
    <s v="BUI"/>
    <n v="11.079700000000001"/>
    <n v="268.92200000000003"/>
    <n v="0"/>
    <n v="2952.17"/>
    <x v="1"/>
    <n v="1824344.17"/>
    <n v="164656.59099999999"/>
  </r>
  <r>
    <s v="SK14"/>
    <d v="2014-07-21T00:00:00"/>
    <x v="189"/>
    <s v="RGI"/>
    <n v="17.638000000000002"/>
    <n v="9366.5529999999999"/>
    <n v="0"/>
    <n v="163656.62"/>
    <x v="1"/>
    <n v="67006734.25"/>
    <n v="3798996.378"/>
  </r>
  <r>
    <s v="SK14"/>
    <d v="2014-07-21T00:00:00"/>
    <x v="189"/>
    <s v="S4"/>
    <n v="19.003"/>
    <n v="0"/>
    <n v="17.347999999999999"/>
    <n v="0"/>
    <x v="1099"/>
    <n v="1125433.8600000001"/>
    <n v="59223.968000000001"/>
  </r>
  <r>
    <s v="SK14"/>
    <d v="2014-07-21T00:00:00"/>
    <x v="189"/>
    <s v="U2A"/>
    <n v="17.581700000000001"/>
    <n v="2360.5360000000001"/>
    <n v="58.987000000000002"/>
    <n v="41112.39"/>
    <x v="1100"/>
    <n v="3842607.15"/>
    <n v="218557.193"/>
  </r>
  <r>
    <s v="SK14"/>
    <d v="2014-07-22T00:00:00"/>
    <x v="190"/>
    <s v="AA"/>
    <n v="23.301300000000001"/>
    <n v="55972.658000000003"/>
    <n v="5286.44"/>
    <n v="1308198.55"/>
    <x v="1101"/>
    <n v="273190649.89999998"/>
    <n v="11724278.524"/>
  </r>
  <r>
    <s v="SK14"/>
    <d v="2014-07-22T00:00:00"/>
    <x v="190"/>
    <s v="AB"/>
    <n v="18.491499999999998"/>
    <n v="0"/>
    <n v="4901.72"/>
    <n v="0"/>
    <x v="1102"/>
    <n v="8627922.0099999998"/>
    <n v="466587.48499999999"/>
  </r>
  <r>
    <s v="SK14"/>
    <d v="2014-07-22T00:00:00"/>
    <x v="190"/>
    <s v="AC"/>
    <n v="19.214400000000001"/>
    <n v="1287.067"/>
    <n v="14267.511"/>
    <n v="24806.41"/>
    <x v="1103"/>
    <n v="35014512.259999998"/>
    <n v="1822309.9879999999"/>
  </r>
  <r>
    <s v="SK14"/>
    <d v="2014-07-22T00:00:00"/>
    <x v="190"/>
    <s v="AGH"/>
    <n v="18.676500000000001"/>
    <n v="0"/>
    <n v="4350"/>
    <n v="0"/>
    <x v="1104"/>
    <n v="7575284.6900000004"/>
    <n v="405604.33600000001"/>
  </r>
  <r>
    <s v="SK14"/>
    <d v="2014-07-22T00:00:00"/>
    <x v="190"/>
    <s v="AI"/>
    <n v="17.980399999999999"/>
    <n v="0"/>
    <n v="65523"/>
    <n v="0"/>
    <x v="1105"/>
    <n v="25553155.379999999"/>
    <n v="1421170.6839999999"/>
  </r>
  <r>
    <s v="SK14"/>
    <d v="2014-07-22T00:00:00"/>
    <x v="190"/>
    <s v="RGI"/>
    <n v="17.584900000000001"/>
    <n v="43166.334000000003"/>
    <n v="0"/>
    <n v="761367.8"/>
    <x v="1"/>
    <n v="67564115.870000005"/>
    <n v="3842162.7119999998"/>
  </r>
  <r>
    <s v="SK14"/>
    <d v="2014-07-22T00:00:00"/>
    <x v="190"/>
    <s v="S4"/>
    <n v="18.946000000000002"/>
    <n v="17.96"/>
    <n v="9.0239999999999991"/>
    <n v="341.3"/>
    <x v="1106"/>
    <n v="1122226.31"/>
    <n v="59232.904000000002"/>
  </r>
  <r>
    <s v="SK14"/>
    <d v="2014-07-22T00:00:00"/>
    <x v="190"/>
    <s v="U2A"/>
    <n v="17.5289"/>
    <n v="2650.2640000000001"/>
    <n v="99.442999999999998"/>
    <n v="46595.98"/>
    <x v="1107"/>
    <n v="3875769.26"/>
    <n v="221108.014"/>
  </r>
  <r>
    <s v="SK14"/>
    <d v="2014-07-23T00:00:00"/>
    <x v="191"/>
    <s v="AA"/>
    <n v="23.390899999999998"/>
    <n v="16588.098000000002"/>
    <n v="9809.2430000000004"/>
    <n v="386524.27"/>
    <x v="1108"/>
    <n v="274399842.92000002"/>
    <n v="11731057.379000001"/>
  </r>
  <r>
    <s v="SK14"/>
    <d v="2014-07-23T00:00:00"/>
    <x v="191"/>
    <s v="AB"/>
    <n v="18.561900000000001"/>
    <n v="7914.451"/>
    <n v="3301.2620000000002"/>
    <n v="146350.07999999999"/>
    <x v="1109"/>
    <n v="8746377.8100000005"/>
    <n v="471200.674"/>
  </r>
  <r>
    <s v="SK14"/>
    <d v="2014-07-23T00:00:00"/>
    <x v="191"/>
    <s v="AC"/>
    <n v="19.287500000000001"/>
    <n v="13947.584999999999"/>
    <n v="7144.9489999999996"/>
    <n v="267994.49"/>
    <x v="1110"/>
    <n v="35278937.100000001"/>
    <n v="1829112.6240000001"/>
  </r>
  <r>
    <s v="SK14"/>
    <d v="2014-07-23T00:00:00"/>
    <x v="191"/>
    <s v="AI"/>
    <n v="18.049900000000001"/>
    <n v="2475"/>
    <n v="0"/>
    <n v="44501.49"/>
    <x v="1"/>
    <n v="25696625.649999999"/>
    <n v="1423645.6839999999"/>
  </r>
  <r>
    <s v="SK14"/>
    <d v="2014-07-23T00:00:00"/>
    <x v="191"/>
    <s v="AUI"/>
    <n v="11.4009"/>
    <n v="20759.224999999999"/>
    <n v="0"/>
    <n v="235766.67"/>
    <x v="1"/>
    <n v="1920502.77"/>
    <n v="168451.56099999999"/>
  </r>
  <r>
    <s v="SK14"/>
    <d v="2014-07-23T00:00:00"/>
    <x v="191"/>
    <s v="RGI"/>
    <n v="17.652899999999999"/>
    <n v="13274.678"/>
    <n v="0"/>
    <n v="233432.87"/>
    <x v="1"/>
    <n v="68059675.879999995"/>
    <n v="3855437.39"/>
  </r>
  <r>
    <s v="SK14"/>
    <d v="2014-07-23T00:00:00"/>
    <x v="191"/>
    <s v="U2A"/>
    <n v="17.596699999999998"/>
    <n v="2544.7289999999998"/>
    <n v="44.533999999999999"/>
    <n v="44606.14"/>
    <x v="1111"/>
    <n v="3934765.31"/>
    <n v="223608.209"/>
  </r>
  <r>
    <s v="SK14"/>
    <d v="2014-07-24T00:00:00"/>
    <x v="192"/>
    <s v="AA"/>
    <n v="23.454999999999998"/>
    <n v="29744.510999999999"/>
    <n v="523.58000000000004"/>
    <n v="695750.88"/>
    <x v="1112"/>
    <n v="275837789.26999998"/>
    <n v="11760278.310000001"/>
  </r>
  <r>
    <s v="SK14"/>
    <d v="2014-07-24T00:00:00"/>
    <x v="192"/>
    <s v="AC"/>
    <n v="19.339600000000001"/>
    <n v="0"/>
    <n v="10857.183999999999"/>
    <n v="0"/>
    <x v="1113"/>
    <n v="35164269.539999999"/>
    <n v="1818255.44"/>
  </r>
  <r>
    <s v="SK14"/>
    <d v="2014-07-24T00:00:00"/>
    <x v="192"/>
    <s v="AI"/>
    <n v="18.099699999999999"/>
    <n v="40183"/>
    <n v="0"/>
    <n v="725299.13"/>
    <x v="1"/>
    <n v="26494932.379999999"/>
    <n v="1463828.6839999999"/>
  </r>
  <r>
    <s v="SK14"/>
    <d v="2014-07-24T00:00:00"/>
    <x v="192"/>
    <s v="RGI"/>
    <n v="17.701699999999999"/>
    <n v="10528.849"/>
    <n v="2473.5250000000001"/>
    <n v="185864.53"/>
    <x v="1114"/>
    <n v="68390327.150000006"/>
    <n v="3863492.7140000002"/>
  </r>
  <r>
    <s v="SK14"/>
    <d v="2014-07-24T00:00:00"/>
    <x v="192"/>
    <s v="U2A"/>
    <n v="17.645399999999999"/>
    <n v="1814.5029999999999"/>
    <n v="187.70500000000001"/>
    <n v="31929.11"/>
    <x v="1115"/>
    <n v="3974359.17"/>
    <n v="225235.00700000001"/>
  </r>
  <r>
    <s v="SK14"/>
    <d v="2014-07-25T00:00:00"/>
    <x v="193"/>
    <s v="AA"/>
    <n v="23.464400000000001"/>
    <n v="20482.468000000001"/>
    <n v="5778.3490000000002"/>
    <n v="480416.28"/>
    <x v="1116"/>
    <n v="276292778.80000001"/>
    <n v="11774982.429"/>
  </r>
  <r>
    <s v="SK14"/>
    <d v="2014-07-25T00:00:00"/>
    <x v="193"/>
    <s v="AB"/>
    <n v="18.6187"/>
    <n v="890.33699999999999"/>
    <n v="482.67599999999999"/>
    <n v="16570.95"/>
    <x v="1117"/>
    <n v="8780732.1300000008"/>
    <n v="471608.33500000002"/>
  </r>
  <r>
    <s v="SK14"/>
    <d v="2014-07-25T00:00:00"/>
    <x v="193"/>
    <s v="AC"/>
    <n v="19.346499999999999"/>
    <n v="0"/>
    <n v="55125.5"/>
    <n v="0"/>
    <x v="1118"/>
    <n v="34110356.950000003"/>
    <n v="1763129.94"/>
  </r>
  <r>
    <s v="SK14"/>
    <d v="2014-07-25T00:00:00"/>
    <x v="193"/>
    <s v="AI"/>
    <n v="18.107299999999999"/>
    <n v="113312"/>
    <n v="0"/>
    <n v="2050913.21"/>
    <x v="1"/>
    <n v="28557812.370000001"/>
    <n v="1577140.6839999999"/>
  </r>
  <r>
    <s v="SK14"/>
    <d v="2014-07-25T00:00:00"/>
    <x v="193"/>
    <s v="AUI"/>
    <n v="11.4367"/>
    <n v="8.74"/>
    <n v="0"/>
    <n v="99.92"/>
    <x v="1"/>
    <n v="1926637.62"/>
    <n v="168460.30100000001"/>
  </r>
  <r>
    <s v="SK14"/>
    <d v="2014-07-25T00:00:00"/>
    <x v="193"/>
    <s v="RGI"/>
    <n v="17.709099999999999"/>
    <n v="11953.395"/>
    <n v="365"/>
    <n v="211595.13"/>
    <x v="1119"/>
    <n v="68624217.260000005"/>
    <n v="3875081.1090000002"/>
  </r>
  <r>
    <s v="SK14"/>
    <d v="2014-07-25T00:00:00"/>
    <x v="193"/>
    <s v="U2A"/>
    <n v="17.652899999999999"/>
    <n v="2010.213"/>
    <n v="112.922"/>
    <n v="35470.94"/>
    <x v="1120"/>
    <n v="4009534.15"/>
    <n v="227132.29800000001"/>
  </r>
  <r>
    <s v="SK14"/>
    <d v="2014-07-28T00:00:00"/>
    <x v="194"/>
    <s v="AA"/>
    <n v="23.417000000000002"/>
    <n v="15854.986000000001"/>
    <n v="8697.6939999999995"/>
    <n v="372027.65"/>
    <x v="1121"/>
    <n v="275902344.19"/>
    <n v="11782139.721000001"/>
  </r>
  <r>
    <s v="SK14"/>
    <d v="2014-07-28T00:00:00"/>
    <x v="194"/>
    <s v="AC"/>
    <n v="19.305"/>
    <n v="1292.223"/>
    <n v="16119.596"/>
    <n v="25000"/>
    <x v="1122"/>
    <n v="33751014.840000004"/>
    <n v="1748302.567"/>
  </r>
  <r>
    <s v="SK14"/>
    <d v="2014-07-28T00:00:00"/>
    <x v="194"/>
    <s v="AI"/>
    <n v="18.071899999999999"/>
    <n v="24608"/>
    <n v="0"/>
    <n v="445584.44"/>
    <x v="1"/>
    <n v="28946605.649999999"/>
    <n v="1601748.6839999999"/>
  </r>
  <r>
    <s v="SK14"/>
    <d v="2014-07-28T00:00:00"/>
    <x v="194"/>
    <s v="AUI"/>
    <n v="11.413600000000001"/>
    <n v="21.378"/>
    <n v="0"/>
    <n v="244.49"/>
    <x v="1"/>
    <n v="1922990.33"/>
    <n v="168481.679"/>
  </r>
  <r>
    <s v="SK14"/>
    <d v="2014-07-28T00:00:00"/>
    <x v="194"/>
    <s v="RGI"/>
    <n v="17.674399999999999"/>
    <n v="8153.0870000000004"/>
    <n v="0"/>
    <n v="144383.67999999999"/>
    <x v="1"/>
    <n v="68633946.040000007"/>
    <n v="3883234.196"/>
  </r>
  <r>
    <s v="SK14"/>
    <d v="2014-07-28T00:00:00"/>
    <x v="194"/>
    <s v="U2A"/>
    <n v="17.618500000000001"/>
    <n v="1918.6079999999999"/>
    <n v="44.616999999999997"/>
    <n v="33868.93"/>
    <x v="1123"/>
    <n v="4034749.48"/>
    <n v="229006.28899999999"/>
  </r>
  <r>
    <s v="SK14"/>
    <d v="2014-07-29T00:00:00"/>
    <x v="195"/>
    <s v="AA"/>
    <n v="23.366299999999999"/>
    <n v="16300.407999999999"/>
    <n v="22759.309000000001"/>
    <n v="381706.6"/>
    <x v="1124"/>
    <n v="275153793.13"/>
    <n v="11775680.82"/>
  </r>
  <r>
    <s v="SK14"/>
    <d v="2014-07-29T00:00:00"/>
    <x v="195"/>
    <s v="AB"/>
    <n v="18.537800000000001"/>
    <n v="4229.9979999999996"/>
    <n v="0"/>
    <n v="78588.28"/>
    <x v="1"/>
    <n v="8820990.4600000009"/>
    <n v="475838.33299999998"/>
  </r>
  <r>
    <s v="SK14"/>
    <d v="2014-07-29T00:00:00"/>
    <x v="195"/>
    <s v="AC"/>
    <n v="19.2624"/>
    <n v="34870.218000000001"/>
    <n v="400.89400000000001"/>
    <n v="673169.55"/>
    <x v="1125"/>
    <n v="34340481.5"/>
    <n v="1782771.8910000001"/>
  </r>
  <r>
    <s v="SK14"/>
    <d v="2014-07-29T00:00:00"/>
    <x v="195"/>
    <s v="AI"/>
    <n v="18.033100000000001"/>
    <n v="0"/>
    <n v="81514"/>
    <n v="0"/>
    <x v="1126"/>
    <n v="27414547.149999999"/>
    <n v="1520234.6839999999"/>
  </r>
  <r>
    <s v="SK14"/>
    <d v="2014-07-29T00:00:00"/>
    <x v="195"/>
    <s v="AUI"/>
    <n v="11.3889"/>
    <n v="81.778999999999996"/>
    <n v="0"/>
    <n v="933.39"/>
    <x v="1"/>
    <n v="1919756.33"/>
    <n v="168563.45800000001"/>
  </r>
  <r>
    <s v="SK14"/>
    <d v="2014-07-29T00:00:00"/>
    <x v="195"/>
    <s v="RGI"/>
    <n v="17.636500000000002"/>
    <n v="13461.021000000001"/>
    <n v="200"/>
    <n v="237915.9"/>
    <x v="1127"/>
    <n v="68720566.859999999"/>
    <n v="3896495.2170000002"/>
  </r>
  <r>
    <s v="SK14"/>
    <d v="2014-07-29T00:00:00"/>
    <x v="195"/>
    <s v="U2A"/>
    <n v="17.5808"/>
    <n v="5128.3789999999999"/>
    <n v="15.847"/>
    <n v="90354.61"/>
    <x v="1128"/>
    <n v="4115991.83"/>
    <n v="234118.821"/>
  </r>
  <r>
    <s v="SK14"/>
    <d v="2014-07-30T00:00:00"/>
    <x v="196"/>
    <s v="AA"/>
    <n v="23.2761"/>
    <n v="1914.954"/>
    <n v="22775.556"/>
    <n v="44745.4"/>
    <x v="1129"/>
    <n v="273606248.07999998"/>
    <n v="11754820.218"/>
  </r>
  <r>
    <s v="SK14"/>
    <d v="2014-07-30T00:00:00"/>
    <x v="196"/>
    <s v="AB"/>
    <n v="18.465499999999999"/>
    <n v="0"/>
    <n v="961.39599999999996"/>
    <n v="0"/>
    <x v="1130"/>
    <n v="8768829.5800000001"/>
    <n v="474876.93699999998"/>
  </r>
  <r>
    <s v="SK14"/>
    <d v="2014-07-30T00:00:00"/>
    <x v="196"/>
    <s v="AC"/>
    <n v="19.1873"/>
    <n v="9975.9060000000009"/>
    <n v="59.654000000000003"/>
    <n v="192159.93"/>
    <x v="1131"/>
    <n v="34396794.549999997"/>
    <n v="1792688.1429999999"/>
  </r>
  <r>
    <s v="SK14"/>
    <d v="2014-07-30T00:00:00"/>
    <x v="196"/>
    <s v="AI"/>
    <n v="17.963899999999999"/>
    <n v="0"/>
    <n v="115844"/>
    <n v="0"/>
    <x v="1132"/>
    <n v="25228294.02"/>
    <n v="1404390.6839999999"/>
  </r>
  <r>
    <s v="SK14"/>
    <d v="2014-07-30T00:00:00"/>
    <x v="196"/>
    <s v="RGI"/>
    <n v="17.5688"/>
    <n v="17857.695"/>
    <n v="1491.2270000000001"/>
    <n v="314948.64"/>
    <x v="1133"/>
    <n v="68744283.480000004"/>
    <n v="3912861.6850000001"/>
  </r>
  <r>
    <s v="SK14"/>
    <d v="2014-07-30T00:00:00"/>
    <x v="196"/>
    <s v="U2A"/>
    <n v="17.513400000000001"/>
    <n v="1869.454"/>
    <n v="263.30700000000002"/>
    <n v="32866.5"/>
    <x v="1134"/>
    <n v="4128336.17"/>
    <n v="235724.96799999999"/>
  </r>
  <r>
    <s v="SK14"/>
    <d v="2014-07-31T00:00:00"/>
    <x v="197"/>
    <s v="A3"/>
    <n v="18.8108"/>
    <n v="0"/>
    <n v="19613.148000000001"/>
    <n v="0"/>
    <x v="1135"/>
    <n v="5746568.8499999996"/>
    <n v="305493.86099999998"/>
  </r>
  <r>
    <s v="SK14"/>
    <d v="2014-07-31T00:00:00"/>
    <x v="197"/>
    <s v="AA"/>
    <n v="23.259799999999998"/>
    <n v="38327.161999999997"/>
    <n v="3443.8890000000001"/>
    <n v="892106.84"/>
    <x v="1136"/>
    <n v="274225732.74000001"/>
    <n v="11789703.491"/>
  </r>
  <r>
    <s v="SK14"/>
    <d v="2014-07-31T00:00:00"/>
    <x v="197"/>
    <s v="AC"/>
    <n v="19.172999999999998"/>
    <n v="15288.165999999999"/>
    <n v="6206.0249999999996"/>
    <n v="293338.65999999997"/>
    <x v="1137"/>
    <n v="34545389.399999999"/>
    <n v="1801770.284"/>
  </r>
  <r>
    <s v="SK14"/>
    <d v="2014-07-31T00:00:00"/>
    <x v="197"/>
    <s v="BUI"/>
    <n v="11.0219"/>
    <n v="0"/>
    <n v="1273.451"/>
    <n v="0"/>
    <x v="1138"/>
    <n v="1800792.57"/>
    <n v="163383.14000000001"/>
  </r>
  <r>
    <s v="SK14"/>
    <d v="2014-07-31T00:00:00"/>
    <x v="197"/>
    <s v="RGI"/>
    <n v="17.556799999999999"/>
    <n v="11572.689"/>
    <n v="2030"/>
    <n v="203318.92"/>
    <x v="1139"/>
    <n v="68865022.599999994"/>
    <n v="3922404.3739999998"/>
  </r>
  <r>
    <s v="SK14"/>
    <d v="2014-07-31T00:00:00"/>
    <x v="197"/>
    <s v="U2A"/>
    <n v="17.5015"/>
    <n v="8116.6080000000002"/>
    <n v="61.09"/>
    <n v="142150.06"/>
    <x v="1140"/>
    <n v="4266527.2699999996"/>
    <n v="243780.486"/>
  </r>
  <r>
    <s v="SK14"/>
    <d v="2014-08-01T00:00:00"/>
    <x v="198"/>
    <s v="AA"/>
    <n v="22.806799999999999"/>
    <n v="57.783000000000001"/>
    <n v="39626.716"/>
    <n v="1344"/>
    <x v="1141"/>
    <n v="267982807.08000001"/>
    <n v="11750134.558"/>
  </r>
  <r>
    <s v="SK14"/>
    <d v="2014-08-01T00:00:00"/>
    <x v="198"/>
    <s v="AB"/>
    <n v="18.091699999999999"/>
    <n v="0"/>
    <n v="7769.2079999999996"/>
    <n v="0"/>
    <x v="1142"/>
    <n v="8450756.8200000003"/>
    <n v="467107.72899999999"/>
  </r>
  <r>
    <s v="SK14"/>
    <d v="2014-08-01T00:00:00"/>
    <x v="198"/>
    <s v="AC"/>
    <n v="18.7988"/>
    <n v="55.738"/>
    <n v="12649.626"/>
    <n v="1068.6600000000001"/>
    <x v="1143"/>
    <n v="33634455.829999998"/>
    <n v="1789176.3959999999"/>
  </r>
  <r>
    <s v="SK14"/>
    <d v="2014-08-01T00:00:00"/>
    <x v="198"/>
    <s v="AGH"/>
    <n v="18.1568"/>
    <n v="26"/>
    <n v="0"/>
    <n v="481.13"/>
    <x v="1"/>
    <n v="7364948.8200000003"/>
    <n v="405630.33600000001"/>
  </r>
  <r>
    <s v="SK14"/>
    <d v="2014-08-01T00:00:00"/>
    <x v="198"/>
    <s v="RGI"/>
    <n v="17.215299999999999"/>
    <n v="2941.846"/>
    <n v="0"/>
    <n v="51649.33"/>
    <x v="1"/>
    <n v="67575951.450000003"/>
    <n v="3925346.22"/>
  </r>
  <r>
    <s v="SK14"/>
    <d v="2014-08-01T00:00:00"/>
    <x v="198"/>
    <s v="U2A"/>
    <n v="17.161100000000001"/>
    <n v="3275.6729999999998"/>
    <n v="88.314999999999998"/>
    <n v="57329.42"/>
    <x v="1144"/>
    <n v="4238241.58"/>
    <n v="246967.84400000001"/>
  </r>
  <r>
    <s v="SK14"/>
    <d v="2014-08-05T00:00:00"/>
    <x v="199"/>
    <s v="AA"/>
    <n v="22.833400000000001"/>
    <n v="12326.784"/>
    <n v="4170.7150000000001"/>
    <n v="281134.49"/>
    <x v="1145"/>
    <n v="268481556.68000001"/>
    <n v="11758290.627"/>
  </r>
  <r>
    <s v="SK14"/>
    <d v="2014-08-05T00:00:00"/>
    <x v="199"/>
    <s v="AB"/>
    <n v="18.1098"/>
    <n v="14271.696"/>
    <n v="270.66199999999998"/>
    <n v="258199.28"/>
    <x v="1146"/>
    <n v="8712779.1500000004"/>
    <n v="481108.76299999998"/>
  </r>
  <r>
    <s v="SK14"/>
    <d v="2014-08-05T00:00:00"/>
    <x v="199"/>
    <s v="AC"/>
    <n v="18.817699999999999"/>
    <n v="15850.081"/>
    <n v="13091.404"/>
    <n v="297962.48"/>
    <x v="1147"/>
    <n v="33720062.799999997"/>
    <n v="1791935.0730000001"/>
  </r>
  <r>
    <s v="SK14"/>
    <d v="2014-08-05T00:00:00"/>
    <x v="199"/>
    <s v="AI"/>
    <n v="17.624400000000001"/>
    <n v="0"/>
    <n v="30421"/>
    <n v="0"/>
    <x v="1148"/>
    <n v="24215365.609999999"/>
    <n v="1373969.6839999999"/>
  </r>
  <r>
    <s v="SK14"/>
    <d v="2014-08-05T00:00:00"/>
    <x v="199"/>
    <s v="AUI"/>
    <n v="11.129200000000001"/>
    <n v="179.91800000000001"/>
    <n v="0"/>
    <n v="2000"/>
    <x v="1"/>
    <n v="1877976.76"/>
    <n v="168743.37599999999"/>
  </r>
  <r>
    <s v="SK14"/>
    <d v="2014-08-05T00:00:00"/>
    <x v="199"/>
    <s v="RGI"/>
    <n v="17.236799999999999"/>
    <n v="5800.424"/>
    <n v="250"/>
    <n v="99856.13"/>
    <x v="1149"/>
    <n v="67755983.629999995"/>
    <n v="3930896.6439999999"/>
  </r>
  <r>
    <s v="SK14"/>
    <d v="2014-08-05T00:00:00"/>
    <x v="199"/>
    <s v="U2A"/>
    <n v="17.1828"/>
    <n v="4896.1440000000002"/>
    <n v="50.301000000000002"/>
    <n v="84023.24"/>
    <x v="1150"/>
    <n v="4326867.3899999997"/>
    <n v="251813.68700000001"/>
  </r>
  <r>
    <s v="SK14"/>
    <d v="2014-08-06T00:00:00"/>
    <x v="200"/>
    <s v="A3"/>
    <n v="18.279699999999998"/>
    <n v="2574.46"/>
    <n v="0"/>
    <n v="47539.83"/>
    <x v="1"/>
    <n v="5631407.5"/>
    <n v="308068.321"/>
  </r>
  <r>
    <s v="SK14"/>
    <d v="2014-08-06T00:00:00"/>
    <x v="200"/>
    <s v="AA"/>
    <n v="22.603200000000001"/>
    <n v="25579.205000000002"/>
    <n v="4128.2190000000001"/>
    <n v="584060.23"/>
    <x v="1151"/>
    <n v="266259350.96000001"/>
    <n v="11779741.613"/>
  </r>
  <r>
    <s v="SK14"/>
    <d v="2014-08-06T00:00:00"/>
    <x v="200"/>
    <s v="AB"/>
    <n v="17.926400000000001"/>
    <n v="1617.6"/>
    <n v="2079.5819999999999"/>
    <n v="29294.42"/>
    <x v="1152"/>
    <n v="8616289.5299999993"/>
    <n v="480646.78100000002"/>
  </r>
  <r>
    <s v="SK14"/>
    <d v="2014-08-06T00:00:00"/>
    <x v="200"/>
    <s v="AC"/>
    <n v="18.627199999999998"/>
    <n v="4994.576"/>
    <n v="11511.56"/>
    <n v="93986.45"/>
    <x v="1153"/>
    <n v="33257288.780000001"/>
    <n v="1785418.0889999999"/>
  </r>
  <r>
    <s v="SK14"/>
    <d v="2014-08-06T00:00:00"/>
    <x v="200"/>
    <s v="AGH"/>
    <n v="17.922899999999998"/>
    <n v="0"/>
    <n v="6301"/>
    <n v="0"/>
    <x v="1154"/>
    <n v="7157135.2999999998"/>
    <n v="399329.33600000001"/>
  </r>
  <r>
    <s v="SK14"/>
    <d v="2014-08-06T00:00:00"/>
    <x v="200"/>
    <s v="AI"/>
    <n v="17.446999999999999"/>
    <n v="0"/>
    <n v="270427"/>
    <n v="0"/>
    <x v="1155"/>
    <n v="19253547.25"/>
    <n v="1103542.6839999999"/>
  </r>
  <r>
    <s v="SK14"/>
    <d v="2014-08-06T00:00:00"/>
    <x v="200"/>
    <s v="AUI"/>
    <n v="11.016999999999999"/>
    <n v="89.828999999999994"/>
    <n v="0"/>
    <n v="999.73"/>
    <x v="1"/>
    <n v="1860030.99"/>
    <n v="168833.20499999999"/>
  </r>
  <r>
    <s v="SK14"/>
    <d v="2014-08-06T00:00:00"/>
    <x v="200"/>
    <s v="BUI"/>
    <n v="10.7081"/>
    <n v="3362.8159999999998"/>
    <n v="0"/>
    <n v="36377.61"/>
    <x v="1"/>
    <n v="1785533.42"/>
    <n v="166745.95600000001"/>
  </r>
  <r>
    <s v="SK14"/>
    <d v="2014-08-06T00:00:00"/>
    <x v="200"/>
    <s v="RGI"/>
    <n v="17.063300000000002"/>
    <n v="9941.9089999999997"/>
    <n v="280"/>
    <n v="171366.25"/>
    <x v="1156"/>
    <n v="67239064.909999996"/>
    <n v="3940558.5529999998"/>
  </r>
  <r>
    <s v="SK14"/>
    <d v="2014-08-06T00:00:00"/>
    <x v="200"/>
    <s v="U2A"/>
    <n v="17.010000000000002"/>
    <n v="5813.8069999999998"/>
    <n v="311.59300000000002"/>
    <n v="99897.31"/>
    <x v="1157"/>
    <n v="4376939.16"/>
    <n v="257315.90100000001"/>
  </r>
  <r>
    <s v="SK14"/>
    <d v="2014-08-07T00:00:00"/>
    <x v="201"/>
    <s v="AA"/>
    <n v="22.628900000000002"/>
    <n v="11219.099"/>
    <n v="884.83"/>
    <n v="253587.55"/>
    <x v="1158"/>
    <n v="266796677.38999999"/>
    <n v="11790075.881999999"/>
  </r>
  <r>
    <s v="SK14"/>
    <d v="2014-08-07T00:00:00"/>
    <x v="201"/>
    <s v="AB"/>
    <n v="17.946100000000001"/>
    <n v="0"/>
    <n v="845.255"/>
    <n v="0"/>
    <x v="1159"/>
    <n v="8610586.9499999993"/>
    <n v="479801.52600000001"/>
  </r>
  <r>
    <s v="SK14"/>
    <d v="2014-08-07T00:00:00"/>
    <x v="201"/>
    <s v="AC"/>
    <n v="18.647600000000001"/>
    <n v="26462.897000000001"/>
    <n v="20851.5"/>
    <n v="492929.78"/>
    <x v="1160"/>
    <n v="33398467.050000001"/>
    <n v="1791029.486"/>
  </r>
  <r>
    <s v="SK14"/>
    <d v="2014-08-07T00:00:00"/>
    <x v="201"/>
    <s v="AGH"/>
    <n v="17.989899999999999"/>
    <n v="0"/>
    <n v="3518"/>
    <n v="0"/>
    <x v="1161"/>
    <n v="7120610.4000000004"/>
    <n v="395811.33600000001"/>
  </r>
  <r>
    <s v="SK14"/>
    <d v="2014-08-07T00:00:00"/>
    <x v="201"/>
    <s v="AI"/>
    <n v="17.467300000000002"/>
    <n v="0"/>
    <n v="215466"/>
    <n v="0"/>
    <x v="1162"/>
    <n v="15512290.18"/>
    <n v="888076.68400000001"/>
  </r>
  <r>
    <s v="SK14"/>
    <d v="2014-08-07T00:00:00"/>
    <x v="201"/>
    <s v="AUI"/>
    <n v="11.029500000000001"/>
    <n v="66.507000000000005"/>
    <n v="0"/>
    <n v="732.7"/>
    <x v="1"/>
    <n v="1862884.52"/>
    <n v="168899.712"/>
  </r>
  <r>
    <s v="SK14"/>
    <d v="2014-08-07T00:00:00"/>
    <x v="201"/>
    <s v="RGI"/>
    <n v="17.083100000000002"/>
    <n v="20118.273000000001"/>
    <n v="1835"/>
    <n v="343283.43"/>
    <x v="1163"/>
    <n v="67629417.489999995"/>
    <n v="3958841.8259999999"/>
  </r>
  <r>
    <s v="SK14"/>
    <d v="2014-08-07T00:00:00"/>
    <x v="201"/>
    <s v="U2A"/>
    <n v="17.029800000000002"/>
    <n v="2729.7350000000001"/>
    <n v="41.146999999999998"/>
    <n v="46433.03"/>
    <x v="1164"/>
    <n v="4427822.13"/>
    <n v="260004.489"/>
  </r>
  <r>
    <s v="SK14"/>
    <d v="2014-08-08T00:00:00"/>
    <x v="202"/>
    <s v="AA"/>
    <n v="22.4956"/>
    <n v="26049.625"/>
    <n v="2125.8829999999998"/>
    <n v="589474.37"/>
    <x v="1165"/>
    <n v="265762698.38999999"/>
    <n v="11813999.624"/>
  </r>
  <r>
    <s v="SK14"/>
    <d v="2014-08-08T00:00:00"/>
    <x v="202"/>
    <s v="AB"/>
    <n v="17.839700000000001"/>
    <n v="0"/>
    <n v="778.58"/>
    <n v="0"/>
    <x v="1166"/>
    <n v="8545603.7899999991"/>
    <n v="479022.946"/>
  </r>
  <r>
    <s v="SK14"/>
    <d v="2014-08-08T00:00:00"/>
    <x v="202"/>
    <s v="AC"/>
    <n v="18.536999999999999"/>
    <n v="3794.6370000000002"/>
    <n v="203.94499999999999"/>
    <n v="70760.88"/>
    <x v="1167"/>
    <n v="33266847.309999999"/>
    <n v="1794620.1780000001"/>
  </r>
  <r>
    <s v="SK14"/>
    <d v="2014-08-08T00:00:00"/>
    <x v="202"/>
    <s v="AUI"/>
    <n v="10.964499999999999"/>
    <n v="69.486999999999995"/>
    <n v="0"/>
    <n v="766.41"/>
    <x v="1"/>
    <n v="1852668.98"/>
    <n v="168969.19899999999"/>
  </r>
  <r>
    <s v="SK14"/>
    <d v="2014-08-08T00:00:00"/>
    <x v="202"/>
    <s v="RGI"/>
    <n v="16.982800000000001"/>
    <n v="4742.8220000000001"/>
    <n v="1000"/>
    <n v="81021.8"/>
    <x v="1168"/>
    <n v="67295849.540000007"/>
    <n v="3962584.648"/>
  </r>
  <r>
    <s v="SK14"/>
    <d v="2014-08-08T00:00:00"/>
    <x v="202"/>
    <s v="S4"/>
    <n v="18.3003"/>
    <n v="0"/>
    <n v="247.44800000000001"/>
    <n v="0"/>
    <x v="1169"/>
    <n v="1079451.55"/>
    <n v="58985.455999999998"/>
  </r>
  <r>
    <s v="SK14"/>
    <d v="2014-08-08T00:00:00"/>
    <x v="202"/>
    <s v="U2A"/>
    <n v="16.9299"/>
    <n v="3663.377"/>
    <n v="145.196"/>
    <n v="62386.53"/>
    <x v="1170"/>
    <n v="4461401.72"/>
    <n v="263522.67"/>
  </r>
  <r>
    <s v="SK14"/>
    <d v="2014-08-11T00:00:00"/>
    <x v="203"/>
    <s v="AA"/>
    <n v="22.781199999999998"/>
    <n v="22257.611000000001"/>
    <n v="16950.210999999999"/>
    <n v="500698.3"/>
    <x v="1171"/>
    <n v="269257827.30000001"/>
    <n v="11819307.024"/>
  </r>
  <r>
    <s v="SK14"/>
    <d v="2014-08-11T00:00:00"/>
    <x v="203"/>
    <s v="AB"/>
    <n v="18.064"/>
    <n v="0"/>
    <n v="22076.837"/>
    <n v="0"/>
    <x v="1172"/>
    <n v="8254252.3099999996"/>
    <n v="456946.109"/>
  </r>
  <r>
    <s v="SK14"/>
    <d v="2014-08-11T00:00:00"/>
    <x v="203"/>
    <s v="AC"/>
    <n v="18.770099999999999"/>
    <n v="4533.8"/>
    <n v="62091.438999999998"/>
    <n v="84043.05"/>
    <x v="1173"/>
    <n v="32604753.219999999"/>
    <n v="1737062.5390000001"/>
  </r>
  <r>
    <s v="SK14"/>
    <d v="2014-08-11T00:00:00"/>
    <x v="203"/>
    <s v="AI"/>
    <n v="17.586300000000001"/>
    <n v="0"/>
    <n v="43717"/>
    <n v="0"/>
    <x v="1174"/>
    <n v="14849125.619999999"/>
    <n v="844359.68400000001"/>
  </r>
  <r>
    <s v="SK14"/>
    <d v="2014-08-11T00:00:00"/>
    <x v="203"/>
    <s v="RGI"/>
    <n v="17.1995"/>
    <n v="2050"/>
    <n v="3950"/>
    <n v="34814.74"/>
    <x v="1175"/>
    <n v="68121731.519999996"/>
    <n v="3960684.648"/>
  </r>
  <r>
    <s v="SK14"/>
    <d v="2014-08-11T00:00:00"/>
    <x v="203"/>
    <s v="U2A"/>
    <n v="17.146100000000001"/>
    <n v="2992.2159999999999"/>
    <n v="3.6909999999999998"/>
    <n v="50657.79"/>
    <x v="1176"/>
    <n v="4569616.7300000004"/>
    <n v="266511.19500000001"/>
  </r>
  <r>
    <s v="SK14"/>
    <d v="2014-08-12T00:00:00"/>
    <x v="204"/>
    <s v="AA"/>
    <n v="22.791599999999999"/>
    <n v="30983.238000000001"/>
    <n v="3756.2429999999999"/>
    <n v="705835.35"/>
    <x v="1177"/>
    <n v="270002052.73000002"/>
    <n v="11846534.018999999"/>
  </r>
  <r>
    <s v="SK14"/>
    <d v="2014-08-12T00:00:00"/>
    <x v="204"/>
    <s v="AB"/>
    <n v="18.0715"/>
    <n v="2366.3609999999999"/>
    <n v="0"/>
    <n v="42745.95"/>
    <x v="1"/>
    <n v="8300468.3099999996"/>
    <n v="459312.47"/>
  </r>
  <r>
    <s v="SK14"/>
    <d v="2014-08-12T00:00:00"/>
    <x v="204"/>
    <s v="AC"/>
    <n v="18.777899999999999"/>
    <n v="21206.458999999999"/>
    <n v="5376.82"/>
    <n v="398047.41"/>
    <x v="1178"/>
    <n v="32915637.719999999"/>
    <n v="1752892.1780000001"/>
  </r>
  <r>
    <s v="SK14"/>
    <d v="2014-08-12T00:00:00"/>
    <x v="204"/>
    <s v="AGH"/>
    <n v="18.069299999999998"/>
    <n v="0"/>
    <n v="134"/>
    <n v="0"/>
    <x v="1179"/>
    <n v="7149615.3200000003"/>
    <n v="395677.33600000001"/>
  </r>
  <r>
    <s v="SK14"/>
    <d v="2014-08-12T00:00:00"/>
    <x v="204"/>
    <s v="AI"/>
    <n v="17.5947"/>
    <n v="0"/>
    <n v="16896"/>
    <n v="0"/>
    <x v="1180"/>
    <n v="14558970.6"/>
    <n v="827463.68400000001"/>
  </r>
  <r>
    <s v="SK14"/>
    <d v="2014-08-12T00:00:00"/>
    <x v="204"/>
    <s v="AUI"/>
    <n v="11.1088"/>
    <n v="89.991"/>
    <n v="0"/>
    <n v="999.23"/>
    <x v="1"/>
    <n v="1878052.64"/>
    <n v="169059.19"/>
  </r>
  <r>
    <s v="SK14"/>
    <d v="2014-08-12T00:00:00"/>
    <x v="204"/>
    <s v="BUI"/>
    <n v="10.7948"/>
    <n v="7097.1710000000003"/>
    <n v="0"/>
    <n v="76579.88"/>
    <x v="1"/>
    <n v="1876593.81"/>
    <n v="173843.12700000001"/>
  </r>
  <r>
    <s v="SK14"/>
    <d v="2014-08-12T00:00:00"/>
    <x v="204"/>
    <s v="RGI"/>
    <n v="17.207699999999999"/>
    <n v="18066.001"/>
    <n v="751.99800000000005"/>
    <n v="310726.69"/>
    <x v="1181"/>
    <n v="68452356.900000006"/>
    <n v="3977998.6510000001"/>
  </r>
  <r>
    <s v="SK14"/>
    <d v="2014-08-12T00:00:00"/>
    <x v="204"/>
    <s v="S4"/>
    <n v="18.543399999999998"/>
    <n v="13.022"/>
    <n v="32.630000000000003"/>
    <n v="241.35"/>
    <x v="1182"/>
    <n v="1093427.8999999999"/>
    <n v="58965.847999999998"/>
  </r>
  <r>
    <s v="SK14"/>
    <d v="2014-08-12T00:00:00"/>
    <x v="204"/>
    <s v="U2A"/>
    <n v="17.154399999999999"/>
    <n v="4412.4279999999999"/>
    <n v="305.36099999999999"/>
    <n v="75656.2"/>
    <x v="1183"/>
    <n v="4642282.8600000003"/>
    <n v="270618.26199999999"/>
  </r>
  <r>
    <s v="SK14"/>
    <d v="2014-08-13T00:00:00"/>
    <x v="205"/>
    <s v="AA"/>
    <n v="22.781300000000002"/>
    <n v="15438.41"/>
    <n v="2816.2829999999999"/>
    <n v="351866.04"/>
    <x v="1184"/>
    <n v="270166540.12"/>
    <n v="11859156.146"/>
  </r>
  <r>
    <s v="SK14"/>
    <d v="2014-08-13T00:00:00"/>
    <x v="205"/>
    <s v="AB"/>
    <n v="18.0625"/>
    <n v="0"/>
    <n v="491.983"/>
    <n v="0"/>
    <x v="1185"/>
    <n v="8287457.5999999996"/>
    <n v="458820.48700000002"/>
  </r>
  <r>
    <s v="SK14"/>
    <d v="2014-08-13T00:00:00"/>
    <x v="205"/>
    <s v="AC"/>
    <n v="18.768599999999999"/>
    <n v="287.23500000000001"/>
    <n v="6020.393"/>
    <n v="5393.67"/>
    <x v="1186"/>
    <n v="32791679.710000001"/>
    <n v="1747159.02"/>
  </r>
  <r>
    <s v="SK14"/>
    <d v="2014-08-13T00:00:00"/>
    <x v="205"/>
    <s v="AI"/>
    <n v="17.587"/>
    <n v="40481"/>
    <n v="0"/>
    <n v="712251.05"/>
    <x v="1"/>
    <n v="15264575.210000001"/>
    <n v="867944.68400000001"/>
  </r>
  <r>
    <s v="SK14"/>
    <d v="2014-08-13T00:00:00"/>
    <x v="205"/>
    <s v="RGI"/>
    <n v="17.200199999999999"/>
    <n v="7880.7110000000002"/>
    <n v="0"/>
    <n v="135608.87"/>
    <x v="1"/>
    <n v="68558114.489999995"/>
    <n v="3985879.3620000002"/>
  </r>
  <r>
    <s v="SK14"/>
    <d v="2014-08-13T00:00:00"/>
    <x v="205"/>
    <s v="U2A"/>
    <n v="17.146999999999998"/>
    <n v="2128.598"/>
    <n v="44.226999999999997"/>
    <n v="36514.699999999997"/>
    <x v="1187"/>
    <n v="4676022.1100000003"/>
    <n v="272702.63299999997"/>
  </r>
  <r>
    <s v="SK14"/>
    <d v="2014-08-14T00:00:00"/>
    <x v="206"/>
    <s v="AA"/>
    <n v="22.9207"/>
    <n v="50289.874000000003"/>
    <n v="1937.27"/>
    <n v="1145668.68"/>
    <x v="1188"/>
    <n v="272928133.72000003"/>
    <n v="11907508.75"/>
  </r>
  <r>
    <s v="SK14"/>
    <d v="2014-08-14T00:00:00"/>
    <x v="206"/>
    <s v="AB"/>
    <n v="18.1723"/>
    <n v="1660.9"/>
    <n v="180.089"/>
    <n v="30000"/>
    <x v="1189"/>
    <n v="8364742.8600000003"/>
    <n v="460301.29800000001"/>
  </r>
  <r>
    <s v="SK14"/>
    <d v="2014-08-14T00:00:00"/>
    <x v="206"/>
    <s v="AC"/>
    <n v="18.8827"/>
    <n v="29477.101999999999"/>
    <n v="829.76"/>
    <n v="553243.93999999994"/>
    <x v="1190"/>
    <n v="33531943.59"/>
    <n v="1775806.362"/>
  </r>
  <r>
    <s v="SK14"/>
    <d v="2014-08-14T00:00:00"/>
    <x v="206"/>
    <s v="AGH"/>
    <n v="18.217400000000001"/>
    <n v="0"/>
    <n v="116751"/>
    <n v="0"/>
    <x v="1191"/>
    <n v="5081300.24"/>
    <n v="278926.33600000001"/>
  </r>
  <r>
    <s v="SK14"/>
    <d v="2014-08-14T00:00:00"/>
    <x v="206"/>
    <s v="AI"/>
    <n v="17.695"/>
    <n v="0"/>
    <n v="51465"/>
    <n v="0"/>
    <x v="1192"/>
    <n v="14447629.800000001"/>
    <n v="816479.68400000001"/>
  </r>
  <r>
    <s v="SK14"/>
    <d v="2014-08-14T00:00:00"/>
    <x v="206"/>
    <s v="RGI"/>
    <n v="17.305900000000001"/>
    <n v="16203.358"/>
    <n v="421.14800000000002"/>
    <n v="278701.38"/>
    <x v="1193"/>
    <n v="69252197.420000002"/>
    <n v="4001661.5720000002"/>
  </r>
  <r>
    <s v="SK14"/>
    <d v="2014-08-14T00:00:00"/>
    <x v="206"/>
    <s v="U2A"/>
    <n v="17.252300000000002"/>
    <n v="5285.64"/>
    <n v="53.877000000000002"/>
    <n v="90633.26"/>
    <x v="1194"/>
    <n v="4795013.54"/>
    <n v="277934.39600000001"/>
  </r>
  <r>
    <s v="SK14"/>
    <d v="2014-08-15T00:00:00"/>
    <x v="207"/>
    <s v="AA"/>
    <n v="23.0411"/>
    <n v="7169.5590000000002"/>
    <n v="6787.7730000000001"/>
    <n v="164331.31"/>
    <x v="1195"/>
    <n v="274370549.48000002"/>
    <n v="11907890.536"/>
  </r>
  <r>
    <s v="SK14"/>
    <d v="2014-08-15T00:00:00"/>
    <x v="207"/>
    <s v="AB"/>
    <n v="18.266999999999999"/>
    <n v="0"/>
    <n v="1023.53"/>
    <n v="0"/>
    <x v="1196"/>
    <n v="8389640.0199999996"/>
    <n v="459277.76799999998"/>
  </r>
  <r>
    <s v="SK14"/>
    <d v="2014-08-15T00:00:00"/>
    <x v="207"/>
    <s v="AC"/>
    <n v="18.981100000000001"/>
    <n v="6663.2330000000002"/>
    <n v="6196.34"/>
    <n v="125819.83"/>
    <x v="1197"/>
    <n v="33715562.109999999"/>
    <n v="1776273.2549999999"/>
  </r>
  <r>
    <s v="SK14"/>
    <d v="2014-08-15T00:00:00"/>
    <x v="207"/>
    <s v="AI"/>
    <n v="17.7883"/>
    <n v="14347"/>
    <n v="0"/>
    <n v="253870.17"/>
    <x v="1"/>
    <n v="14779025.140000001"/>
    <n v="830826.68400000001"/>
  </r>
  <r>
    <s v="SK14"/>
    <d v="2014-08-15T00:00:00"/>
    <x v="207"/>
    <s v="AUI"/>
    <n v="11.230399999999999"/>
    <n v="53.670999999999999"/>
    <n v="0"/>
    <n v="599.6"/>
    <x v="1"/>
    <n v="1899207.95"/>
    <n v="169112.861"/>
  </r>
  <r>
    <s v="SK14"/>
    <d v="2014-08-15T00:00:00"/>
    <x v="207"/>
    <s v="RGI"/>
    <n v="17.397099999999998"/>
    <n v="5080.799"/>
    <n v="1032.9749999999999"/>
    <n v="87927.94"/>
    <x v="1198"/>
    <n v="69687804.599999994"/>
    <n v="4005709.3960000002"/>
  </r>
  <r>
    <s v="SK14"/>
    <d v="2014-08-15T00:00:00"/>
    <x v="207"/>
    <s v="U2A"/>
    <n v="17.343399999999999"/>
    <n v="4718.1390000000001"/>
    <n v="27.225000000000001"/>
    <n v="81399.11"/>
    <x v="1199"/>
    <n v="4901675.2300000004"/>
    <n v="282625.31"/>
  </r>
  <r>
    <s v="SK14"/>
    <d v="2014-08-18T00:00:00"/>
    <x v="208"/>
    <s v="AA"/>
    <n v="22.973700000000001"/>
    <n v="199.63800000000001"/>
    <n v="4323.6270000000004"/>
    <n v="4599.87"/>
    <x v="1200"/>
    <n v="273473385.80000001"/>
    <n v="11903766.547"/>
  </r>
  <r>
    <s v="SK14"/>
    <d v="2014-08-18T00:00:00"/>
    <x v="208"/>
    <s v="AB"/>
    <n v="18.211400000000001"/>
    <n v="0"/>
    <n v="3735.1280000000002"/>
    <n v="0"/>
    <x v="1201"/>
    <n v="8296047.8200000003"/>
    <n v="455542.64"/>
  </r>
  <r>
    <s v="SK14"/>
    <d v="2014-08-18T00:00:00"/>
    <x v="208"/>
    <s v="AC"/>
    <n v="18.923200000000001"/>
    <n v="14117.841"/>
    <n v="24888.592000000001"/>
    <n v="267972.09000000003"/>
    <x v="1202"/>
    <n v="33408983.649999999"/>
    <n v="1765502.504"/>
  </r>
  <r>
    <s v="SK14"/>
    <d v="2014-08-18T00:00:00"/>
    <x v="208"/>
    <s v="AUI"/>
    <n v="11.1976"/>
    <n v="44522.012000000002"/>
    <n v="179.91800000000001"/>
    <n v="500000"/>
    <x v="1203"/>
    <n v="2390176.63"/>
    <n v="213454.95499999999"/>
  </r>
  <r>
    <s v="SK14"/>
    <d v="2014-08-18T00:00:00"/>
    <x v="208"/>
    <s v="BUI"/>
    <n v="10.878299999999999"/>
    <n v="0"/>
    <n v="5792.6980000000003"/>
    <n v="0"/>
    <x v="1204"/>
    <n v="1828101.52"/>
    <n v="168050.429"/>
  </r>
  <r>
    <s v="SK14"/>
    <d v="2014-08-18T00:00:00"/>
    <x v="208"/>
    <s v="RGI"/>
    <n v="17.347300000000001"/>
    <n v="0"/>
    <n v="2751.058"/>
    <n v="0"/>
    <x v="1205"/>
    <n v="69440568.930000007"/>
    <n v="4002958.338"/>
  </r>
  <r>
    <s v="SK14"/>
    <d v="2014-08-18T00:00:00"/>
    <x v="208"/>
    <s v="U2A"/>
    <n v="17.293900000000001"/>
    <n v="4301.4709999999995"/>
    <n v="318.99299999999999"/>
    <n v="74602.12"/>
    <x v="1206"/>
    <n v="4956575.25"/>
    <n v="286607.788"/>
  </r>
  <r>
    <s v="SK14"/>
    <d v="2014-08-19T00:00:00"/>
    <x v="209"/>
    <s v="AA"/>
    <n v="23.164400000000001"/>
    <n v="83950.630999999994"/>
    <n v="3573.0929999999998"/>
    <n v="1928656.63"/>
    <x v="1207"/>
    <n v="277605664.88"/>
    <n v="11984144.085000001"/>
  </r>
  <r>
    <s v="SK14"/>
    <d v="2014-08-19T00:00:00"/>
    <x v="209"/>
    <s v="AB"/>
    <n v="18.361799999999999"/>
    <n v="6684.6629999999996"/>
    <n v="0"/>
    <n v="121737.08"/>
    <x v="1"/>
    <n v="8487323.4900000002"/>
    <n v="462227.30300000001"/>
  </r>
  <r>
    <s v="SK14"/>
    <d v="2014-08-19T00:00:00"/>
    <x v="209"/>
    <s v="AC"/>
    <n v="19.079499999999999"/>
    <n v="96616.168999999994"/>
    <n v="10501.394"/>
    <n v="1828286.98"/>
    <x v="1208"/>
    <n v="35328001.159999996"/>
    <n v="1851617.2790000001"/>
  </r>
  <r>
    <s v="SK14"/>
    <d v="2014-08-19T00:00:00"/>
    <x v="209"/>
    <s v="AGH"/>
    <n v="18.374700000000001"/>
    <n v="0"/>
    <n v="2940"/>
    <n v="0"/>
    <x v="1209"/>
    <n v="5071153.28"/>
    <n v="275986.33600000001"/>
  </r>
  <r>
    <s v="SK14"/>
    <d v="2014-08-19T00:00:00"/>
    <x v="209"/>
    <s v="AI"/>
    <n v="17.885000000000002"/>
    <n v="25370.121999999999"/>
    <n v="0"/>
    <n v="450000"/>
    <x v="1"/>
    <n v="15313105.960000001"/>
    <n v="856196.80599999998"/>
  </r>
  <r>
    <s v="SK14"/>
    <d v="2014-08-19T00:00:00"/>
    <x v="209"/>
    <s v="AUI"/>
    <n v="11.2905"/>
    <n v="237977.704"/>
    <n v="0"/>
    <n v="2664779.14"/>
    <x v="1"/>
    <n v="5096922.07"/>
    <n v="451432.65899999999"/>
  </r>
  <r>
    <s v="SK14"/>
    <d v="2014-08-19T00:00:00"/>
    <x v="209"/>
    <s v="BUI"/>
    <n v="10.9682"/>
    <n v="0"/>
    <n v="444.81099999999998"/>
    <n v="0"/>
    <x v="1210"/>
    <n v="1838324.54"/>
    <n v="167605.61799999999"/>
  </r>
  <r>
    <s v="SK14"/>
    <d v="2014-08-19T00:00:00"/>
    <x v="209"/>
    <s v="RGI"/>
    <n v="17.491700000000002"/>
    <n v="9650.52"/>
    <n v="1400"/>
    <n v="167410.98000000001"/>
    <x v="1211"/>
    <n v="70162808.079999998"/>
    <n v="4011208.858"/>
  </r>
  <r>
    <s v="SK14"/>
    <d v="2014-08-19T00:00:00"/>
    <x v="209"/>
    <s v="U2A"/>
    <n v="17.437899999999999"/>
    <n v="4959.4880000000003"/>
    <n v="66.683999999999997"/>
    <n v="85768.55"/>
    <x v="1212"/>
    <n v="5083166.8899999997"/>
    <n v="291500.592"/>
  </r>
  <r>
    <s v="SK14"/>
    <d v="2014-08-20T00:00:00"/>
    <x v="210"/>
    <s v="AA"/>
    <n v="23.261700000000001"/>
    <n v="10076.618"/>
    <n v="15032.221"/>
    <n v="233418.81"/>
    <x v="1213"/>
    <n v="278656085.26999998"/>
    <n v="11979188.482000001"/>
  </r>
  <r>
    <s v="SK14"/>
    <d v="2014-08-20T00:00:00"/>
    <x v="210"/>
    <s v="AC"/>
    <n v="19.158899999999999"/>
    <n v="9614.7260000000006"/>
    <n v="3424.98"/>
    <n v="183444.16"/>
    <x v="1214"/>
    <n v="35593483.68"/>
    <n v="1857807.0249999999"/>
  </r>
  <r>
    <s v="SK14"/>
    <d v="2014-08-20T00:00:00"/>
    <x v="210"/>
    <s v="AI"/>
    <n v="17.9605"/>
    <n v="40089.46"/>
    <n v="0"/>
    <n v="717000"/>
    <x v="1"/>
    <n v="16097747.51"/>
    <n v="896286.26599999995"/>
  </r>
  <r>
    <s v="SK14"/>
    <d v="2014-08-20T00:00:00"/>
    <x v="210"/>
    <s v="AUI"/>
    <n v="11.337999999999999"/>
    <n v="0"/>
    <n v="179.82"/>
    <n v="0"/>
    <x v="1215"/>
    <n v="5116285.79"/>
    <n v="451252.83899999998"/>
  </r>
  <r>
    <s v="SK14"/>
    <d v="2014-08-20T00:00:00"/>
    <x v="210"/>
    <s v="BUI"/>
    <n v="11.0138"/>
    <n v="0"/>
    <n v="764.654"/>
    <n v="0"/>
    <x v="1216"/>
    <n v="1837546.57"/>
    <n v="166840.96400000001"/>
  </r>
  <r>
    <s v="SK14"/>
    <d v="2014-08-20T00:00:00"/>
    <x v="210"/>
    <s v="RGI"/>
    <n v="17.5655"/>
    <n v="3808.3150000000001"/>
    <n v="0"/>
    <n v="66613.98"/>
    <x v="1"/>
    <n v="70525766"/>
    <n v="4015017.173"/>
  </r>
  <r>
    <s v="SK14"/>
    <d v="2014-08-20T00:00:00"/>
    <x v="210"/>
    <s v="S4"/>
    <n v="18.930399999999999"/>
    <n v="0"/>
    <n v="698.53"/>
    <n v="0"/>
    <x v="1217"/>
    <n v="1103024.6000000001"/>
    <n v="58267.317999999999"/>
  </r>
  <r>
    <s v="SK14"/>
    <d v="2014-08-20T00:00:00"/>
    <x v="210"/>
    <s v="U2A"/>
    <n v="17.511600000000001"/>
    <n v="2661.518"/>
    <n v="66.45"/>
    <n v="46411.41"/>
    <x v="1218"/>
    <n v="5150080.79"/>
    <n v="294095.65999999997"/>
  </r>
  <r>
    <s v="SK14"/>
    <d v="2014-08-21T00:00:00"/>
    <x v="211"/>
    <s v="AA"/>
    <n v="23.3568"/>
    <n v="174714.27799999999"/>
    <n v="12408.127"/>
    <n v="4064151.13"/>
    <x v="1219"/>
    <n v="283586665.91000003"/>
    <n v="12141494.632999999"/>
  </r>
  <r>
    <s v="SK14"/>
    <d v="2014-08-21T00:00:00"/>
    <x v="211"/>
    <s v="AB"/>
    <n v="18.512799999999999"/>
    <n v="0"/>
    <n v="8135.6139999999996"/>
    <n v="0"/>
    <x v="1220"/>
    <n v="8406506.0899999999"/>
    <n v="454091.68900000001"/>
  </r>
  <r>
    <s v="SK14"/>
    <d v="2014-08-21T00:00:00"/>
    <x v="211"/>
    <s v="AC"/>
    <n v="19.2364"/>
    <n v="110.824"/>
    <n v="53141.394999999997"/>
    <n v="2123.2600000000002"/>
    <x v="1221"/>
    <n v="34717467.18"/>
    <n v="1804776.4539999999"/>
  </r>
  <r>
    <s v="SK14"/>
    <d v="2014-08-21T00:00:00"/>
    <x v="211"/>
    <s v="AGH"/>
    <n v="18.408300000000001"/>
    <n v="4000"/>
    <n v="0"/>
    <n v="73430"/>
    <x v="1"/>
    <n v="5154077.92"/>
    <n v="279986.33600000001"/>
  </r>
  <r>
    <s v="SK14"/>
    <d v="2014-08-21T00:00:00"/>
    <x v="211"/>
    <s v="AI"/>
    <n v="18.034300000000002"/>
    <n v="0"/>
    <n v="62005.201000000001"/>
    <n v="0"/>
    <x v="1222"/>
    <n v="15045691.630000001"/>
    <n v="834281.06499999994"/>
  </r>
  <r>
    <s v="SK14"/>
    <d v="2014-08-21T00:00:00"/>
    <x v="211"/>
    <s v="BUI"/>
    <n v="11.058400000000001"/>
    <n v="0"/>
    <n v="4890.47"/>
    <n v="0"/>
    <x v="1223"/>
    <n v="1790905.37"/>
    <n v="161950.49400000001"/>
  </r>
  <r>
    <s v="SK14"/>
    <d v="2014-08-21T00:00:00"/>
    <x v="211"/>
    <s v="RGI"/>
    <n v="17.637699999999999"/>
    <n v="6013.5129999999999"/>
    <n v="1761.77"/>
    <n v="105630.29"/>
    <x v="1224"/>
    <n v="70890636.060000002"/>
    <n v="4019268.9160000002"/>
  </r>
  <r>
    <s v="SK14"/>
    <d v="2014-08-21T00:00:00"/>
    <x v="211"/>
    <s v="S4"/>
    <n v="19.008400000000002"/>
    <n v="21.36"/>
    <n v="328.86900000000003"/>
    <n v="404.36"/>
    <x v="1225"/>
    <n v="1101723.77"/>
    <n v="57959.809000000001"/>
  </r>
  <r>
    <s v="SK14"/>
    <d v="2014-08-21T00:00:00"/>
    <x v="211"/>
    <s v="U2A"/>
    <n v="17.583600000000001"/>
    <n v="3129.2649999999999"/>
    <n v="17.821999999999999"/>
    <n v="54798.37"/>
    <x v="1226"/>
    <n v="5225980.58"/>
    <n v="297207.103"/>
  </r>
  <r>
    <s v="SK14"/>
    <d v="2014-08-22T00:00:00"/>
    <x v="212"/>
    <s v="AA"/>
    <n v="23.4666"/>
    <n v="4011.68"/>
    <n v="41334.332999999999"/>
    <n v="93700"/>
    <x v="1227"/>
    <n v="284043624.31"/>
    <n v="12104171.98"/>
  </r>
  <r>
    <s v="SK14"/>
    <d v="2014-08-22T00:00:00"/>
    <x v="212"/>
    <s v="AB"/>
    <n v="18.599"/>
    <n v="0"/>
    <n v="1463.6780000000001"/>
    <n v="0"/>
    <x v="1228"/>
    <n v="8418446.2899999991"/>
    <n v="452628.011"/>
  </r>
  <r>
    <s v="SK14"/>
    <d v="2014-08-22T00:00:00"/>
    <x v="212"/>
    <s v="AC"/>
    <n v="19.3261"/>
    <n v="8514.2129999999997"/>
    <n v="9781.8559999999998"/>
    <n v="163782.81"/>
    <x v="1229"/>
    <n v="34854706.189999998"/>
    <n v="1803508.811"/>
  </r>
  <r>
    <s v="SK14"/>
    <d v="2014-08-22T00:00:00"/>
    <x v="212"/>
    <s v="AEI"/>
    <n v="13.3231"/>
    <n v="25.027999999999999"/>
    <n v="0"/>
    <n v="331.88"/>
    <x v="1"/>
    <n v="333.45"/>
    <n v="25.027999999999999"/>
  </r>
  <r>
    <s v="SK14"/>
    <d v="2014-08-22T00:00:00"/>
    <x v="212"/>
    <s v="AGH"/>
    <n v="18.509499999999999"/>
    <n v="0"/>
    <n v="519.00300000000004"/>
    <n v="0"/>
    <x v="1230"/>
    <n v="5172805.43"/>
    <n v="279467.33299999998"/>
  </r>
  <r>
    <s v="SK14"/>
    <d v="2014-08-22T00:00:00"/>
    <x v="212"/>
    <s v="AI"/>
    <n v="18.119499999999999"/>
    <n v="0"/>
    <n v="155242"/>
    <n v="0"/>
    <x v="1231"/>
    <n v="12303815.949999999"/>
    <n v="679039.06499999994"/>
  </r>
  <r>
    <s v="SK14"/>
    <d v="2014-08-22T00:00:00"/>
    <x v="212"/>
    <s v="C1M"/>
    <n v="11.2842"/>
    <n v="0"/>
    <n v="204.55799999999999"/>
    <n v="0"/>
    <x v="1232"/>
    <n v="477260.86"/>
    <n v="42294.574999999997"/>
  </r>
  <r>
    <s v="SK14"/>
    <d v="2014-08-22T00:00:00"/>
    <x v="212"/>
    <s v="RGI"/>
    <n v="17.7209"/>
    <n v="3013.2179999999998"/>
    <n v="453.50099999999998"/>
    <n v="53146.1"/>
    <x v="1233"/>
    <n v="71270623.180000007"/>
    <n v="4021828.6329999999"/>
  </r>
  <r>
    <s v="SK14"/>
    <d v="2014-08-22T00:00:00"/>
    <x v="212"/>
    <s v="U2A"/>
    <n v="17.666699999999999"/>
    <n v="1754.8209999999999"/>
    <n v="21.437000000000001"/>
    <n v="30856.03"/>
    <x v="1234"/>
    <n v="5281293.43"/>
    <n v="298940.48700000002"/>
  </r>
  <r>
    <s v="SK14"/>
    <d v="2014-08-25T00:00:00"/>
    <x v="213"/>
    <s v="AA"/>
    <n v="23.429300000000001"/>
    <n v="605836.85499999998"/>
    <n v="9553.2780000000002"/>
    <n v="14216931.140000001"/>
    <x v="1235"/>
    <n v="297562437.58999997"/>
    <n v="12700455.557"/>
  </r>
  <r>
    <s v="SK14"/>
    <d v="2014-08-25T00:00:00"/>
    <x v="213"/>
    <s v="AB"/>
    <n v="18.5672"/>
    <n v="0"/>
    <n v="5140.0870000000004"/>
    <n v="0"/>
    <x v="1236"/>
    <n v="8308584.7800000003"/>
    <n v="447487.924"/>
  </r>
  <r>
    <s v="SK14"/>
    <d v="2014-08-25T00:00:00"/>
    <x v="213"/>
    <s v="AC"/>
    <n v="19.292899999999999"/>
    <n v="5.0670000000000002"/>
    <n v="27242.399000000001"/>
    <n v="97.93"/>
    <x v="1237"/>
    <n v="34269493.969999999"/>
    <n v="1776271.4790000001"/>
  </r>
  <r>
    <s v="SK14"/>
    <d v="2014-08-25T00:00:00"/>
    <x v="213"/>
    <s v="AUI"/>
    <n v="11.419600000000001"/>
    <n v="66.995000000000005"/>
    <n v="0"/>
    <n v="766.28"/>
    <x v="1"/>
    <n v="5153911.17"/>
    <n v="451319.83399999997"/>
  </r>
  <r>
    <s v="SK14"/>
    <d v="2014-08-25T00:00:00"/>
    <x v="213"/>
    <s v="BUI"/>
    <n v="11.0908"/>
    <n v="373.57400000000001"/>
    <n v="0"/>
    <n v="4150.37"/>
    <x v="1"/>
    <n v="1800308.88"/>
    <n v="162324.068"/>
  </r>
  <r>
    <s v="SK14"/>
    <d v="2014-08-25T00:00:00"/>
    <x v="213"/>
    <s v="RGI"/>
    <n v="17.693899999999999"/>
    <n v="4587.9570000000003"/>
    <n v="0"/>
    <n v="81303.009999999995"/>
    <x v="1"/>
    <n v="71242861.349999994"/>
    <n v="4026416.59"/>
  </r>
  <r>
    <s v="SK14"/>
    <d v="2014-08-25T00:00:00"/>
    <x v="213"/>
    <s v="U2A"/>
    <n v="17.639900000000001"/>
    <n v="2503.8580000000002"/>
    <n v="33.854999999999997"/>
    <n v="44235.05"/>
    <x v="1238"/>
    <n v="5316856.62"/>
    <n v="301410.49"/>
  </r>
  <r>
    <s v="SK14"/>
    <d v="2014-08-26T00:00:00"/>
    <x v="214"/>
    <s v="AA"/>
    <n v="23.567399999999999"/>
    <n v="92946.769"/>
    <n v="6761.8069999999998"/>
    <n v="2177677.7000000002"/>
    <x v="1239"/>
    <n v="301348188.11000001"/>
    <n v="12786640.518999999"/>
  </r>
  <r>
    <s v="SK14"/>
    <d v="2014-08-26T00:00:00"/>
    <x v="214"/>
    <s v="AB"/>
    <n v="18.675899999999999"/>
    <n v="3781.277"/>
    <n v="0"/>
    <n v="70207.73"/>
    <x v="1"/>
    <n v="8427854.1300000008"/>
    <n v="451269.201"/>
  </r>
  <r>
    <s v="SK14"/>
    <d v="2014-08-26T00:00:00"/>
    <x v="214"/>
    <s v="AC"/>
    <n v="19.405899999999999"/>
    <n v="69939.726999999999"/>
    <n v="192.59399999999999"/>
    <n v="1349340.19"/>
    <x v="1240"/>
    <n v="35823661.020000003"/>
    <n v="1846018.612"/>
  </r>
  <r>
    <s v="SK14"/>
    <d v="2014-08-26T00:00:00"/>
    <x v="214"/>
    <s v="AGH"/>
    <n v="18.487400000000001"/>
    <n v="5744.98"/>
    <n v="0"/>
    <n v="105604"/>
    <x v="1"/>
    <n v="5272831.0999999996"/>
    <n v="285212.31300000002"/>
  </r>
  <r>
    <s v="SK14"/>
    <d v="2014-08-26T00:00:00"/>
    <x v="214"/>
    <s v="AUI"/>
    <n v="11.487"/>
    <n v="8.7520000000000007"/>
    <n v="9.0709999999999997"/>
    <n v="99.94"/>
    <x v="1241"/>
    <n v="5184297.78"/>
    <n v="451319.51500000001"/>
  </r>
  <r>
    <s v="SK14"/>
    <d v="2014-08-26T00:00:00"/>
    <x v="214"/>
    <s v="RGI"/>
    <n v="17.7986"/>
    <n v="1850"/>
    <n v="0"/>
    <n v="32733.62"/>
    <x v="1"/>
    <n v="71697339.420000002"/>
    <n v="4028266.59"/>
  </r>
  <r>
    <s v="SK14"/>
    <d v="2014-08-27T00:00:00"/>
    <x v="215"/>
    <s v="AA"/>
    <n v="23.562999999999999"/>
    <n v="27143.266"/>
    <n v="4625.41"/>
    <n v="639696.22"/>
    <x v="1242"/>
    <n v="301822307.38"/>
    <n v="12809158.375"/>
  </r>
  <r>
    <s v="SK14"/>
    <d v="2014-08-27T00:00:00"/>
    <x v="215"/>
    <s v="AB"/>
    <n v="18.671600000000002"/>
    <n v="0"/>
    <n v="1525.3109999999999"/>
    <n v="0"/>
    <x v="1243"/>
    <n v="8397448.4700000007"/>
    <n v="449743.89"/>
  </r>
  <r>
    <s v="SK14"/>
    <d v="2014-08-27T00:00:00"/>
    <x v="215"/>
    <s v="AC"/>
    <n v="19.401499999999999"/>
    <n v="338.65199999999999"/>
    <n v="16566.037"/>
    <n v="6571.84"/>
    <x v="1244"/>
    <n v="35500640.859999999"/>
    <n v="1829791.227"/>
  </r>
  <r>
    <s v="SK14"/>
    <d v="2014-08-27T00:00:00"/>
    <x v="215"/>
    <s v="AUI"/>
    <n v="11.4848"/>
    <n v="29.03"/>
    <n v="0"/>
    <n v="333.47"/>
    <x v="1"/>
    <n v="5183659.74"/>
    <n v="451348.54499999998"/>
  </r>
  <r>
    <s v="SK14"/>
    <d v="2014-08-27T00:00:00"/>
    <x v="215"/>
    <s v="BUI"/>
    <n v="11.1532"/>
    <n v="0"/>
    <n v="771.06"/>
    <n v="0"/>
    <x v="1245"/>
    <n v="1801836.92"/>
    <n v="161553.008"/>
  </r>
  <r>
    <s v="SK14"/>
    <d v="2014-08-27T00:00:00"/>
    <x v="215"/>
    <s v="RGI"/>
    <n v="17.7956"/>
    <n v="6238.652"/>
    <n v="0"/>
    <n v="111039.1"/>
    <x v="1"/>
    <n v="71796398.099999994"/>
    <n v="4034505.2420000001"/>
  </r>
  <r>
    <s v="SK14"/>
    <d v="2014-08-27T00:00:00"/>
    <x v="215"/>
    <s v="U2A"/>
    <n v="17.741499999999998"/>
    <n v="5138.5410000000002"/>
    <n v="92.947999999999993"/>
    <n v="91180.22"/>
    <x v="1246"/>
    <n v="5436984.8300000001"/>
    <n v="306456.08299999998"/>
  </r>
  <r>
    <s v="SK14"/>
    <d v="2014-08-28T00:00:00"/>
    <x v="216"/>
    <s v="AA"/>
    <n v="23.567299999999999"/>
    <n v="18162.157999999999"/>
    <n v="13530.25"/>
    <n v="427954.94"/>
    <x v="1247"/>
    <n v="301986227.94"/>
    <n v="12813790.283"/>
  </r>
  <r>
    <s v="SK14"/>
    <d v="2014-08-28T00:00:00"/>
    <x v="216"/>
    <s v="AB"/>
    <n v="18.674199999999999"/>
    <n v="0"/>
    <n v="2673.9360000000001"/>
    <n v="0"/>
    <x v="1248"/>
    <n v="8348693.2300000004"/>
    <n v="447069.95400000003"/>
  </r>
  <r>
    <s v="SK14"/>
    <d v="2014-08-28T00:00:00"/>
    <x v="216"/>
    <s v="AC"/>
    <n v="19.404199999999999"/>
    <n v="1315.6110000000001"/>
    <n v="40016.614999999998"/>
    <n v="25524.83"/>
    <x v="1249"/>
    <n v="34754659.880000003"/>
    <n v="1791090.223"/>
  </r>
  <r>
    <s v="SK14"/>
    <d v="2014-08-28T00:00:00"/>
    <x v="216"/>
    <s v="AEI"/>
    <n v="13.3809"/>
    <n v="29.850999999999999"/>
    <n v="0"/>
    <n v="399.36"/>
    <x v="1"/>
    <n v="734.33"/>
    <n v="54.878999999999998"/>
  </r>
  <r>
    <s v="SK14"/>
    <d v="2014-08-28T00:00:00"/>
    <x v="216"/>
    <s v="AUI"/>
    <n v="11.4869"/>
    <n v="1192897"/>
    <n v="0"/>
    <n v="13700183.470000001"/>
    <x v="1"/>
    <n v="18887269.280000001"/>
    <n v="1644245.5449999999"/>
  </r>
  <r>
    <s v="SK14"/>
    <d v="2014-08-28T00:00:00"/>
    <x v="216"/>
    <s v="RGI"/>
    <n v="17.799199999999999"/>
    <n v="4437.2299999999996"/>
    <n v="1049.4169999999999"/>
    <n v="78963.38"/>
    <x v="1250"/>
    <n v="71871199.780000001"/>
    <n v="4037893.0550000002"/>
  </r>
  <r>
    <s v="SK14"/>
    <d v="2014-08-28T00:00:00"/>
    <x v="216"/>
    <s v="U2A"/>
    <n v="17.745100000000001"/>
    <n v="3491.0219999999999"/>
    <n v="196.59299999999999"/>
    <n v="61935.72"/>
    <x v="1251"/>
    <n v="5496565.2400000002"/>
    <n v="309750.51199999999"/>
  </r>
  <r>
    <s v="SK14"/>
    <d v="2014-08-29T00:00:00"/>
    <x v="217"/>
    <s v="AA"/>
    <n v="23.521100000000001"/>
    <n v="6160.3429999999998"/>
    <n v="83182.929000000004"/>
    <n v="145182.64000000001"/>
    <x v="1252"/>
    <n v="299582635.43000001"/>
    <n v="12736767.697000001"/>
  </r>
  <r>
    <s v="SK14"/>
    <d v="2014-08-29T00:00:00"/>
    <x v="217"/>
    <s v="AB"/>
    <n v="18.636900000000001"/>
    <n v="0"/>
    <n v="8700.9840000000004"/>
    <n v="0"/>
    <x v="1253"/>
    <n v="8169826.7400000002"/>
    <n v="438368.97"/>
  </r>
  <r>
    <s v="SK14"/>
    <d v="2014-08-29T00:00:00"/>
    <x v="217"/>
    <s v="AC"/>
    <n v="19.365400000000001"/>
    <n v="121.08499999999999"/>
    <n v="11520.652"/>
    <n v="2349.56"/>
    <x v="1254"/>
    <n v="34464350.710000001"/>
    <n v="1779690.656"/>
  </r>
  <r>
    <s v="SK14"/>
    <d v="2014-08-29T00:00:00"/>
    <x v="217"/>
    <s v="AGH"/>
    <n v="18.433800000000002"/>
    <n v="0"/>
    <n v="4000"/>
    <n v="0"/>
    <x v="1255"/>
    <n v="5183816.17"/>
    <n v="281212.31300000002"/>
  </r>
  <r>
    <s v="SK14"/>
    <d v="2014-08-29T00:00:00"/>
    <x v="217"/>
    <s v="AI"/>
    <n v="18.164100000000001"/>
    <n v="139459.10200000001"/>
    <n v="0"/>
    <n v="2538071.98"/>
    <x v="1"/>
    <n v="14867313.67"/>
    <n v="818498.16700000002"/>
  </r>
  <r>
    <s v="SK14"/>
    <d v="2014-08-29T00:00:00"/>
    <x v="217"/>
    <s v="AUI"/>
    <n v="11.464399999999999"/>
    <n v="52.32"/>
    <n v="1512.0519999999999"/>
    <n v="601"/>
    <x v="1256"/>
    <n v="18833512.609999999"/>
    <n v="1642785.8130000001"/>
  </r>
  <r>
    <s v="SK14"/>
    <d v="2014-08-29T00:00:00"/>
    <x v="217"/>
    <s v="RGI"/>
    <n v="17.764700000000001"/>
    <n v="21167.446"/>
    <n v="10270"/>
    <n v="376764.76"/>
    <x v="1257"/>
    <n v="71925388.959999993"/>
    <n v="4048790.5010000002"/>
  </r>
  <r>
    <s v="SK14"/>
    <d v="2014-08-29T00:00:00"/>
    <x v="217"/>
    <s v="U2A"/>
    <n v="17.710799999999999"/>
    <n v="3882.0880000000002"/>
    <n v="54.215000000000003"/>
    <n v="68887.81"/>
    <x v="1258"/>
    <n v="5553721.0199999996"/>
    <n v="313578.38500000001"/>
  </r>
  <r>
    <s v="SK14"/>
    <d v="2014-09-02T00:00:00"/>
    <x v="218"/>
    <s v="AA"/>
    <n v="23.572700000000001"/>
    <n v="82604.142999999996"/>
    <n v="15498.989"/>
    <n v="1942940.32"/>
    <x v="1259"/>
    <n v="301822484.95999998"/>
    <n v="12803872.851"/>
  </r>
  <r>
    <s v="SK14"/>
    <d v="2014-09-02T00:00:00"/>
    <x v="218"/>
    <s v="AB"/>
    <n v="18.674700000000001"/>
    <n v="899.84900000000005"/>
    <n v="0"/>
    <n v="16770.39"/>
    <x v="1"/>
    <n v="8203232.25"/>
    <n v="439268.81900000002"/>
  </r>
  <r>
    <s v="SK14"/>
    <d v="2014-09-02T00:00:00"/>
    <x v="218"/>
    <s v="AC"/>
    <n v="19.404699999999998"/>
    <n v="19201.421999999999"/>
    <n v="2172.71"/>
    <n v="371843.22"/>
    <x v="1260"/>
    <n v="34864819.869999997"/>
    <n v="1796719.368"/>
  </r>
  <r>
    <s v="SK14"/>
    <d v="2014-09-02T00:00:00"/>
    <x v="218"/>
    <s v="AGH"/>
    <n v="18.374700000000001"/>
    <n v="61287.811999999998"/>
    <n v="0"/>
    <n v="1129769.1100000001"/>
    <x v="1"/>
    <n v="6293332.25"/>
    <n v="342500.125"/>
  </r>
  <r>
    <s v="SK14"/>
    <d v="2014-09-02T00:00:00"/>
    <x v="218"/>
    <s v="RGI"/>
    <n v="17.805099999999999"/>
    <n v="9514.857"/>
    <n v="2580"/>
    <n v="169029.14"/>
    <x v="1261"/>
    <n v="72212752.5"/>
    <n v="4055725.358"/>
  </r>
  <r>
    <s v="SK14"/>
    <d v="2014-09-02T00:00:00"/>
    <x v="218"/>
    <s v="U2A"/>
    <n v="17.7514"/>
    <n v="3355.0659999999998"/>
    <n v="27.879000000000001"/>
    <n v="59421.01"/>
    <x v="1262"/>
    <n v="5625529.3399999999"/>
    <n v="316905.57199999999"/>
  </r>
  <r>
    <s v="SK14"/>
    <d v="2014-09-03T00:00:00"/>
    <x v="219"/>
    <s v="AA"/>
    <n v="23.562899999999999"/>
    <n v="71919.778000000006"/>
    <n v="16843.146000000001"/>
    <n v="1695343.31"/>
    <x v="1263"/>
    <n v="302994279.13999999"/>
    <n v="12858949.482999999"/>
  </r>
  <r>
    <s v="SK14"/>
    <d v="2014-09-03T00:00:00"/>
    <x v="219"/>
    <s v="AB"/>
    <n v="18.6662"/>
    <n v="9800.5329999999994"/>
    <n v="2202.2429999999999"/>
    <n v="183022.01"/>
    <x v="1264"/>
    <n v="8341302.1600000001"/>
    <n v="446867.109"/>
  </r>
  <r>
    <s v="SK14"/>
    <d v="2014-09-03T00:00:00"/>
    <x v="219"/>
    <s v="AC"/>
    <n v="19.395800000000001"/>
    <n v="41961.03"/>
    <n v="3018.8229999999999"/>
    <n v="814241.07"/>
    <x v="1265"/>
    <n v="35604151.130000003"/>
    <n v="1835661.575"/>
  </r>
  <r>
    <s v="SK14"/>
    <d v="2014-09-03T00:00:00"/>
    <x v="219"/>
    <s v="AI"/>
    <n v="18.1983"/>
    <n v="133776"/>
    <n v="0"/>
    <n v="2435458.9700000002"/>
    <x v="1"/>
    <n v="17329769.390000001"/>
    <n v="952274.16700000002"/>
  </r>
  <r>
    <s v="SK14"/>
    <d v="2014-09-03T00:00:00"/>
    <x v="219"/>
    <s v="RGI"/>
    <n v="17.798100000000002"/>
    <n v="21266.495999999999"/>
    <n v="770"/>
    <n v="378653.79"/>
    <x v="1266"/>
    <n v="72548896.540000007"/>
    <n v="4076221.8539999998"/>
  </r>
  <r>
    <s v="SK14"/>
    <d v="2014-09-03T00:00:00"/>
    <x v="219"/>
    <s v="S4"/>
    <n v="19.183599999999998"/>
    <n v="0"/>
    <n v="25.378"/>
    <n v="0"/>
    <x v="1267"/>
    <n v="1111390.8899999999"/>
    <n v="57934.430999999997"/>
  </r>
  <r>
    <s v="SK14"/>
    <d v="2014-09-03T00:00:00"/>
    <x v="219"/>
    <s v="U2A"/>
    <n v="17.744499999999999"/>
    <n v="6198.6859999999997"/>
    <n v="26.204999999999998"/>
    <n v="110035.57"/>
    <x v="1268"/>
    <n v="5732847.54"/>
    <n v="323078.05300000001"/>
  </r>
  <r>
    <s v="SK14"/>
    <d v="2014-09-04T00:00:00"/>
    <x v="220"/>
    <s v="AA"/>
    <n v="23.6311"/>
    <n v="41128.616999999998"/>
    <n v="3578.9650000000001"/>
    <n v="969109.49"/>
    <x v="1269"/>
    <n v="304757947.19999999"/>
    <n v="12896499.135"/>
  </r>
  <r>
    <s v="SK14"/>
    <d v="2014-09-04T00:00:00"/>
    <x v="220"/>
    <s v="AB"/>
    <n v="18.7194"/>
    <n v="274.66699999999997"/>
    <n v="0"/>
    <n v="5126.9799999999996"/>
    <x v="1"/>
    <n v="8370225.9800000004"/>
    <n v="447141.77600000001"/>
  </r>
  <r>
    <s v="SK14"/>
    <d v="2014-09-04T00:00:00"/>
    <x v="220"/>
    <s v="AC"/>
    <n v="19.4511"/>
    <n v="48446.656999999999"/>
    <n v="6210.6229999999996"/>
    <n v="939661.44"/>
    <x v="1270"/>
    <n v="36527200.579999998"/>
    <n v="1877897.6089999999"/>
  </r>
  <r>
    <s v="SK14"/>
    <d v="2014-09-04T00:00:00"/>
    <x v="220"/>
    <s v="AGH"/>
    <n v="18.435700000000001"/>
    <n v="28500"/>
    <n v="0"/>
    <n v="524728.76"/>
    <x v="1"/>
    <n v="6839643.1299999999"/>
    <n v="371000.125"/>
  </r>
  <r>
    <s v="SK14"/>
    <d v="2014-09-04T00:00:00"/>
    <x v="220"/>
    <s v="AI"/>
    <n v="18.251300000000001"/>
    <n v="0"/>
    <n v="254116"/>
    <n v="0"/>
    <x v="1271"/>
    <n v="12742297.949999999"/>
    <n v="698158.16700000002"/>
  </r>
  <r>
    <s v="SK14"/>
    <d v="2014-09-04T00:00:00"/>
    <x v="220"/>
    <s v="BUI"/>
    <n v="11.181800000000001"/>
    <n v="0"/>
    <n v="1246.232"/>
    <n v="0"/>
    <x v="1272"/>
    <n v="1792512.33"/>
    <n v="160306.77600000001"/>
  </r>
  <r>
    <s v="SK14"/>
    <d v="2014-09-04T00:00:00"/>
    <x v="220"/>
    <s v="RGI"/>
    <n v="17.849900000000002"/>
    <n v="9865.1980000000003"/>
    <n v="4665"/>
    <n v="175582.24"/>
    <x v="1273"/>
    <n v="72853039.140000001"/>
    <n v="4081422.0520000001"/>
  </r>
  <r>
    <s v="SK14"/>
    <d v="2014-09-04T00:00:00"/>
    <x v="220"/>
    <s v="U2A"/>
    <n v="17.796199999999999"/>
    <n v="3762.0369999999998"/>
    <n v="94.492000000000004"/>
    <n v="66755.34"/>
    <x v="1274"/>
    <n v="5814838.0499999998"/>
    <n v="326745.598"/>
  </r>
  <r>
    <s v="SK14"/>
    <d v="2014-09-05T00:00:00"/>
    <x v="221"/>
    <s v="A3"/>
    <n v="19.061399999999999"/>
    <n v="13919.593000000001"/>
    <n v="117410.40300000001"/>
    <n v="266016.88"/>
    <x v="1275"/>
    <n v="3899540.24"/>
    <n v="204577.511"/>
  </r>
  <r>
    <s v="SK14"/>
    <d v="2014-09-05T00:00:00"/>
    <x v="221"/>
    <s v="AA"/>
    <n v="23.569700000000001"/>
    <n v="23759.974999999999"/>
    <n v="30671.494999999999"/>
    <n v="561474.36"/>
    <x v="1276"/>
    <n v="303803703.30000001"/>
    <n v="12889587.615"/>
  </r>
  <r>
    <s v="SK14"/>
    <d v="2014-09-05T00:00:00"/>
    <x v="221"/>
    <s v="AB"/>
    <n v="18.670000000000002"/>
    <n v="0"/>
    <n v="12634.022000000001"/>
    <n v="0"/>
    <x v="1277"/>
    <n v="8112270.1799999997"/>
    <n v="434507.75400000002"/>
  </r>
  <r>
    <s v="SK14"/>
    <d v="2014-09-05T00:00:00"/>
    <x v="221"/>
    <s v="AC"/>
    <n v="19.399799999999999"/>
    <n v="0"/>
    <n v="43921.947"/>
    <n v="0"/>
    <x v="1278"/>
    <n v="35578775.469999999"/>
    <n v="1833975.662"/>
  </r>
  <r>
    <s v="SK14"/>
    <d v="2014-09-05T00:00:00"/>
    <x v="221"/>
    <s v="AI"/>
    <n v="18.2043"/>
    <n v="0"/>
    <n v="83397"/>
    <n v="0"/>
    <x v="1279"/>
    <n v="11191290.24"/>
    <n v="614761.16700000002"/>
  </r>
  <r>
    <s v="SK14"/>
    <d v="2014-09-05T00:00:00"/>
    <x v="221"/>
    <s v="AUI"/>
    <n v="11.488099999999999"/>
    <n v="4429.0309999999999"/>
    <n v="1077"/>
    <n v="51013.58"/>
    <x v="1280"/>
    <n v="18910944.449999999"/>
    <n v="1646137.844"/>
  </r>
  <r>
    <s v="SK14"/>
    <d v="2014-09-05T00:00:00"/>
    <x v="221"/>
    <s v="BUI"/>
    <n v="11.1523"/>
    <n v="0"/>
    <n v="2925.415"/>
    <n v="0"/>
    <x v="1281"/>
    <n v="1755159.06"/>
    <n v="157381.361"/>
  </r>
  <r>
    <s v="SK14"/>
    <d v="2014-09-05T00:00:00"/>
    <x v="221"/>
    <s v="RGI"/>
    <n v="17.803899999999999"/>
    <n v="4199.5029999999997"/>
    <n v="0"/>
    <n v="74961.03"/>
    <x v="1"/>
    <n v="72740132.260000005"/>
    <n v="4085621.5550000002"/>
  </r>
  <r>
    <s v="SK14"/>
    <d v="2014-09-05T00:00:00"/>
    <x v="221"/>
    <s v="U2A"/>
    <n v="17.750499999999999"/>
    <n v="3524.3649999999998"/>
    <n v="124.25700000000001"/>
    <n v="62720.34"/>
    <x v="1282"/>
    <n v="5860235.8899999997"/>
    <n v="330145.70600000001"/>
  </r>
  <r>
    <s v="SK14"/>
    <d v="2014-09-08T00:00:00"/>
    <x v="222"/>
    <s v="A3"/>
    <n v="19.1434"/>
    <n v="362621.29399999999"/>
    <n v="0"/>
    <n v="6912062.6200000001"/>
    <x v="1"/>
    <n v="10858102.369999999"/>
    <n v="567198.80500000005"/>
  </r>
  <r>
    <s v="SK14"/>
    <d v="2014-09-08T00:00:00"/>
    <x v="222"/>
    <s v="AA"/>
    <n v="23.671099999999999"/>
    <n v="6255.6480000000001"/>
    <n v="2980.7979999999998"/>
    <n v="147443.78"/>
    <x v="1283"/>
    <n v="305187849.22000003"/>
    <n v="12892862.465"/>
  </r>
  <r>
    <s v="SK14"/>
    <d v="2014-09-08T00:00:00"/>
    <x v="222"/>
    <s v="AB"/>
    <n v="18.748000000000001"/>
    <n v="0"/>
    <n v="1722.2080000000001"/>
    <n v="0"/>
    <x v="1284"/>
    <n v="8113872.0700000003"/>
    <n v="432785.54599999997"/>
  </r>
  <r>
    <s v="SK14"/>
    <d v="2014-09-08T00:00:00"/>
    <x v="222"/>
    <s v="AC"/>
    <n v="19.480899999999998"/>
    <n v="0"/>
    <n v="829.93700000000001"/>
    <n v="0"/>
    <x v="1285"/>
    <n v="35711241.600000001"/>
    <n v="1833145.7250000001"/>
  </r>
  <r>
    <s v="SK14"/>
    <d v="2014-09-08T00:00:00"/>
    <x v="222"/>
    <s v="AI"/>
    <n v="18.2837"/>
    <n v="70607"/>
    <n v="0"/>
    <n v="1285351.01"/>
    <x v="1"/>
    <n v="12531071.039999999"/>
    <n v="685368.16700000002"/>
  </r>
  <r>
    <s v="SK14"/>
    <d v="2014-09-08T00:00:00"/>
    <x v="222"/>
    <s v="AUI"/>
    <n v="11.5375"/>
    <n v="350"/>
    <n v="14.377000000000001"/>
    <n v="4020.84"/>
    <x v="1286"/>
    <n v="18996150.620000001"/>
    <n v="1646473.4669999999"/>
  </r>
  <r>
    <s v="SK14"/>
    <d v="2014-09-08T00:00:00"/>
    <x v="222"/>
    <s v="RGI"/>
    <n v="17.881599999999999"/>
    <n v="4586.93"/>
    <n v="2240"/>
    <n v="81665"/>
    <x v="1287"/>
    <n v="73099430.319999993"/>
    <n v="4087968.4849999999"/>
  </r>
  <r>
    <s v="SK14"/>
    <d v="2014-09-08T00:00:00"/>
    <x v="222"/>
    <s v="S4"/>
    <n v="19.2745"/>
    <n v="0"/>
    <n v="5.633"/>
    <n v="0"/>
    <x v="1288"/>
    <n v="1116549.17"/>
    <n v="57928.798000000003"/>
  </r>
  <r>
    <s v="SK14"/>
    <d v="2014-09-08T00:00:00"/>
    <x v="222"/>
    <s v="U2A"/>
    <n v="17.828099999999999"/>
    <n v="3567.1149999999998"/>
    <n v="250.47300000000001"/>
    <n v="63318.080000000002"/>
    <x v="1289"/>
    <n v="5945003.2400000002"/>
    <n v="333462.348"/>
  </r>
  <r>
    <s v="SK14"/>
    <d v="2014-09-09T00:00:00"/>
    <x v="223"/>
    <s v="AA"/>
    <n v="23.574400000000001"/>
    <n v="14677.181"/>
    <n v="1873.829"/>
    <n v="347425"/>
    <x v="1290"/>
    <n v="304243188.83999997"/>
    <n v="12905665.817"/>
  </r>
  <r>
    <s v="SK14"/>
    <d v="2014-09-09T00:00:00"/>
    <x v="223"/>
    <s v="AC"/>
    <n v="19.400500000000001"/>
    <n v="173.887"/>
    <n v="161.57400000000001"/>
    <n v="3387.47"/>
    <x v="1291"/>
    <n v="35564155.909999996"/>
    <n v="1833158.0379999999"/>
  </r>
  <r>
    <s v="SK14"/>
    <d v="2014-09-09T00:00:00"/>
    <x v="223"/>
    <s v="AI"/>
    <n v="18.209399999999999"/>
    <n v="66370"/>
    <n v="0"/>
    <n v="1213489.17"/>
    <x v="1"/>
    <n v="13688705.15"/>
    <n v="751738.16700000002"/>
  </r>
  <r>
    <s v="SK14"/>
    <d v="2014-09-09T00:00:00"/>
    <x v="223"/>
    <s v="RGI"/>
    <n v="17.808900000000001"/>
    <n v="2112.931"/>
    <n v="3830"/>
    <n v="37782.53"/>
    <x v="1292"/>
    <n v="72771790.079999998"/>
    <n v="4086251.4160000002"/>
  </r>
  <r>
    <s v="SK14"/>
    <d v="2014-09-09T00:00:00"/>
    <x v="223"/>
    <s v="U2A"/>
    <n v="17.755700000000001"/>
    <n v="2887.6179999999999"/>
    <n v="0"/>
    <n v="51480.59"/>
    <x v="1"/>
    <n v="5972139.9800000004"/>
    <n v="336349.96600000001"/>
  </r>
  <r>
    <s v="SK14"/>
    <d v="2014-09-10T00:00:00"/>
    <x v="224"/>
    <s v="AA"/>
    <n v="23.493200000000002"/>
    <n v="193751.70600000001"/>
    <n v="206496.98300000001"/>
    <n v="4567580.1900000004"/>
    <x v="1293"/>
    <n v="302895603.48000002"/>
    <n v="12892920.539999999"/>
  </r>
  <r>
    <s v="SK14"/>
    <d v="2014-09-10T00:00:00"/>
    <x v="224"/>
    <s v="AB"/>
    <n v="18.605599999999999"/>
    <n v="448.92200000000003"/>
    <n v="0"/>
    <n v="8381.68"/>
    <x v="1"/>
    <n v="8060581.1299999999"/>
    <n v="433234.46799999999"/>
  </r>
  <r>
    <s v="SK14"/>
    <d v="2014-09-10T00:00:00"/>
    <x v="224"/>
    <s v="AC"/>
    <n v="19.332899999999999"/>
    <n v="8048.165"/>
    <n v="4521.7950000000001"/>
    <n v="156138.39000000001"/>
    <x v="1294"/>
    <n v="35508345.939999998"/>
    <n v="1836684.4080000001"/>
  </r>
  <r>
    <s v="SK14"/>
    <d v="2014-09-10T00:00:00"/>
    <x v="224"/>
    <s v="AUI"/>
    <n v="11.450799999999999"/>
    <n v="206.07900000000001"/>
    <n v="0"/>
    <n v="2367.9299999999998"/>
    <x v="1"/>
    <n v="18855746.629999999"/>
    <n v="1646679.5460000001"/>
  </r>
  <r>
    <s v="SK14"/>
    <d v="2014-09-10T00:00:00"/>
    <x v="224"/>
    <s v="RGI"/>
    <n v="17.747900000000001"/>
    <n v="5028.6880000000001"/>
    <n v="1635.2149999999999"/>
    <n v="89555.1"/>
    <x v="1295"/>
    <n v="72582803.769999996"/>
    <n v="4089644.889"/>
  </r>
  <r>
    <s v="SK14"/>
    <d v="2014-09-10T00:00:00"/>
    <x v="224"/>
    <s v="S4"/>
    <n v="19.130800000000001"/>
    <n v="1.891"/>
    <n v="4.0999999999999996"/>
    <n v="36.31"/>
    <x v="1296"/>
    <n v="1108181.42"/>
    <n v="57926.589"/>
  </r>
  <r>
    <s v="SK14"/>
    <d v="2014-09-10T00:00:00"/>
    <x v="224"/>
    <s v="U2A"/>
    <n v="17.695"/>
    <n v="3038.9879999999998"/>
    <n v="230.94300000000001"/>
    <n v="53959.57"/>
    <x v="1297"/>
    <n v="6001400.9100000001"/>
    <n v="339158.011"/>
  </r>
  <r>
    <s v="SK14"/>
    <d v="2014-09-11T00:00:00"/>
    <x v="225"/>
    <s v="AA"/>
    <n v="23.617899999999999"/>
    <n v="12837.763000000001"/>
    <n v="125265.087"/>
    <n v="301600.14"/>
    <x v="1298"/>
    <n v="301848970.70999998"/>
    <n v="12780493.216"/>
  </r>
  <r>
    <s v="SK14"/>
    <d v="2014-09-11T00:00:00"/>
    <x v="225"/>
    <s v="AC"/>
    <n v="19.434699999999999"/>
    <n v="33.154000000000003"/>
    <n v="40860.561999999998"/>
    <n v="640.96"/>
    <x v="1299"/>
    <n v="34901999.030000001"/>
    <n v="1795857"/>
  </r>
  <r>
    <s v="SK14"/>
    <d v="2014-09-11T00:00:00"/>
    <x v="225"/>
    <s v="AGH"/>
    <n v="18.127099999999999"/>
    <n v="0"/>
    <n v="5243"/>
    <n v="0"/>
    <x v="1300"/>
    <n v="6630125.2000000002"/>
    <n v="365757.125"/>
  </r>
  <r>
    <s v="SK14"/>
    <d v="2014-09-11T00:00:00"/>
    <x v="225"/>
    <s v="AI"/>
    <n v="18.2438"/>
    <n v="119016"/>
    <n v="0"/>
    <n v="2159783.35"/>
    <x v="1"/>
    <n v="15885857.130000001"/>
    <n v="870754.16700000002"/>
  </r>
  <r>
    <s v="SK14"/>
    <d v="2014-09-11T00:00:00"/>
    <x v="225"/>
    <s v="RGI"/>
    <n v="17.842600000000001"/>
    <n v="2485.4569999999999"/>
    <n v="290"/>
    <n v="44111.61"/>
    <x v="1301"/>
    <n v="73008953.530000001"/>
    <n v="4091840.3459999999"/>
  </r>
  <r>
    <s v="SK14"/>
    <d v="2014-09-11T00:00:00"/>
    <x v="225"/>
    <s v="S4"/>
    <n v="19.233000000000001"/>
    <n v="12.129"/>
    <n v="0"/>
    <n v="232.05"/>
    <x v="1"/>
    <n v="1114333.1000000001"/>
    <n v="57938.718000000001"/>
  </r>
  <r>
    <s v="SK14"/>
    <d v="2014-09-11T00:00:00"/>
    <x v="225"/>
    <s v="U2A"/>
    <n v="17.789400000000001"/>
    <n v="2393.328"/>
    <n v="258.62700000000001"/>
    <n v="42349.93"/>
    <x v="1302"/>
    <n v="6071397.3099999996"/>
    <n v="341292.712"/>
  </r>
  <r>
    <s v="SK14"/>
    <d v="2014-09-12T00:00:00"/>
    <x v="226"/>
    <s v="AA"/>
    <n v="23.6419"/>
    <n v="16387.966"/>
    <n v="599543.93299999996"/>
    <n v="387049.36"/>
    <x v="1303"/>
    <n v="288368161.19999999"/>
    <n v="12197337.249"/>
  </r>
  <r>
    <s v="SK14"/>
    <d v="2014-09-12T00:00:00"/>
    <x v="226"/>
    <s v="AC"/>
    <n v="19.453600000000002"/>
    <n v="10.183999999999999"/>
    <n v="38913.482000000004"/>
    <n v="197.93"/>
    <x v="1304"/>
    <n v="34179145.890000001"/>
    <n v="1756953.702"/>
  </r>
  <r>
    <s v="SK14"/>
    <d v="2014-09-12T00:00:00"/>
    <x v="226"/>
    <s v="AGH"/>
    <n v="18.165199999999999"/>
    <n v="0"/>
    <n v="88500"/>
    <n v="0"/>
    <x v="1305"/>
    <n v="5036431.4400000004"/>
    <n v="277257.125"/>
  </r>
  <r>
    <s v="SK14"/>
    <d v="2014-09-12T00:00:00"/>
    <x v="226"/>
    <s v="AI"/>
    <n v="18.262699999999999"/>
    <n v="141569"/>
    <n v="0"/>
    <n v="2582756.52"/>
    <x v="1"/>
    <n v="18487720.34"/>
    <n v="1012323.167"/>
  </r>
  <r>
    <s v="SK14"/>
    <d v="2014-09-12T00:00:00"/>
    <x v="226"/>
    <s v="RGI"/>
    <n v="17.861000000000001"/>
    <n v="9432.3279999999995"/>
    <n v="1368.8820000000001"/>
    <n v="168297.19"/>
    <x v="1306"/>
    <n v="73228506.579999998"/>
    <n v="4099903.7919999999"/>
  </r>
  <r>
    <s v="SK14"/>
    <d v="2014-09-12T00:00:00"/>
    <x v="226"/>
    <s v="U2A"/>
    <n v="17.8079"/>
    <n v="2880.585"/>
    <n v="18.890999999999998"/>
    <n v="51244.09"/>
    <x v="1307"/>
    <n v="6128664.3099999996"/>
    <n v="344154.40600000002"/>
  </r>
  <r>
    <s v="SK14"/>
    <d v="2014-09-15T00:00:00"/>
    <x v="227"/>
    <s v="AA"/>
    <n v="23.571000000000002"/>
    <n v="4486.3469999999998"/>
    <n v="19303.245999999999"/>
    <n v="106065.77"/>
    <x v="1308"/>
    <n v="287154469.88999999"/>
    <n v="12182520.35"/>
  </r>
  <r>
    <s v="SK14"/>
    <d v="2014-09-15T00:00:00"/>
    <x v="227"/>
    <s v="AB"/>
    <n v="18.663399999999999"/>
    <n v="508.77699999999999"/>
    <n v="2300.5070000000001"/>
    <n v="9525.2199999999993"/>
    <x v="1309"/>
    <n v="8052189.1200000001"/>
    <n v="431442.73800000001"/>
  </r>
  <r>
    <s v="SK14"/>
    <d v="2014-09-15T00:00:00"/>
    <x v="227"/>
    <s v="AC"/>
    <n v="19.392900000000001"/>
    <n v="1244.242"/>
    <n v="45642.027999999998"/>
    <n v="24204.98"/>
    <x v="1310"/>
    <n v="33211471.940000001"/>
    <n v="1712555.916"/>
  </r>
  <r>
    <s v="SK14"/>
    <d v="2014-09-15T00:00:00"/>
    <x v="227"/>
    <s v="AI"/>
    <n v="18.209"/>
    <n v="0"/>
    <n v="108666"/>
    <n v="0"/>
    <x v="1311"/>
    <n v="16454731.470000001"/>
    <n v="903657.16700000002"/>
  </r>
  <r>
    <s v="SK14"/>
    <d v="2014-09-15T00:00:00"/>
    <x v="227"/>
    <s v="AUI"/>
    <n v="11.4887"/>
    <n v="0"/>
    <n v="117833"/>
    <n v="0"/>
    <x v="1312"/>
    <n v="17564474.02"/>
    <n v="1528846.5460000001"/>
  </r>
  <r>
    <s v="SK14"/>
    <d v="2014-09-15T00:00:00"/>
    <x v="227"/>
    <s v="RGI"/>
    <n v="17.808599999999998"/>
    <n v="4065"/>
    <n v="0"/>
    <n v="72604.89"/>
    <x v="1"/>
    <n v="73085895.140000001"/>
    <n v="4103968.7919999999"/>
  </r>
  <r>
    <s v="SK14"/>
    <d v="2014-09-15T00:00:00"/>
    <x v="227"/>
    <s v="S4"/>
    <n v="19.196999999999999"/>
    <n v="0"/>
    <n v="3.9289999999999998"/>
    <n v="0"/>
    <x v="1313"/>
    <n v="1112175.6100000001"/>
    <n v="57934.788999999997"/>
  </r>
  <r>
    <s v="SK14"/>
    <d v="2014-09-15T00:00:00"/>
    <x v="227"/>
    <s v="U2A"/>
    <n v="17.755800000000001"/>
    <n v="2790.78"/>
    <n v="175.11099999999999"/>
    <n v="49697.86"/>
    <x v="1314"/>
    <n v="6157189.0800000001"/>
    <n v="346770.07500000001"/>
  </r>
  <r>
    <s v="SK14"/>
    <d v="2014-09-16T00:00:00"/>
    <x v="228"/>
    <s v="AA"/>
    <n v="23.623699999999999"/>
    <n v="4556.6390000000001"/>
    <n v="23918.746999999999"/>
    <n v="107404.54"/>
    <x v="1315"/>
    <n v="287338338.38999999"/>
    <n v="12163158.242000001"/>
  </r>
  <r>
    <s v="SK14"/>
    <d v="2014-09-16T00:00:00"/>
    <x v="228"/>
    <s v="AB"/>
    <n v="18.7043"/>
    <n v="0"/>
    <n v="4820.7110000000002"/>
    <n v="0"/>
    <x v="1316"/>
    <n v="7979672.21"/>
    <n v="426622.027"/>
  </r>
  <r>
    <s v="SK14"/>
    <d v="2014-09-16T00:00:00"/>
    <x v="228"/>
    <s v="AC"/>
    <n v="19.435400000000001"/>
    <n v="39.475000000000001"/>
    <n v="12271.138999999999"/>
    <n v="765.54"/>
    <x v="1317"/>
    <n v="33046547.379999999"/>
    <n v="1700324.2520000001"/>
  </r>
  <r>
    <s v="SK14"/>
    <d v="2014-09-16T00:00:00"/>
    <x v="228"/>
    <s v="AI"/>
    <n v="18.2501"/>
    <n v="0"/>
    <n v="160030"/>
    <n v="0"/>
    <x v="1318"/>
    <n v="13571262.560000001"/>
    <n v="743627.16700000002"/>
  </r>
  <r>
    <s v="SK14"/>
    <d v="2014-09-16T00:00:00"/>
    <x v="228"/>
    <s v="AUI"/>
    <n v="11.5144"/>
    <n v="5883.6859999999997"/>
    <n v="123423.31200000001"/>
    <n v="67595.91"/>
    <x v="1319"/>
    <n v="16250305.779999999"/>
    <n v="1411306.92"/>
  </r>
  <r>
    <s v="SK14"/>
    <d v="2014-09-16T00:00:00"/>
    <x v="228"/>
    <s v="BUI"/>
    <n v="11.172800000000001"/>
    <n v="0"/>
    <n v="1495.6949999999999"/>
    <n v="0"/>
    <x v="1320"/>
    <n v="1741671.63"/>
    <n v="155885.666"/>
  </r>
  <r>
    <s v="SK14"/>
    <d v="2014-09-16T00:00:00"/>
    <x v="228"/>
    <s v="RGI"/>
    <n v="17.848700000000001"/>
    <n v="5350.6719999999996"/>
    <n v="0"/>
    <n v="95287.66"/>
    <x v="1"/>
    <n v="73346114.390000001"/>
    <n v="4109319.4640000002"/>
  </r>
  <r>
    <s v="SK14"/>
    <d v="2014-09-16T00:00:00"/>
    <x v="228"/>
    <s v="S4"/>
    <n v="19.240400000000001"/>
    <n v="6683.8"/>
    <n v="0"/>
    <n v="128308.39"/>
    <x v="1"/>
    <n v="1243288.98"/>
    <n v="64618.589"/>
  </r>
  <r>
    <s v="SK14"/>
    <d v="2014-09-16T00:00:00"/>
    <x v="228"/>
    <s v="U2A"/>
    <n v="17.7959"/>
    <n v="5014.5050000000001"/>
    <n v="0"/>
    <n v="89036.25"/>
    <x v="1"/>
    <n v="6260328.4000000004"/>
    <n v="351784.58"/>
  </r>
  <r>
    <s v="SK14"/>
    <d v="2014-09-17T00:00:00"/>
    <x v="229"/>
    <s v="AA"/>
    <n v="23.783300000000001"/>
    <n v="11340.002"/>
    <n v="41493.724999999999"/>
    <n v="267892.84000000003"/>
    <x v="1321"/>
    <n v="288563058"/>
    <n v="12133004.518999999"/>
  </r>
  <r>
    <s v="SK14"/>
    <d v="2014-09-17T00:00:00"/>
    <x v="229"/>
    <s v="AC"/>
    <n v="19.565999999999999"/>
    <n v="0"/>
    <n v="552.58799999999997"/>
    <n v="0"/>
    <x v="1322"/>
    <n v="33257711"/>
    <n v="1699771.6640000001"/>
  </r>
  <r>
    <s v="SK14"/>
    <d v="2014-09-17T00:00:00"/>
    <x v="229"/>
    <s v="AI"/>
    <n v="18.373799999999999"/>
    <n v="0"/>
    <n v="23536"/>
    <n v="0"/>
    <x v="1323"/>
    <n v="13230812.050000001"/>
    <n v="720091.16700000002"/>
  </r>
  <r>
    <s v="SK14"/>
    <d v="2014-09-17T00:00:00"/>
    <x v="229"/>
    <s v="AUI"/>
    <n v="11.5922"/>
    <n v="25.891999999999999"/>
    <n v="1769.875"/>
    <n v="298.13"/>
    <x v="1324"/>
    <n v="16339911.16"/>
    <n v="1409562.9369999999"/>
  </r>
  <r>
    <s v="SK14"/>
    <d v="2014-09-17T00:00:00"/>
    <x v="229"/>
    <s v="BUI"/>
    <n v="11.2478"/>
    <n v="0"/>
    <n v="4706.9449999999997"/>
    <n v="0"/>
    <x v="1325"/>
    <n v="1700427.52"/>
    <n v="151178.72099999999"/>
  </r>
  <r>
    <s v="SK14"/>
    <d v="2014-09-17T00:00:00"/>
    <x v="229"/>
    <s v="RGI"/>
    <n v="17.9697"/>
    <n v="10657.744000000001"/>
    <n v="0"/>
    <n v="190226.58"/>
    <x v="1"/>
    <n v="74034821.760000005"/>
    <n v="4119977.2080000001"/>
  </r>
  <r>
    <s v="SK14"/>
    <d v="2014-09-17T00:00:00"/>
    <x v="229"/>
    <s v="U2A"/>
    <n v="17.916599999999999"/>
    <n v="6771.7179999999998"/>
    <n v="277.60399999999998"/>
    <n v="120508.7"/>
    <x v="1326"/>
    <n v="6419143.3899999997"/>
    <n v="358278.69400000002"/>
  </r>
  <r>
    <s v="SK14"/>
    <d v="2014-09-18T00:00:00"/>
    <x v="230"/>
    <s v="A3"/>
    <n v="19.3001"/>
    <n v="0"/>
    <n v="336.80900000000003"/>
    <n v="0"/>
    <x v="1327"/>
    <n v="10940514.24"/>
    <n v="566861.99600000004"/>
  </r>
  <r>
    <s v="SK14"/>
    <d v="2014-09-18T00:00:00"/>
    <x v="230"/>
    <s v="AA"/>
    <n v="23.864899999999999"/>
    <n v="1265.5940000000001"/>
    <n v="3924.1529999999998"/>
    <n v="30100"/>
    <x v="1328"/>
    <n v="289489543.26999998"/>
    <n v="12130345.960000001"/>
  </r>
  <r>
    <s v="SK14"/>
    <d v="2014-09-18T00:00:00"/>
    <x v="230"/>
    <s v="AB"/>
    <n v="18.893799999999999"/>
    <n v="764.57399999999996"/>
    <n v="1802.336"/>
    <n v="14396.93"/>
    <x v="1329"/>
    <n v="8040893.2699999996"/>
    <n v="425584.26500000001"/>
  </r>
  <r>
    <s v="SK14"/>
    <d v="2014-09-18T00:00:00"/>
    <x v="230"/>
    <s v="AC"/>
    <n v="19.632300000000001"/>
    <n v="45191.275000000001"/>
    <n v="4778.0079999999998"/>
    <n v="884212.4"/>
    <x v="1330"/>
    <n v="34163842.719999999"/>
    <n v="1740184.9310000001"/>
  </r>
  <r>
    <s v="SK14"/>
    <d v="2014-09-18T00:00:00"/>
    <x v="230"/>
    <s v="AI"/>
    <n v="18.437200000000001"/>
    <n v="5442.5320000000002"/>
    <n v="0"/>
    <n v="100000"/>
    <x v="1"/>
    <n v="13376818.07"/>
    <n v="725533.69900000002"/>
  </r>
  <r>
    <s v="SK14"/>
    <d v="2014-09-18T00:00:00"/>
    <x v="230"/>
    <s v="IUI"/>
    <n v="10.0345"/>
    <n v="5062.5"/>
    <n v="0"/>
    <n v="50625"/>
    <x v="1"/>
    <n v="50799.72"/>
    <n v="5062.5"/>
  </r>
  <r>
    <s v="SK14"/>
    <d v="2014-09-18T00:00:00"/>
    <x v="230"/>
    <s v="RGI"/>
    <n v="18.031700000000001"/>
    <n v="10611.716"/>
    <n v="453.73700000000002"/>
    <n v="190688.95"/>
    <x v="1331"/>
    <n v="74473488.989999995"/>
    <n v="4130135.1869999999"/>
  </r>
  <r>
    <s v="SK14"/>
    <d v="2014-09-18T00:00:00"/>
    <x v="230"/>
    <s v="U2A"/>
    <n v="17.9785"/>
    <n v="2784.7020000000002"/>
    <n v="99.125"/>
    <n v="49892.57"/>
    <x v="1332"/>
    <n v="6489605.75"/>
    <n v="360964.27100000001"/>
  </r>
  <r>
    <s v="SK14"/>
    <d v="2014-09-19T00:00:00"/>
    <x v="231"/>
    <s v="AA"/>
    <n v="24.050699999999999"/>
    <n v="21780.218000000001"/>
    <n v="8114.1559999999999"/>
    <n v="519782.73"/>
    <x v="1333"/>
    <n v="292071999.19999999"/>
    <n v="12144012.022"/>
  </r>
  <r>
    <s v="SK14"/>
    <d v="2014-09-19T00:00:00"/>
    <x v="231"/>
    <s v="AB"/>
    <n v="19.040099999999999"/>
    <n v="3996.799"/>
    <n v="0"/>
    <n v="75514.720000000001"/>
    <x v="1"/>
    <n v="8179263.5099999998"/>
    <n v="429581.06400000001"/>
  </r>
  <r>
    <s v="SK14"/>
    <d v="2014-09-19T00:00:00"/>
    <x v="231"/>
    <s v="AC"/>
    <n v="19.784300000000002"/>
    <n v="36707.735999999997"/>
    <n v="10607.454"/>
    <n v="720657.16"/>
    <x v="1334"/>
    <n v="34944792.899999999"/>
    <n v="1766285.213"/>
  </r>
  <r>
    <s v="SK14"/>
    <d v="2014-09-19T00:00:00"/>
    <x v="231"/>
    <s v="AI"/>
    <n v="18.581099999999999"/>
    <n v="49091"/>
    <n v="0"/>
    <n v="905100.59"/>
    <x v="1"/>
    <n v="14393401.859999999"/>
    <n v="774624.69900000002"/>
  </r>
  <r>
    <s v="SK14"/>
    <d v="2014-09-19T00:00:00"/>
    <x v="231"/>
    <s v="AUI"/>
    <n v="11.7225"/>
    <n v="6104.0410000000002"/>
    <n v="4482.884"/>
    <n v="71002.210000000006"/>
    <x v="1335"/>
    <n v="16542618.609999999"/>
    <n v="1411184.094"/>
  </r>
  <r>
    <s v="SK14"/>
    <d v="2014-09-19T00:00:00"/>
    <x v="231"/>
    <s v="RGI"/>
    <n v="18.172499999999999"/>
    <n v="9078.0339999999997"/>
    <n v="0"/>
    <n v="163692.53"/>
    <x v="1"/>
    <n v="75219791.790000007"/>
    <n v="4139213.2209999999"/>
  </r>
  <r>
    <s v="SK14"/>
    <d v="2014-09-19T00:00:00"/>
    <x v="231"/>
    <s v="S4"/>
    <n v="19.5899"/>
    <n v="0"/>
    <n v="112.98399999999999"/>
    <n v="0"/>
    <x v="1336"/>
    <n v="1263655.3600000001"/>
    <n v="64505.605000000003"/>
  </r>
  <r>
    <s v="SK14"/>
    <d v="2014-09-19T00:00:00"/>
    <x v="231"/>
    <s v="U2A"/>
    <n v="18.1189"/>
    <n v="2333.4279999999999"/>
    <n v="119.44799999999999"/>
    <n v="41951.45"/>
    <x v="1337"/>
    <n v="6580404.4699999997"/>
    <n v="363178.25099999999"/>
  </r>
  <r>
    <s v="SK14"/>
    <d v="2014-09-22T00:00:00"/>
    <x v="232"/>
    <s v="A3"/>
    <n v="19.449000000000002"/>
    <n v="108837.23299999999"/>
    <n v="0"/>
    <n v="2116922.5299999998"/>
    <x v="1"/>
    <n v="13141691.970000001"/>
    <n v="675699.22900000005"/>
  </r>
  <r>
    <s v="SK14"/>
    <d v="2014-09-22T00:00:00"/>
    <x v="232"/>
    <s v="AA"/>
    <n v="24.048999999999999"/>
    <n v="8845.81"/>
    <n v="33280.436999999998"/>
    <n v="212747.92"/>
    <x v="1338"/>
    <n v="291463912.76999998"/>
    <n v="12119577.395"/>
  </r>
  <r>
    <s v="SK14"/>
    <d v="2014-09-22T00:00:00"/>
    <x v="232"/>
    <s v="AB"/>
    <n v="19.0364"/>
    <n v="30826.605"/>
    <n v="1278.9280000000001"/>
    <n v="586941.57999999996"/>
    <x v="1339"/>
    <n v="8740164.0999999996"/>
    <n v="459128.74099999998"/>
  </r>
  <r>
    <s v="SK14"/>
    <d v="2014-09-22T00:00:00"/>
    <x v="232"/>
    <s v="AC"/>
    <n v="19.7805"/>
    <n v="80256.210999999996"/>
    <n v="106.145"/>
    <n v="1587812.97"/>
    <x v="1340"/>
    <n v="36523443.369999997"/>
    <n v="1846435.2790000001"/>
  </r>
  <r>
    <s v="SK14"/>
    <d v="2014-09-22T00:00:00"/>
    <x v="232"/>
    <s v="AGH"/>
    <n v="18.350899999999999"/>
    <n v="53000"/>
    <n v="0"/>
    <n v="974564.09"/>
    <x v="1"/>
    <n v="6060516.8700000001"/>
    <n v="330257.125"/>
  </r>
  <r>
    <s v="SK14"/>
    <d v="2014-09-22T00:00:00"/>
    <x v="232"/>
    <s v="AUI"/>
    <n v="11.7217"/>
    <n v="4336"/>
    <n v="0"/>
    <n v="50828.76"/>
    <x v="1"/>
    <n v="16592285.109999999"/>
    <n v="1415520.094"/>
  </r>
  <r>
    <s v="SK14"/>
    <d v="2014-09-22T00:00:00"/>
    <x v="232"/>
    <s v="RGI"/>
    <n v="18.1723"/>
    <n v="31630.602999999999"/>
    <n v="0"/>
    <n v="574806.04"/>
    <x v="1"/>
    <n v="75793961.200000003"/>
    <n v="4170843.824"/>
  </r>
  <r>
    <s v="SK14"/>
    <d v="2014-09-22T00:00:00"/>
    <x v="232"/>
    <s v="S4"/>
    <n v="19.5901"/>
    <n v="0"/>
    <n v="38.25"/>
    <n v="0"/>
    <x v="1341"/>
    <n v="1262922.25"/>
    <n v="64467.355000000003"/>
  </r>
  <r>
    <s v="SK14"/>
    <d v="2014-09-22T00:00:00"/>
    <x v="232"/>
    <s v="U2A"/>
    <n v="18.119"/>
    <n v="2451.5549999999998"/>
    <n v="30.937000000000001"/>
    <n v="44419.43"/>
    <x v="1342"/>
    <n v="6624289.3700000001"/>
    <n v="365598.86900000001"/>
  </r>
  <r>
    <s v="SK14"/>
    <d v="2014-09-23T00:00:00"/>
    <x v="233"/>
    <s v="A3"/>
    <n v="19.332899999999999"/>
    <n v="11324.037"/>
    <n v="360390.59399999998"/>
    <n v="220241.39"/>
    <x v="1343"/>
    <n v="6314745.4800000004"/>
    <n v="326632.67200000002"/>
  </r>
  <r>
    <s v="SK14"/>
    <d v="2014-09-23T00:00:00"/>
    <x v="233"/>
    <s v="AA"/>
    <n v="23.9054"/>
    <n v="2991.6010000000001"/>
    <n v="97531.524000000005"/>
    <n v="71944.990000000005"/>
    <x v="1344"/>
    <n v="287462980.67000002"/>
    <n v="12025037.471999999"/>
  </r>
  <r>
    <s v="SK14"/>
    <d v="2014-09-23T00:00:00"/>
    <x v="233"/>
    <s v="AB"/>
    <n v="18.921900000000001"/>
    <n v="0"/>
    <n v="35440.286"/>
    <n v="0"/>
    <x v="1345"/>
    <n v="8017001.71"/>
    <n v="423688.45500000002"/>
  </r>
  <r>
    <s v="SK14"/>
    <d v="2014-09-23T00:00:00"/>
    <x v="233"/>
    <s v="AC"/>
    <n v="19.6616"/>
    <n v="10768.106"/>
    <n v="37617.832000000002"/>
    <n v="212998.51"/>
    <x v="1346"/>
    <n v="35775880.030000001"/>
    <n v="1819585.5530000001"/>
  </r>
  <r>
    <s v="SK14"/>
    <d v="2014-09-23T00:00:00"/>
    <x v="233"/>
    <s v="AI"/>
    <n v="18.470400000000001"/>
    <n v="185418"/>
    <n v="0"/>
    <n v="3445251.86"/>
    <x v="1"/>
    <n v="17732349.329999998"/>
    <n v="960042.69900000002"/>
  </r>
  <r>
    <s v="SK14"/>
    <d v="2014-09-23T00:00:00"/>
    <x v="233"/>
    <s v="AUI"/>
    <n v="11.6517"/>
    <n v="76.168000000000006"/>
    <n v="0"/>
    <n v="892.82"/>
    <x v="1"/>
    <n v="16494066.43"/>
    <n v="1415596.2620000001"/>
  </r>
  <r>
    <s v="SK14"/>
    <d v="2014-09-23T00:00:00"/>
    <x v="233"/>
    <s v="RGI"/>
    <n v="18.0642"/>
    <n v="3129.0740000000001"/>
    <n v="0"/>
    <n v="56862.400000000001"/>
    <x v="1"/>
    <n v="75399323.200000003"/>
    <n v="4173972.898"/>
  </r>
  <r>
    <s v="SK14"/>
    <d v="2014-09-23T00:00:00"/>
    <x v="233"/>
    <s v="S4"/>
    <n v="19.473600000000001"/>
    <n v="20.254000000000001"/>
    <n v="0"/>
    <n v="396.76"/>
    <x v="1"/>
    <n v="1255808.1399999999"/>
    <n v="64487.608999999997"/>
  </r>
  <r>
    <s v="SK14"/>
    <d v="2014-09-23T00:00:00"/>
    <x v="233"/>
    <s v="U2A"/>
    <n v="18.011199999999999"/>
    <n v="2598.3960000000002"/>
    <n v="0"/>
    <n v="47080.47"/>
    <x v="1"/>
    <n v="6631686.0700000003"/>
    <n v="368197.26500000001"/>
  </r>
  <r>
    <s v="SK14"/>
    <d v="2014-09-24T00:00:00"/>
    <x v="234"/>
    <s v="A3"/>
    <n v="19.161300000000001"/>
    <n v="0"/>
    <n v="21565.332999999999"/>
    <n v="0"/>
    <x v="1347"/>
    <n v="5845473.54"/>
    <n v="305067.33899999998"/>
  </r>
  <r>
    <s v="SK14"/>
    <d v="2014-09-24T00:00:00"/>
    <x v="234"/>
    <s v="AA"/>
    <n v="23.693200000000001"/>
    <n v="4314.5330000000004"/>
    <n v="47722.347000000002"/>
    <n v="103140.65"/>
    <x v="1348"/>
    <n v="283882906"/>
    <n v="11981629.658"/>
  </r>
  <r>
    <s v="SK14"/>
    <d v="2014-09-24T00:00:00"/>
    <x v="234"/>
    <s v="AC"/>
    <n v="19.4862"/>
    <n v="1298.021"/>
    <n v="11992.254999999999"/>
    <n v="25521.17"/>
    <x v="1349"/>
    <n v="35248462.049999997"/>
    <n v="1808891.3189999999"/>
  </r>
  <r>
    <s v="SK14"/>
    <d v="2014-09-24T00:00:00"/>
    <x v="234"/>
    <s v="AEI"/>
    <n v="13.4535"/>
    <n v="53.420999999999999"/>
    <n v="0"/>
    <n v="725.14"/>
    <x v="1"/>
    <n v="1457.01"/>
    <n v="108.3"/>
  </r>
  <r>
    <s v="SK14"/>
    <d v="2014-09-24T00:00:00"/>
    <x v="234"/>
    <s v="AI"/>
    <n v="18.306799999999999"/>
    <n v="175062"/>
    <n v="0"/>
    <n v="3233465.16"/>
    <x v="1"/>
    <n v="20780146.699999999"/>
    <n v="1135104.699"/>
  </r>
  <r>
    <s v="SK14"/>
    <d v="2014-09-24T00:00:00"/>
    <x v="234"/>
    <s v="AUI"/>
    <n v="11.548299999999999"/>
    <n v="8.5039999999999996"/>
    <n v="885.63"/>
    <n v="99.09"/>
    <x v="1350"/>
    <n v="16337531.039999999"/>
    <n v="1414719.1359999999"/>
  </r>
  <r>
    <s v="SK14"/>
    <d v="2014-09-24T00:00:00"/>
    <x v="234"/>
    <s v="BUI"/>
    <n v="11.2019"/>
    <n v="857.19899999999996"/>
    <n v="0"/>
    <n v="9688.66"/>
    <x v="1"/>
    <n v="1703097.93"/>
    <n v="152035.92000000001"/>
  </r>
  <r>
    <s v="SK14"/>
    <d v="2014-09-24T00:00:00"/>
    <x v="234"/>
    <s v="RGI"/>
    <n v="17.904199999999999"/>
    <n v="33662.173000000003"/>
    <n v="0"/>
    <n v="608080.01"/>
    <x v="1"/>
    <n v="75334301.379999995"/>
    <n v="4207635.0710000005"/>
  </r>
  <r>
    <s v="SK14"/>
    <d v="2014-09-24T00:00:00"/>
    <x v="234"/>
    <s v="S4"/>
    <n v="19.301300000000001"/>
    <n v="833.00400000000002"/>
    <n v="0"/>
    <n v="16221.65"/>
    <x v="1"/>
    <n v="1260773.9099999999"/>
    <n v="65320.612999999998"/>
  </r>
  <r>
    <s v="SK14"/>
    <d v="2014-09-24T00:00:00"/>
    <x v="234"/>
    <s v="U2A"/>
    <n v="17.851800000000001"/>
    <n v="1652.4079999999999"/>
    <n v="40.156999999999996"/>
    <n v="29761.97"/>
    <x v="1351"/>
    <n v="6601766.5"/>
    <n v="369809.516"/>
  </r>
  <r>
    <s v="SK14"/>
    <d v="2014-09-25T00:00:00"/>
    <x v="235"/>
    <s v="AA"/>
    <n v="23.859300000000001"/>
    <n v="3933.585"/>
    <n v="3079.5839999999998"/>
    <n v="93199.24"/>
    <x v="1352"/>
    <n v="285893269.98000002"/>
    <n v="11982483.659"/>
  </r>
  <r>
    <s v="SK14"/>
    <d v="2014-09-25T00:00:00"/>
    <x v="235"/>
    <s v="AC"/>
    <n v="19.622"/>
    <n v="6389.45"/>
    <n v="7269.56"/>
    <n v="124506.12"/>
    <x v="1353"/>
    <n v="35476831.850000001"/>
    <n v="1808011.209"/>
  </r>
  <r>
    <s v="SK14"/>
    <d v="2014-09-25T00:00:00"/>
    <x v="235"/>
    <s v="AI"/>
    <n v="18.435500000000001"/>
    <n v="0"/>
    <n v="27924"/>
    <n v="0"/>
    <x v="1354"/>
    <n v="20411447.210000001"/>
    <n v="1107180.699"/>
  </r>
  <r>
    <s v="SK14"/>
    <d v="2014-09-25T00:00:00"/>
    <x v="235"/>
    <s v="AUI"/>
    <n v="11.629200000000001"/>
    <n v="143.06299999999999"/>
    <n v="1159.9369999999999"/>
    <n v="1652.13"/>
    <x v="1355"/>
    <n v="16440229.85"/>
    <n v="1413702.2620000001"/>
  </r>
  <r>
    <s v="SK14"/>
    <d v="2014-09-25T00:00:00"/>
    <x v="235"/>
    <s v="RGI"/>
    <n v="18.030100000000001"/>
    <n v="18605.012999999999"/>
    <n v="1913.579"/>
    <n v="333107.8"/>
    <x v="1356"/>
    <n v="76164882.280000001"/>
    <n v="4224326.5049999999"/>
  </r>
  <r>
    <s v="SK14"/>
    <d v="2014-09-25T00:00:00"/>
    <x v="235"/>
    <s v="U2A"/>
    <n v="17.977399999999999"/>
    <n v="3534.3240000000001"/>
    <n v="380.14"/>
    <n v="63094.239999999998"/>
    <x v="1357"/>
    <n v="6704911.0700000003"/>
    <n v="372963.7"/>
  </r>
  <r>
    <s v="SK14"/>
    <d v="2014-09-26T00:00:00"/>
    <x v="236"/>
    <s v="A3"/>
    <n v="19.008500000000002"/>
    <n v="329.7"/>
    <n v="0"/>
    <n v="6361.75"/>
    <x v="1"/>
    <n v="5805139.1699999999"/>
    <n v="305397.03899999999"/>
  </r>
  <r>
    <s v="SK14"/>
    <d v="2014-09-26T00:00:00"/>
    <x v="236"/>
    <s v="AA"/>
    <n v="23.504300000000001"/>
    <n v="37103.072999999997"/>
    <n v="5355.8119999999999"/>
    <n v="885253.38"/>
    <x v="1358"/>
    <n v="282385997.45999998"/>
    <n v="12014230.92"/>
  </r>
  <r>
    <s v="SK14"/>
    <d v="2014-09-26T00:00:00"/>
    <x v="236"/>
    <s v="AB"/>
    <n v="18.6022"/>
    <n v="0"/>
    <n v="665.55100000000004"/>
    <n v="0"/>
    <x v="1359"/>
    <n v="7869136.4299999997"/>
    <n v="423022.90399999998"/>
  </r>
  <r>
    <s v="SK14"/>
    <d v="2014-09-26T00:00:00"/>
    <x v="236"/>
    <s v="AC"/>
    <n v="19.3293"/>
    <n v="771.23900000000003"/>
    <n v="5655.9549999999999"/>
    <n v="15133.25"/>
    <x v="1360"/>
    <n v="34853137.789999999"/>
    <n v="1803126.493"/>
  </r>
  <r>
    <s v="SK14"/>
    <d v="2014-09-26T00:00:00"/>
    <x v="236"/>
    <s v="AGH"/>
    <n v="17.798200000000001"/>
    <n v="0"/>
    <n v="2130.9050000000002"/>
    <n v="0"/>
    <x v="1361"/>
    <n v="5840070.8700000001"/>
    <n v="328126.21999999997"/>
  </r>
  <r>
    <s v="SK14"/>
    <d v="2014-09-26T00:00:00"/>
    <x v="236"/>
    <s v="AI"/>
    <n v="18.1616"/>
    <n v="0"/>
    <n v="93691"/>
    <n v="0"/>
    <x v="1362"/>
    <n v="18406610.289999999"/>
    <n v="1013489.699"/>
  </r>
  <r>
    <s v="SK14"/>
    <d v="2014-09-26T00:00:00"/>
    <x v="236"/>
    <s v="AUI"/>
    <n v="11.456200000000001"/>
    <n v="0"/>
    <n v="2904.6370000000002"/>
    <n v="0"/>
    <x v="1363"/>
    <n v="16162358.9"/>
    <n v="1410797.625"/>
  </r>
  <r>
    <s v="SK14"/>
    <d v="2014-09-26T00:00:00"/>
    <x v="236"/>
    <s v="RGI"/>
    <n v="17.7622"/>
    <n v="10435.298000000001"/>
    <n v="0"/>
    <n v="188149.91"/>
    <x v="1"/>
    <n v="75218633.900000006"/>
    <n v="4234761.8030000003"/>
  </r>
  <r>
    <s v="SK14"/>
    <d v="2014-09-26T00:00:00"/>
    <x v="236"/>
    <s v="U2A"/>
    <n v="17.7104"/>
    <n v="3979.17"/>
    <n v="56.750999999999998"/>
    <n v="71535.44"/>
    <x v="1364"/>
    <n v="6674789.7300000004"/>
    <n v="376886.11900000001"/>
  </r>
  <r>
    <s v="SK14"/>
    <d v="2014-09-29T00:00:00"/>
    <x v="237"/>
    <s v="AA"/>
    <n v="23.640799999999999"/>
    <n v="7981.3940000000002"/>
    <n v="12078.558999999999"/>
    <n v="187597.1"/>
    <x v="1365"/>
    <n v="283929540"/>
    <n v="12010133.755000001"/>
  </r>
  <r>
    <s v="SK14"/>
    <d v="2014-09-29T00:00:00"/>
    <x v="237"/>
    <s v="AB"/>
    <n v="18.707899999999999"/>
    <n v="0"/>
    <n v="765.22799999999995"/>
    <n v="0"/>
    <x v="1366"/>
    <n v="7899562.8700000001"/>
    <n v="422257.67599999998"/>
  </r>
  <r>
    <s v="SK14"/>
    <d v="2014-09-29T00:00:00"/>
    <x v="237"/>
    <s v="AC"/>
    <n v="19.4392"/>
    <n v="9527.893"/>
    <n v="18696.066999999999"/>
    <n v="184167.48"/>
    <x v="1367"/>
    <n v="34873083.509999998"/>
    <n v="1793958.3189999999"/>
  </r>
  <r>
    <s v="SK14"/>
    <d v="2014-09-29T00:00:00"/>
    <x v="237"/>
    <s v="AEI"/>
    <n v="13.4238"/>
    <n v="0"/>
    <n v="83.272000000000006"/>
    <n v="0"/>
    <x v="1368"/>
    <n v="335.97"/>
    <n v="25.027999999999999"/>
  </r>
  <r>
    <s v="SK14"/>
    <d v="2014-09-29T00:00:00"/>
    <x v="237"/>
    <s v="AI"/>
    <n v="18.2682"/>
    <n v="0"/>
    <n v="283116"/>
    <n v="0"/>
    <x v="1369"/>
    <n v="13342644.550000001"/>
    <n v="730373.69900000002"/>
  </r>
  <r>
    <s v="SK14"/>
    <d v="2014-09-29T00:00:00"/>
    <x v="237"/>
    <s v="AUI"/>
    <n v="11.5227"/>
    <n v="3080.3760000000002"/>
    <n v="1446.442"/>
    <n v="35289.39"/>
    <x v="1370"/>
    <n v="16275074.73"/>
    <n v="1412431.5589999999"/>
  </r>
  <r>
    <s v="SK14"/>
    <d v="2014-09-29T00:00:00"/>
    <x v="237"/>
    <s v="RGI"/>
    <n v="17.866499999999998"/>
    <n v="4380.4989999999998"/>
    <n v="662.99800000000005"/>
    <n v="77807.08"/>
    <x v="1371"/>
    <n v="75726640.25"/>
    <n v="4238479.3039999995"/>
  </r>
  <r>
    <s v="SK14"/>
    <d v="2014-09-29T00:00:00"/>
    <x v="237"/>
    <s v="U2A"/>
    <n v="17.814599999999999"/>
    <n v="1918.2639999999999"/>
    <n v="44.709000000000003"/>
    <n v="33973.26"/>
    <x v="1372"/>
    <n v="6747434.5199999996"/>
    <n v="378759.674"/>
  </r>
  <r>
    <s v="SK14"/>
    <d v="2014-09-30T00:00:00"/>
    <x v="238"/>
    <s v="AA"/>
    <n v="23.563199999999998"/>
    <n v="44463.957000000002"/>
    <n v="84600.107999999993"/>
    <n v="1051163.58"/>
    <x v="1373"/>
    <n v="282050883.39999998"/>
    <n v="11969997.604"/>
  </r>
  <r>
    <s v="SK14"/>
    <d v="2014-09-30T00:00:00"/>
    <x v="238"/>
    <s v="AC"/>
    <n v="19.374500000000001"/>
    <n v="6532.2150000000001"/>
    <n v="64703.290999999997"/>
    <n v="126981.03"/>
    <x v="1374"/>
    <n v="33630028.710000001"/>
    <n v="1735787.243"/>
  </r>
  <r>
    <s v="SK14"/>
    <d v="2014-09-30T00:00:00"/>
    <x v="238"/>
    <s v="AGH"/>
    <n v="17.6325"/>
    <n v="0"/>
    <n v="53000"/>
    <n v="0"/>
    <x v="1375"/>
    <n v="4851155.37"/>
    <n v="275126.21999999997"/>
  </r>
  <r>
    <s v="SK14"/>
    <d v="2014-09-30T00:00:00"/>
    <x v="238"/>
    <s v="AUI"/>
    <n v="11.4849"/>
    <n v="795635.58600000001"/>
    <n v="0"/>
    <n v="9167870.1600000001"/>
    <x v="1"/>
    <n v="25359345.550000001"/>
    <n v="2208067.145"/>
  </r>
  <r>
    <s v="SK14"/>
    <d v="2014-09-30T00:00:00"/>
    <x v="238"/>
    <s v="RGI"/>
    <n v="17.8081"/>
    <n v="0"/>
    <n v="1995.0719999999999"/>
    <n v="0"/>
    <x v="1376"/>
    <n v="75443848.430000007"/>
    <n v="4236484.2319999998"/>
  </r>
  <r>
    <s v="SK14"/>
    <d v="2014-09-30T00:00:00"/>
    <x v="238"/>
    <s v="S4"/>
    <n v="19.198599999999999"/>
    <n v="0"/>
    <n v="6.9359999999999999"/>
    <n v="0"/>
    <x v="1377"/>
    <n v="1253928.58"/>
    <n v="65313.677000000003"/>
  </r>
  <r>
    <s v="SK14"/>
    <d v="2014-09-30T00:00:00"/>
    <x v="238"/>
    <s v="U2A"/>
    <n v="17.756499999999999"/>
    <n v="3729.4690000000001"/>
    <n v="6.9160000000000004"/>
    <n v="66438.75"/>
    <x v="1378"/>
    <n v="6791529.75"/>
    <n v="382482.22700000001"/>
  </r>
  <r>
    <s v="SK14"/>
    <d v="2014-10-01T00:00:00"/>
    <x v="239"/>
    <s v="A3"/>
    <n v="19.003699999999998"/>
    <n v="0"/>
    <n v="359.59699999999998"/>
    <n v="0"/>
    <x v="1379"/>
    <n v="5796849.54"/>
    <n v="305037.44199999998"/>
  </r>
  <r>
    <s v="SK14"/>
    <d v="2014-10-01T00:00:00"/>
    <x v="239"/>
    <s v="AA"/>
    <n v="23.4984"/>
    <n v="16069.761"/>
    <n v="1186.4549999999999"/>
    <n v="378655"/>
    <x v="1380"/>
    <n v="281625490.20999998"/>
    <n v="11984880.91"/>
  </r>
  <r>
    <s v="SK14"/>
    <d v="2014-10-01T00:00:00"/>
    <x v="239"/>
    <s v="AC"/>
    <n v="19.320499999999999"/>
    <n v="3757.5010000000002"/>
    <n v="2973.8789999999999"/>
    <n v="72799.710000000006"/>
    <x v="1381"/>
    <n v="33551365.93"/>
    <n v="1736570.865"/>
  </r>
  <r>
    <s v="SK14"/>
    <d v="2014-10-01T00:00:00"/>
    <x v="239"/>
    <s v="AI"/>
    <n v="18.158899999999999"/>
    <n v="0"/>
    <n v="121703"/>
    <n v="0"/>
    <x v="1382"/>
    <n v="11052806.57"/>
    <n v="608670.69900000002"/>
  </r>
  <r>
    <s v="SK14"/>
    <d v="2014-10-01T00:00:00"/>
    <x v="239"/>
    <s v="AUI"/>
    <n v="11.4475"/>
    <n v="0"/>
    <n v="796.96799999999996"/>
    <n v="0"/>
    <x v="1383"/>
    <n v="25267653.620000001"/>
    <n v="2207270.1770000001"/>
  </r>
  <r>
    <s v="SK14"/>
    <d v="2014-10-01T00:00:00"/>
    <x v="239"/>
    <s v="BUI"/>
    <n v="11.036899999999999"/>
    <n v="1920.393"/>
    <n v="0"/>
    <n v="21388.76"/>
    <x v="1"/>
    <n v="1699202.81"/>
    <n v="153956.31299999999"/>
  </r>
  <r>
    <s v="SK14"/>
    <d v="2014-10-01T00:00:00"/>
    <x v="239"/>
    <s v="RGI"/>
    <n v="17.677099999999999"/>
    <n v="4034.4769999999999"/>
    <n v="600"/>
    <n v="71846.34"/>
    <x v="1384"/>
    <n v="74949255.200000003"/>
    <n v="4239918.7089999998"/>
  </r>
  <r>
    <s v="SK14"/>
    <d v="2014-10-01T00:00:00"/>
    <x v="239"/>
    <s v="U2A"/>
    <n v="17.708100000000002"/>
    <n v="2853.5639999999999"/>
    <n v="29.95"/>
    <n v="50669.25"/>
    <x v="1385"/>
    <n v="6823033.7400000002"/>
    <n v="385305.841000000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Data" updatedVersion="4" showMemberPropertyTips="0" useAutoFormatting="1" itemPrintTitles="1" createdVersion="1" indent="0" compact="0" compactData="0" gridDropZones="1">
  <location ref="A1:D243" firstHeaderRow="1" firstDataRow="2" firstDataCol="1"/>
  <pivotFields count="11">
    <pivotField compact="0" outline="0" subtotalTop="0" showAll="0" includeNewItemsInFilter="1"/>
    <pivotField compact="0" numFmtId="15" outline="0" subtotalTop="0" showAll="0" includeNewItemsInFilter="1"/>
    <pivotField axis="axisRow" compact="0" numFmtId="15" outline="0" subtotalTop="0" showAll="0" includeNewItemsInFilter="1">
      <items count="2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t="default"/>
      </items>
    </pivotField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dataField="1" compact="0" numFmtId="165" outline="0" subtotalTop="0" showAll="0" includeNewItemsInFilter="1"/>
    <pivotField dataField="1" compact="0" numFmtId="165" outline="0" subtotalTop="0" showAll="0" includeNewItemsInFilter="1">
      <items count="1387">
        <item x="393"/>
        <item x="84"/>
        <item x="236"/>
        <item x="143"/>
        <item x="877"/>
        <item x="489"/>
        <item x="996"/>
        <item x="573"/>
        <item x="1303"/>
        <item x="518"/>
        <item x="443"/>
        <item x="390"/>
        <item x="820"/>
        <item x="556"/>
        <item x="530"/>
        <item x="718"/>
        <item x="1005"/>
        <item x="502"/>
        <item x="652"/>
        <item x="47"/>
        <item x="632"/>
        <item x="23"/>
        <item x="1343"/>
        <item x="237"/>
        <item x="81"/>
        <item x="1031"/>
        <item x="414"/>
        <item x="1369"/>
        <item x="147"/>
        <item x="1293"/>
        <item x="1155"/>
        <item x="15"/>
        <item x="812"/>
        <item x="537"/>
        <item x="1271"/>
        <item x="512"/>
        <item x="404"/>
        <item x="1065"/>
        <item x="1162"/>
        <item x="808"/>
        <item x="453"/>
        <item x="254"/>
        <item x="944"/>
        <item x="1023"/>
        <item x="69"/>
        <item x="230"/>
        <item x="524"/>
        <item x="457"/>
        <item x="148"/>
        <item x="260"/>
        <item x="649"/>
        <item x="1298"/>
        <item x="410"/>
        <item x="1318"/>
        <item x="1042"/>
        <item x="1231"/>
        <item x="438"/>
        <item x="140"/>
        <item x="1052"/>
        <item x="552"/>
        <item x="973"/>
        <item x="781"/>
        <item x="409"/>
        <item x="82"/>
        <item x="152"/>
        <item x="110"/>
        <item x="1078"/>
        <item x="98"/>
        <item x="567"/>
        <item x="386"/>
        <item x="1344"/>
        <item x="394"/>
        <item x="1049"/>
        <item x="821"/>
        <item x="242"/>
        <item x="1275"/>
        <item x="5"/>
        <item x="1382"/>
        <item x="864"/>
        <item x="526"/>
        <item x="538"/>
        <item x="139"/>
        <item x="852"/>
        <item x="1191"/>
        <item x="494"/>
        <item x="478"/>
        <item x="1132"/>
        <item x="816"/>
        <item x="339"/>
        <item x="222"/>
        <item x="1373"/>
        <item x="1311"/>
        <item x="1252"/>
        <item x="424"/>
        <item x="125"/>
        <item x="835"/>
        <item x="641"/>
        <item x="918"/>
        <item x="263"/>
        <item x="1362"/>
        <item x="138"/>
        <item x="180"/>
        <item x="732"/>
        <item x="804"/>
        <item x="1305"/>
        <item x="650"/>
        <item x="1057"/>
        <item x="1279"/>
        <item x="184"/>
        <item x="1126"/>
        <item x="635"/>
        <item x="549"/>
        <item x="423"/>
        <item x="1319"/>
        <item x="269"/>
        <item x="145"/>
        <item x="383"/>
        <item x="697"/>
        <item x="215"/>
        <item x="1312"/>
        <item x="114"/>
        <item x="935"/>
        <item x="183"/>
        <item x="252"/>
        <item x="61"/>
        <item x="413"/>
        <item x="1374"/>
        <item x="435"/>
        <item x="382"/>
        <item x="99"/>
        <item x="1105"/>
        <item x="356"/>
        <item x="66"/>
        <item x="124"/>
        <item x="165"/>
        <item x="1173"/>
        <item x="891"/>
        <item x="1348"/>
        <item x="1089"/>
        <item x="1037"/>
        <item x="630"/>
        <item x="1222"/>
        <item x="570"/>
        <item x="71"/>
        <item x="163"/>
        <item x="1118"/>
        <item x="1221"/>
        <item x="1096"/>
        <item x="1321"/>
        <item x="698"/>
        <item x="19"/>
        <item x="1227"/>
        <item x="391"/>
        <item x="161"/>
        <item x="308"/>
        <item x="1375"/>
        <item x="380"/>
        <item x="856"/>
        <item x="111"/>
        <item x="582"/>
        <item x="1141"/>
        <item x="44"/>
        <item x="436"/>
        <item x="581"/>
        <item x="1192"/>
        <item x="738"/>
        <item x="736"/>
        <item x="39"/>
        <item x="400"/>
        <item x="219"/>
        <item x="1310"/>
        <item x="89"/>
        <item x="1087"/>
        <item x="472"/>
        <item x="1278"/>
        <item x="870"/>
        <item x="1060"/>
        <item x="253"/>
        <item x="189"/>
        <item x="100"/>
        <item x="129"/>
        <item x="178"/>
        <item x="1338"/>
        <item x="303"/>
        <item x="1299"/>
        <item x="104"/>
        <item x="564"/>
        <item x="1249"/>
        <item x="417"/>
        <item x="72"/>
        <item x="1174"/>
        <item x="987"/>
        <item x="1304"/>
        <item x="437"/>
        <item x="358"/>
        <item x="1346"/>
        <item x="671"/>
        <item x="740"/>
        <item x="306"/>
        <item x="968"/>
        <item x="106"/>
        <item x="839"/>
        <item x="1276"/>
        <item x="91"/>
        <item x="59"/>
        <item x="514"/>
        <item x="727"/>
        <item x="198"/>
        <item x="513"/>
        <item x="0"/>
        <item x="212"/>
        <item x="1059"/>
        <item x="1345"/>
        <item x="869"/>
        <item x="167"/>
        <item x="607"/>
        <item x="503"/>
        <item x="771"/>
        <item x="743"/>
        <item x="1062"/>
        <item x="257"/>
        <item x="271"/>
        <item x="4"/>
        <item x="1045"/>
        <item x="542"/>
        <item x="185"/>
        <item x="379"/>
        <item x="454"/>
        <item x="34"/>
        <item x="728"/>
        <item x="302"/>
        <item x="460"/>
        <item x="913"/>
        <item x="272"/>
        <item x="1068"/>
        <item x="793"/>
        <item x="909"/>
        <item x="291"/>
        <item x="243"/>
        <item x="926"/>
        <item x="154"/>
        <item x="744"/>
        <item x="240"/>
        <item x="1315"/>
        <item x="233"/>
        <item x="975"/>
        <item x="636"/>
        <item x="118"/>
        <item x="141"/>
        <item x="658"/>
        <item x="467"/>
        <item x="479"/>
        <item x="725"/>
        <item x="993"/>
        <item x="160"/>
        <item x="1148"/>
        <item x="293"/>
        <item x="1124"/>
        <item x="1129"/>
        <item x="255"/>
        <item x="1237"/>
        <item x="76"/>
        <item x="468"/>
        <item x="290"/>
        <item x="1354"/>
        <item x="134"/>
        <item x="984"/>
        <item x="319"/>
        <item x="640"/>
        <item x="83"/>
        <item x="942"/>
        <item x="837"/>
        <item x="207"/>
        <item x="381"/>
        <item x="1202"/>
        <item x="449"/>
        <item x="149"/>
        <item x="1308"/>
        <item x="637"/>
        <item x="896"/>
        <item x="868"/>
        <item x="280"/>
        <item x="11"/>
        <item x="241"/>
        <item x="766"/>
        <item x="1323"/>
        <item x="832"/>
        <item x="903"/>
        <item x="729"/>
        <item x="1347"/>
        <item x="27"/>
        <item x="591"/>
        <item x="874"/>
        <item x="150"/>
        <item x="289"/>
        <item x="774"/>
        <item x="1263"/>
        <item x="43"/>
        <item x="1172"/>
        <item x="910"/>
        <item x="1160"/>
        <item x="268"/>
        <item x="711"/>
        <item x="311"/>
        <item x="108"/>
        <item x="545"/>
        <item x="1171"/>
        <item x="654"/>
        <item x="9"/>
        <item x="667"/>
        <item x="1135"/>
        <item x="41"/>
        <item x="1259"/>
        <item x="1029"/>
        <item x="983"/>
        <item x="373"/>
        <item x="1367"/>
        <item x="721"/>
        <item x="375"/>
        <item x="113"/>
        <item x="135"/>
        <item x="802"/>
        <item x="995"/>
        <item x="683"/>
        <item x="366"/>
        <item x="18"/>
        <item x="558"/>
        <item x="1213"/>
        <item x="707"/>
        <item x="899"/>
        <item x="155"/>
        <item x="810"/>
        <item x="588"/>
        <item x="560"/>
        <item x="651"/>
        <item x="203"/>
        <item x="1244"/>
        <item x="1247"/>
        <item x="941"/>
        <item x="238"/>
        <item x="751"/>
        <item x="348"/>
        <item x="471"/>
        <item x="144"/>
        <item x="1122"/>
        <item x="300"/>
        <item x="705"/>
        <item x="601"/>
        <item x="325"/>
        <item x="946"/>
        <item x="876"/>
        <item x="539"/>
        <item x="569"/>
        <item x="153"/>
        <item x="228"/>
        <item x="73"/>
        <item x="473"/>
        <item x="441"/>
        <item x="956"/>
        <item x="20"/>
        <item x="466"/>
        <item x="425"/>
        <item x="989"/>
        <item x="1180"/>
        <item x="884"/>
        <item x="631"/>
        <item x="1219"/>
        <item x="1035"/>
        <item x="1365"/>
        <item x="720"/>
        <item x="477"/>
        <item x="505"/>
        <item x="527"/>
        <item x="504"/>
        <item x="1103"/>
        <item x="1002"/>
        <item x="340"/>
        <item x="515"/>
        <item x="332"/>
        <item x="162"/>
        <item x="1030"/>
        <item x="116"/>
        <item x="739"/>
        <item x="563"/>
        <item x="474"/>
        <item x="101"/>
        <item x="967"/>
        <item x="213"/>
        <item x="173"/>
        <item x="387"/>
        <item x="333"/>
        <item x="447"/>
        <item x="330"/>
        <item x="13"/>
        <item x="522"/>
        <item x="25"/>
        <item x="914"/>
        <item x="1147"/>
        <item x="528"/>
        <item x="1143"/>
        <item x="62"/>
        <item x="117"/>
        <item x="286"/>
        <item x="1317"/>
        <item x="521"/>
        <item x="1277"/>
        <item x="131"/>
        <item x="1349"/>
        <item x="540"/>
        <item x="1001"/>
        <item x="851"/>
        <item x="516"/>
        <item x="63"/>
        <item x="485"/>
        <item x="266"/>
        <item x="1077"/>
        <item x="1108"/>
        <item x="1083"/>
        <item x="316"/>
        <item x="422"/>
        <item x="1235"/>
        <item x="177"/>
        <item x="962"/>
        <item x="1254"/>
        <item x="850"/>
        <item x="976"/>
        <item x="347"/>
        <item x="256"/>
        <item x="398"/>
        <item x="809"/>
        <item x="1153"/>
        <item x="1014"/>
        <item x="642"/>
        <item x="939"/>
        <item x="706"/>
        <item x="690"/>
        <item x="166"/>
        <item x="483"/>
        <item x="788"/>
        <item x="305"/>
        <item x="1113"/>
        <item x="1011"/>
        <item x="284"/>
        <item x="932"/>
        <item x="1334"/>
        <item x="301"/>
        <item x="776"/>
        <item x="843"/>
        <item x="1121"/>
        <item x="598"/>
        <item x="491"/>
        <item x="827"/>
        <item x="1036"/>
        <item x="273"/>
        <item x="281"/>
        <item x="1208"/>
        <item x="981"/>
        <item x="406"/>
        <item x="825"/>
        <item x="1333"/>
        <item x="239"/>
        <item x="966"/>
        <item x="523"/>
        <item x="341"/>
        <item x="45"/>
        <item x="1229"/>
        <item x="782"/>
        <item x="508"/>
        <item x="221"/>
        <item x="726"/>
        <item x="819"/>
        <item x="1257"/>
        <item x="550"/>
        <item x="765"/>
        <item x="448"/>
        <item x="464"/>
        <item x="982"/>
        <item x="208"/>
        <item x="763"/>
        <item x="858"/>
        <item x="696"/>
        <item x="678"/>
        <item x="568"/>
        <item x="643"/>
        <item x="94"/>
        <item x="708"/>
        <item x="309"/>
        <item x="80"/>
        <item x="274"/>
        <item x="412"/>
        <item x="246"/>
        <item x="92"/>
        <item x="544"/>
        <item x="346"/>
        <item x="599"/>
        <item x="1253"/>
        <item x="496"/>
        <item x="585"/>
        <item x="818"/>
        <item x="1239"/>
        <item x="408"/>
        <item x="921"/>
        <item x="1195"/>
        <item x="686"/>
        <item x="742"/>
        <item x="326"/>
        <item x="565"/>
        <item x="583"/>
        <item x="1220"/>
        <item x="620"/>
        <item x="948"/>
        <item x="49"/>
        <item x="929"/>
        <item x="1022"/>
        <item x="16"/>
        <item x="912"/>
        <item x="248"/>
        <item x="338"/>
        <item x="1142"/>
        <item x="882"/>
        <item x="1353"/>
        <item x="176"/>
        <item x="465"/>
        <item x="602"/>
        <item x="985"/>
        <item x="304"/>
        <item x="626"/>
        <item x="87"/>
        <item x="1110"/>
        <item x="773"/>
        <item x="206"/>
        <item x="8"/>
        <item x="136"/>
        <item x="1116"/>
        <item x="795"/>
        <item x="312"/>
        <item x="276"/>
        <item x="1003"/>
        <item x="990"/>
        <item x="863"/>
        <item x="445"/>
        <item x="761"/>
        <item x="1358"/>
        <item x="655"/>
        <item x="298"/>
        <item x="296"/>
        <item x="1101"/>
        <item x="898"/>
        <item x="226"/>
        <item x="401"/>
        <item x="1006"/>
        <item x="777"/>
        <item x="794"/>
        <item x="367"/>
        <item x="1270"/>
        <item x="455"/>
        <item x="1020"/>
        <item x="1137"/>
        <item x="805"/>
        <item x="105"/>
        <item x="433"/>
        <item x="1044"/>
        <item x="1197"/>
        <item x="446"/>
        <item x="1028"/>
        <item x="1154"/>
        <item x="1186"/>
        <item x="955"/>
        <item x="220"/>
        <item x="1360"/>
        <item x="58"/>
        <item x="195"/>
        <item x="887"/>
        <item x="1242"/>
        <item x="692"/>
        <item x="67"/>
        <item x="1046"/>
        <item x="50"/>
        <item x="396"/>
        <item x="532"/>
        <item x="883"/>
        <item x="801"/>
        <item x="575"/>
        <item x="871"/>
        <item x="174"/>
        <item x="1178"/>
        <item x="680"/>
        <item x="796"/>
        <item x="928"/>
        <item x="1200"/>
        <item x="1098"/>
        <item x="646"/>
        <item x="817"/>
        <item x="270"/>
        <item x="458"/>
        <item x="1236"/>
        <item x="1145"/>
        <item x="1300"/>
        <item x="232"/>
        <item x="1151"/>
        <item x="1050"/>
        <item x="734"/>
        <item x="672"/>
        <item x="1330"/>
        <item x="615"/>
        <item x="1328"/>
        <item x="187"/>
        <item x="151"/>
        <item x="225"/>
        <item x="1095"/>
        <item x="927"/>
        <item x="359"/>
        <item x="922"/>
        <item x="397"/>
        <item x="1102"/>
        <item x="622"/>
        <item x="1316"/>
        <item x="571"/>
        <item x="764"/>
        <item x="1294"/>
        <item x="307"/>
        <item x="250"/>
        <item x="86"/>
        <item x="7"/>
        <item x="961"/>
        <item x="936"/>
        <item x="127"/>
        <item x="778"/>
        <item x="1177"/>
        <item x="889"/>
        <item x="682"/>
        <item x="848"/>
        <item x="919"/>
        <item x="1269"/>
        <item x="299"/>
        <item x="1273"/>
        <item x="1207"/>
        <item x="1104"/>
        <item x="940"/>
        <item x="204"/>
        <item x="1136"/>
        <item x="193"/>
        <item x="126"/>
        <item x="842"/>
        <item x="986"/>
        <item x="867"/>
        <item x="954"/>
        <item x="1063"/>
        <item x="352"/>
        <item x="1255"/>
        <item x="1352"/>
        <item x="42"/>
        <item x="26"/>
        <item x="1090"/>
        <item x="933"/>
        <item x="1283"/>
        <item x="897"/>
        <item x="685"/>
        <item x="1292"/>
        <item x="1201"/>
        <item x="1175"/>
        <item x="656"/>
        <item x="713"/>
        <item x="1069"/>
        <item x="79"/>
        <item x="1214"/>
        <item x="392"/>
        <item x="949"/>
        <item x="920"/>
        <item x="1094"/>
        <item x="1184"/>
        <item x="978"/>
        <item x="40"/>
        <item x="1204"/>
        <item x="1161"/>
        <item x="17"/>
        <item x="509"/>
        <item x="833"/>
        <item x="659"/>
        <item x="1109"/>
        <item x="741"/>
        <item x="520"/>
        <item x="1265"/>
        <item x="169"/>
        <item x="336"/>
        <item x="969"/>
        <item x="1381"/>
        <item x="551"/>
        <item x="586"/>
        <item x="953"/>
        <item x="345"/>
        <item x="888"/>
        <item x="199"/>
        <item x="1223"/>
        <item x="1209"/>
        <item x="608"/>
        <item x="647"/>
        <item x="388"/>
        <item x="947"/>
        <item x="361"/>
        <item x="200"/>
        <item x="181"/>
        <item x="21"/>
        <item x="557"/>
        <item x="1325"/>
        <item x="12"/>
        <item x="1335"/>
        <item x="790"/>
        <item x="849"/>
        <item x="673"/>
        <item x="963"/>
        <item x="660"/>
        <item x="374"/>
        <item x="547"/>
        <item x="562"/>
        <item x="321"/>
        <item x="85"/>
        <item x="1248"/>
        <item x="1066"/>
        <item x="259"/>
        <item x="762"/>
        <item x="277"/>
        <item x="6"/>
        <item x="1165"/>
        <item x="784"/>
        <item x="197"/>
        <item x="1205"/>
        <item x="362"/>
        <item x="267"/>
        <item x="731"/>
        <item x="905"/>
        <item x="998"/>
        <item x="1016"/>
        <item x="988"/>
        <item x="389"/>
        <item x="1261"/>
        <item x="679"/>
        <item x="421"/>
        <item x="826"/>
        <item x="666"/>
        <item x="1290"/>
        <item x="407"/>
        <item x="1188"/>
        <item x="251"/>
        <item x="1114"/>
        <item x="811"/>
        <item x="60"/>
        <item x="1309"/>
        <item x="432"/>
        <item x="616"/>
        <item x="1021"/>
        <item x="745"/>
        <item x="785"/>
        <item x="576"/>
        <item x="205"/>
        <item x="911"/>
        <item x="1260"/>
        <item x="360"/>
        <item x="836"/>
        <item x="834"/>
        <item x="1038"/>
        <item x="209"/>
        <item x="1264"/>
        <item x="755"/>
        <item x="759"/>
        <item x="992"/>
        <item x="885"/>
        <item x="621"/>
        <item x="857"/>
        <item x="1084"/>
        <item x="64"/>
        <item x="1287"/>
        <item x="170"/>
        <item x="10"/>
        <item x="506"/>
        <item x="1009"/>
        <item x="490"/>
        <item x="1361"/>
        <item x="1088"/>
        <item x="1152"/>
        <item x="844"/>
        <item x="1097"/>
        <item x="974"/>
        <item x="262"/>
        <item x="55"/>
        <item x="791"/>
        <item x="334"/>
        <item x="431"/>
        <item x="1139"/>
        <item x="1376"/>
        <item x="957"/>
        <item x="747"/>
        <item x="343"/>
        <item x="531"/>
        <item x="872"/>
        <item x="1079"/>
        <item x="596"/>
        <item x="1356"/>
        <item x="1329"/>
        <item x="1363"/>
        <item x="950"/>
        <item x="56"/>
        <item x="681"/>
        <item x="1018"/>
        <item x="462"/>
        <item x="657"/>
        <item x="1281"/>
        <item x="853"/>
        <item x="1284"/>
        <item x="789"/>
        <item x="194"/>
        <item x="112"/>
        <item x="329"/>
        <item x="1163"/>
        <item x="385"/>
        <item x="1224"/>
        <item x="377"/>
        <item x="525"/>
        <item x="1051"/>
        <item x="712"/>
        <item x="172"/>
        <item x="543"/>
        <item x="378"/>
        <item x="1012"/>
        <item x="258"/>
        <item x="861"/>
        <item x="750"/>
        <item x="120"/>
        <item x="1295"/>
        <item x="351"/>
        <item x="402"/>
        <item x="553"/>
        <item x="229"/>
        <item x="1243"/>
        <item x="168"/>
        <item x="1010"/>
        <item x="90"/>
        <item x="459"/>
        <item x="1380"/>
        <item x="595"/>
        <item x="1228"/>
        <item x="123"/>
        <item x="904"/>
        <item x="451"/>
        <item x="395"/>
        <item x="1133"/>
        <item x="285"/>
        <item x="78"/>
        <item x="752"/>
        <item x="297"/>
        <item x="511"/>
        <item x="767"/>
        <item x="327"/>
        <item x="249"/>
        <item x="282"/>
        <item x="733"/>
        <item x="121"/>
        <item x="959"/>
        <item x="1032"/>
        <item x="261"/>
        <item x="247"/>
        <item x="815"/>
        <item x="1048"/>
        <item x="1306"/>
        <item x="1339"/>
        <item x="1211"/>
        <item x="317"/>
        <item x="624"/>
        <item x="878"/>
        <item x="1015"/>
        <item x="1074"/>
        <item x="227"/>
        <item x="674"/>
        <item x="470"/>
        <item x="403"/>
        <item x="1054"/>
        <item x="122"/>
        <item x="419"/>
        <item x="592"/>
        <item x="609"/>
        <item x="216"/>
        <item x="994"/>
        <item x="715"/>
        <item x="444"/>
        <item x="768"/>
        <item x="716"/>
        <item x="314"/>
        <item x="606"/>
        <item x="283"/>
        <item x="115"/>
        <item x="498"/>
        <item x="719"/>
        <item x="439"/>
        <item x="574"/>
        <item x="372"/>
        <item x="925"/>
        <item x="487"/>
        <item x="264"/>
        <item x="1025"/>
        <item x="244"/>
        <item x="829"/>
        <item x="798"/>
        <item x="597"/>
        <item x="292"/>
        <item x="1324"/>
        <item x="772"/>
        <item x="1158"/>
        <item x="245"/>
        <item x="687"/>
        <item x="699"/>
        <item x="499"/>
        <item x="52"/>
        <item x="370"/>
        <item x="429"/>
        <item x="923"/>
        <item x="806"/>
        <item x="132"/>
        <item x="970"/>
        <item x="1250"/>
        <item x="1196"/>
        <item x="519"/>
        <item x="1043"/>
        <item x="1033"/>
        <item x="600"/>
        <item x="38"/>
        <item x="53"/>
        <item x="182"/>
        <item x="235"/>
        <item x="1198"/>
        <item x="357"/>
        <item x="1130"/>
        <item x="363"/>
        <item x="554"/>
        <item x="93"/>
        <item x="1256"/>
        <item x="128"/>
        <item x="634"/>
        <item x="484"/>
        <item x="1168"/>
        <item x="997"/>
        <item x="943"/>
        <item x="70"/>
        <item x="748"/>
        <item x="1320"/>
        <item x="1075"/>
        <item x="603"/>
        <item x="501"/>
        <item x="1370"/>
        <item x="36"/>
        <item x="675"/>
        <item x="420"/>
        <item x="95"/>
        <item x="495"/>
        <item x="915"/>
        <item x="1285"/>
        <item x="758"/>
        <item x="799"/>
        <item x="1190"/>
        <item x="847"/>
        <item x="589"/>
        <item x="190"/>
        <item x="1159"/>
        <item x="328"/>
        <item x="46"/>
        <item x="74"/>
        <item x="590"/>
        <item x="1085"/>
        <item x="1366"/>
        <item x="937"/>
        <item x="1138"/>
        <item x="1166"/>
        <item x="1272"/>
        <item x="376"/>
        <item x="665"/>
        <item x="1266"/>
        <item x="1091"/>
        <item x="1082"/>
        <item x="416"/>
        <item x="1355"/>
        <item x="1217"/>
        <item x="977"/>
        <item x="1071"/>
        <item x="1181"/>
        <item x="107"/>
        <item x="364"/>
        <item x="278"/>
        <item x="627"/>
        <item x="1359"/>
        <item x="1280"/>
        <item x="580"/>
        <item x="893"/>
        <item x="613"/>
        <item x="700"/>
        <item x="1112"/>
        <item x="960"/>
        <item x="315"/>
        <item x="354"/>
        <item x="28"/>
        <item x="77"/>
        <item x="1371"/>
        <item x="1053"/>
        <item x="109"/>
        <item x="130"/>
        <item x="234"/>
        <item x="3"/>
        <item x="368"/>
        <item x="769"/>
        <item x="411"/>
        <item x="638"/>
        <item x="676"/>
        <item x="668"/>
        <item x="65"/>
        <item x="353"/>
        <item x="369"/>
        <item x="895"/>
        <item x="210"/>
        <item x="322"/>
        <item x="1058"/>
        <item x="1322"/>
        <item x="1384"/>
        <item x="146"/>
        <item x="156"/>
        <item x="875"/>
        <item x="1350"/>
        <item x="51"/>
        <item x="714"/>
        <item x="865"/>
        <item x="845"/>
        <item x="612"/>
        <item x="702"/>
        <item x="88"/>
        <item x="500"/>
        <item x="614"/>
        <item x="196"/>
        <item x="610"/>
        <item x="279"/>
        <item x="1230"/>
        <item x="461"/>
        <item x="158"/>
        <item x="534"/>
        <item x="618"/>
        <item x="119"/>
        <item x="427"/>
        <item x="1383"/>
        <item x="415"/>
        <item x="1117"/>
        <item x="756"/>
        <item x="907"/>
        <item x="1185"/>
        <item x="14"/>
        <item x="879"/>
        <item x="746"/>
        <item x="661"/>
        <item x="859"/>
        <item x="1245"/>
        <item x="611"/>
        <item x="1216"/>
        <item x="31"/>
        <item x="838"/>
        <item x="475"/>
        <item x="1331"/>
        <item x="323"/>
        <item x="663"/>
        <item x="1233"/>
        <item x="426"/>
        <item x="900"/>
        <item x="906"/>
        <item x="684"/>
        <item x="1125"/>
        <item x="1008"/>
        <item x="999"/>
        <item x="517"/>
        <item x="1026"/>
        <item x="313"/>
        <item x="399"/>
        <item x="295"/>
        <item x="37"/>
        <item x="880"/>
        <item x="201"/>
        <item x="828"/>
        <item x="1193"/>
        <item x="493"/>
        <item x="757"/>
        <item x="892"/>
        <item x="30"/>
        <item x="214"/>
        <item x="186"/>
        <item x="1379"/>
        <item x="536"/>
        <item x="722"/>
        <item x="824"/>
        <item x="1357"/>
        <item x="628"/>
        <item x="1327"/>
        <item x="1119"/>
        <item x="541"/>
        <item x="54"/>
        <item x="1225"/>
        <item x="749"/>
        <item x="217"/>
        <item x="48"/>
        <item x="709"/>
        <item x="701"/>
        <item x="469"/>
        <item x="463"/>
        <item x="188"/>
        <item x="481"/>
        <item x="33"/>
        <item x="1206"/>
        <item x="450"/>
        <item x="486"/>
        <item x="979"/>
        <item x="1157"/>
        <item x="633"/>
        <item x="1039"/>
        <item x="535"/>
        <item x="1183"/>
        <item x="1301"/>
        <item x="456"/>
        <item x="559"/>
        <item x="1326"/>
        <item x="1146"/>
        <item x="335"/>
        <item x="1210"/>
        <item x="1156"/>
        <item x="1134"/>
        <item x="22"/>
        <item x="1302"/>
        <item x="1169"/>
        <item x="476"/>
        <item x="1289"/>
        <item x="846"/>
        <item x="1149"/>
        <item x="662"/>
        <item x="497"/>
        <item x="1086"/>
        <item x="1297"/>
        <item x="855"/>
        <item x="1076"/>
        <item x="342"/>
        <item x="1041"/>
        <item x="753"/>
        <item x="510"/>
        <item x="730"/>
        <item x="1167"/>
        <item x="669"/>
        <item x="1240"/>
        <item x="577"/>
        <item x="1127"/>
        <item x="1251"/>
        <item x="384"/>
        <item x="779"/>
        <item x="1115"/>
        <item x="1034"/>
        <item x="29"/>
        <item x="102"/>
        <item x="1189"/>
        <item x="32"/>
        <item x="1291"/>
        <item x="175"/>
        <item x="1314"/>
        <item x="1056"/>
        <item x="405"/>
        <item x="231"/>
        <item x="480"/>
        <item x="691"/>
        <item x="873"/>
        <item x="1080"/>
        <item x="1070"/>
        <item x="693"/>
        <item x="648"/>
        <item x="1170"/>
        <item x="1179"/>
        <item x="324"/>
        <item x="862"/>
        <item x="1232"/>
        <item x="797"/>
        <item x="934"/>
        <item x="1017"/>
        <item x="1282"/>
        <item x="964"/>
        <item x="1336"/>
        <item x="1337"/>
        <item x="1340"/>
        <item x="908"/>
        <item x="192"/>
        <item x="587"/>
        <item x="1215"/>
        <item x="1203"/>
        <item x="1120"/>
        <item x="265"/>
        <item x="355"/>
        <item x="337"/>
        <item x="1332"/>
        <item x="1107"/>
        <item x="831"/>
        <item x="1274"/>
        <item x="1061"/>
        <item x="644"/>
        <item x="492"/>
        <item x="1246"/>
        <item x="442"/>
        <item x="1064"/>
        <item x="1144"/>
        <item x="584"/>
        <item x="792"/>
        <item x="1007"/>
        <item x="807"/>
        <item x="951"/>
        <item x="623"/>
        <item x="223"/>
        <item x="97"/>
        <item x="945"/>
        <item x="331"/>
        <item x="931"/>
        <item x="191"/>
        <item x="1081"/>
        <item x="689"/>
        <item x="670"/>
        <item x="2"/>
        <item x="418"/>
        <item x="1218"/>
        <item x="1212"/>
        <item x="1073"/>
        <item x="57"/>
        <item x="1131"/>
        <item x="578"/>
        <item x="775"/>
        <item x="1368"/>
        <item x="991"/>
        <item x="1140"/>
        <item x="803"/>
        <item x="157"/>
        <item x="294"/>
        <item x="561"/>
        <item x="287"/>
        <item x="1100"/>
        <item x="1364"/>
        <item x="546"/>
        <item x="1092"/>
        <item x="349"/>
        <item x="1093"/>
        <item x="1024"/>
        <item x="320"/>
        <item x="1258"/>
        <item x="365"/>
        <item x="133"/>
        <item x="1194"/>
        <item x="430"/>
        <item x="1150"/>
        <item x="860"/>
        <item x="1047"/>
        <item x="1372"/>
        <item x="1123"/>
        <item x="1111"/>
        <item x="1187"/>
        <item x="1341"/>
        <item x="902"/>
        <item x="735"/>
        <item x="68"/>
        <item x="1351"/>
        <item x="965"/>
        <item x="1164"/>
        <item x="787"/>
        <item x="1013"/>
        <item x="96"/>
        <item x="677"/>
        <item x="917"/>
        <item x="1182"/>
        <item x="211"/>
        <item x="1238"/>
        <item x="814"/>
        <item x="1342"/>
        <item x="854"/>
        <item x="629"/>
        <item x="1385"/>
        <item x="723"/>
        <item x="664"/>
        <item x="1262"/>
        <item x="1267"/>
        <item x="1199"/>
        <item x="1268"/>
        <item x="958"/>
        <item x="604"/>
        <item x="548"/>
        <item x="605"/>
        <item x="881"/>
        <item x="813"/>
        <item x="952"/>
        <item x="1234"/>
        <item x="371"/>
        <item x="1307"/>
        <item x="533"/>
        <item x="1099"/>
        <item x="625"/>
        <item x="1226"/>
        <item x="840"/>
        <item x="694"/>
        <item x="737"/>
        <item x="1128"/>
        <item x="760"/>
        <item x="823"/>
        <item x="1027"/>
        <item x="639"/>
        <item x="566"/>
        <item x="428"/>
        <item x="695"/>
        <item x="1000"/>
        <item x="841"/>
        <item x="579"/>
        <item x="572"/>
        <item x="645"/>
        <item x="179"/>
        <item x="619"/>
        <item x="482"/>
        <item x="916"/>
        <item x="924"/>
        <item x="1106"/>
        <item x="822"/>
        <item x="440"/>
        <item x="971"/>
        <item x="866"/>
        <item x="703"/>
        <item x="593"/>
        <item x="344"/>
        <item x="830"/>
        <item x="1286"/>
        <item x="275"/>
        <item x="488"/>
        <item x="164"/>
        <item x="886"/>
        <item x="724"/>
        <item x="786"/>
        <item x="1377"/>
        <item x="938"/>
        <item x="1378"/>
        <item x="159"/>
        <item x="653"/>
        <item x="1288"/>
        <item x="688"/>
        <item x="1040"/>
        <item x="972"/>
        <item x="1241"/>
        <item x="704"/>
        <item x="1067"/>
        <item x="800"/>
        <item x="783"/>
        <item x="1004"/>
        <item x="1296"/>
        <item x="1072"/>
        <item x="930"/>
        <item x="1313"/>
        <item x="901"/>
        <item x="350"/>
        <item x="555"/>
        <item x="452"/>
        <item x="218"/>
        <item x="434"/>
        <item x="171"/>
        <item x="529"/>
        <item x="288"/>
        <item x="1176"/>
        <item x="894"/>
        <item x="202"/>
        <item x="1019"/>
        <item x="224"/>
        <item x="35"/>
        <item x="75"/>
        <item x="770"/>
        <item x="1055"/>
        <item x="103"/>
        <item x="980"/>
        <item x="137"/>
        <item x="710"/>
        <item x="24"/>
        <item x="142"/>
        <item x="780"/>
        <item x="890"/>
        <item x="617"/>
        <item x="310"/>
        <item x="717"/>
        <item x="754"/>
        <item x="507"/>
        <item x="594"/>
        <item x="318"/>
        <item x="1"/>
        <item t="default"/>
      </items>
    </pivotField>
    <pivotField dataField="1" compact="0" outline="0" subtotalTop="0" showAll="0" includeNewItemsInFilter="1"/>
    <pivotField compact="0" outline="0" subtotalTop="0" showAll="0" includeNewItemsInFilter="1"/>
  </pivotFields>
  <rowFields count="1">
    <field x="2"/>
  </rowFields>
  <rowItems count="24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A_SHARE_SUB" fld="7" baseField="0" baseItem="0"/>
    <dataField name="Sum of A_SHARE_RED" fld="8" baseField="0" baseItem="0"/>
    <dataField name="Sum of A_OUTSTANDING" fld="9" baseField="0" baseItem="0"/>
  </dataFields>
  <formats count="1">
    <format dxfId="0">
      <pivotArea outline="0" fieldPosition="0">
        <references count="2">
          <reference field="4294967294" count="1" selected="0">
            <x v="2"/>
          </reference>
          <reference field="2" count="0" selected="0"/>
        </references>
      </pivotArea>
    </format>
  </formats>
  <pivotTableStyleInfo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885"/>
  <sheetViews>
    <sheetView workbookViewId="0">
      <selection activeCell="C38" sqref="C38"/>
    </sheetView>
  </sheetViews>
  <sheetFormatPr defaultRowHeight="12.75"/>
  <cols>
    <col min="1" max="1" width="8.28515625" bestFit="1" customWidth="1"/>
    <col min="2" max="2" width="9.7109375" bestFit="1" customWidth="1"/>
    <col min="3" max="3" width="17.5703125" bestFit="1" customWidth="1"/>
    <col min="4" max="5" width="9.7109375" bestFit="1" customWidth="1"/>
    <col min="6" max="7" width="14.85546875" bestFit="1" customWidth="1"/>
    <col min="8" max="9" width="15.85546875" bestFit="1" customWidth="1"/>
    <col min="10" max="10" width="16.42578125" bestFit="1" customWidth="1"/>
    <col min="11" max="11" width="16.5703125" bestFit="1" customWidth="1"/>
  </cols>
  <sheetData>
    <row r="1" spans="1:12">
      <c r="A1" t="s">
        <v>26</v>
      </c>
      <c r="B1" t="s">
        <v>25</v>
      </c>
      <c r="C1" t="s">
        <v>24</v>
      </c>
      <c r="D1" t="s">
        <v>23</v>
      </c>
      <c r="E1" t="s">
        <v>22</v>
      </c>
      <c r="F1" t="s">
        <v>21</v>
      </c>
      <c r="G1" t="s">
        <v>20</v>
      </c>
      <c r="H1" s="6" t="s">
        <v>19</v>
      </c>
      <c r="I1" s="6" t="s">
        <v>18</v>
      </c>
      <c r="J1" t="s">
        <v>17</v>
      </c>
      <c r="K1" t="s">
        <v>16</v>
      </c>
    </row>
    <row r="2" spans="1:12">
      <c r="A2" t="s">
        <v>1</v>
      </c>
      <c r="B2" s="3">
        <v>41549</v>
      </c>
      <c r="C2" s="3">
        <v>41549</v>
      </c>
      <c r="D2" t="s">
        <v>7</v>
      </c>
      <c r="E2" s="1">
        <v>20.464200000000002</v>
      </c>
      <c r="F2" s="1">
        <v>98327.607000000004</v>
      </c>
      <c r="G2" s="1">
        <v>34152.784</v>
      </c>
      <c r="H2" s="2">
        <v>1995460.48</v>
      </c>
      <c r="I2" s="2">
        <v>-693096.57</v>
      </c>
      <c r="J2" s="1">
        <v>116535880.19</v>
      </c>
      <c r="K2" s="1">
        <v>5694608.3820000002</v>
      </c>
    </row>
    <row r="3" spans="1:12">
      <c r="A3" t="s">
        <v>1</v>
      </c>
      <c r="B3" s="3">
        <v>41549</v>
      </c>
      <c r="C3" s="3">
        <v>41549</v>
      </c>
      <c r="D3" t="s">
        <v>12</v>
      </c>
      <c r="E3" s="1">
        <v>16.475200000000001</v>
      </c>
      <c r="F3" s="1">
        <v>8286.5110000000004</v>
      </c>
      <c r="G3" s="1">
        <v>0</v>
      </c>
      <c r="H3" s="2">
        <v>135391.65</v>
      </c>
      <c r="I3" s="2">
        <v>0</v>
      </c>
      <c r="J3" s="1">
        <v>14056268.02</v>
      </c>
      <c r="K3" s="1">
        <v>853177.74800000002</v>
      </c>
      <c r="L3" s="5"/>
    </row>
    <row r="4" spans="1:12">
      <c r="A4" t="s">
        <v>1</v>
      </c>
      <c r="B4" s="3">
        <v>41549</v>
      </c>
      <c r="C4" s="3">
        <v>41549</v>
      </c>
      <c r="D4" t="s">
        <v>6</v>
      </c>
      <c r="E4" s="1">
        <v>17.0913</v>
      </c>
      <c r="F4" s="1">
        <v>11741.258</v>
      </c>
      <c r="G4" s="1">
        <v>69.617000000000004</v>
      </c>
      <c r="H4" s="2">
        <v>199011.97</v>
      </c>
      <c r="I4" s="2">
        <v>-1180</v>
      </c>
      <c r="J4" s="1">
        <v>30604323.18</v>
      </c>
      <c r="K4" s="1">
        <v>1790632.3910000001</v>
      </c>
    </row>
    <row r="5" spans="1:12">
      <c r="A5" t="s">
        <v>1</v>
      </c>
      <c r="B5" s="3">
        <v>41549</v>
      </c>
      <c r="C5" s="3">
        <v>41549</v>
      </c>
      <c r="D5" t="s">
        <v>10</v>
      </c>
      <c r="E5" s="1">
        <v>16.5014</v>
      </c>
      <c r="F5" s="1">
        <v>6852</v>
      </c>
      <c r="G5" s="1">
        <v>693.98</v>
      </c>
      <c r="H5" s="2">
        <v>112342.72</v>
      </c>
      <c r="I5" s="2">
        <v>-11378.22</v>
      </c>
      <c r="J5" s="1">
        <v>123479201.48999999</v>
      </c>
      <c r="K5" s="1">
        <v>7482939.4529999997</v>
      </c>
    </row>
    <row r="6" spans="1:12">
      <c r="A6" t="s">
        <v>1</v>
      </c>
      <c r="B6" s="3">
        <v>41549</v>
      </c>
      <c r="C6" s="3">
        <v>41549</v>
      </c>
      <c r="D6" t="s">
        <v>5</v>
      </c>
      <c r="E6" s="1">
        <v>15.696099999999999</v>
      </c>
      <c r="F6" s="1">
        <v>0</v>
      </c>
      <c r="G6" s="1">
        <v>40856</v>
      </c>
      <c r="H6" s="2">
        <v>0</v>
      </c>
      <c r="I6" s="2">
        <v>-635931.81000000006</v>
      </c>
      <c r="J6" s="1">
        <v>39407180.68</v>
      </c>
      <c r="K6" s="1">
        <v>2510632.483</v>
      </c>
    </row>
    <row r="7" spans="1:12">
      <c r="A7" t="s">
        <v>1</v>
      </c>
      <c r="B7" s="3">
        <v>41549</v>
      </c>
      <c r="C7" s="3">
        <v>41549</v>
      </c>
      <c r="D7" t="s">
        <v>3</v>
      </c>
      <c r="E7" s="1">
        <v>10.067299999999999</v>
      </c>
      <c r="F7" s="1">
        <v>2111.6170000000002</v>
      </c>
      <c r="G7" s="1">
        <v>0</v>
      </c>
      <c r="H7" s="2">
        <v>21082.38</v>
      </c>
      <c r="I7" s="2">
        <v>0</v>
      </c>
      <c r="J7" s="1">
        <v>916675.53</v>
      </c>
      <c r="K7" s="1">
        <v>91054.395000000004</v>
      </c>
    </row>
    <row r="8" spans="1:12">
      <c r="A8" t="s">
        <v>1</v>
      </c>
      <c r="B8" s="3">
        <v>41549</v>
      </c>
      <c r="C8" s="3">
        <v>41549</v>
      </c>
      <c r="D8" t="s">
        <v>2</v>
      </c>
      <c r="E8" s="1">
        <v>15.703099999999999</v>
      </c>
      <c r="F8" s="1">
        <v>2662.723</v>
      </c>
      <c r="G8" s="1">
        <v>0</v>
      </c>
      <c r="H8" s="2">
        <v>41464.410000000003</v>
      </c>
      <c r="I8" s="2">
        <v>0</v>
      </c>
      <c r="J8" s="1">
        <v>23567473.870000001</v>
      </c>
      <c r="K8" s="1">
        <v>1500815.257</v>
      </c>
    </row>
    <row r="9" spans="1:12">
      <c r="A9" t="s">
        <v>1</v>
      </c>
      <c r="B9" s="3">
        <v>41550</v>
      </c>
      <c r="C9" s="3">
        <v>41550</v>
      </c>
      <c r="D9" t="s">
        <v>7</v>
      </c>
      <c r="E9" s="1">
        <v>20.417300000000001</v>
      </c>
      <c r="F9" s="1">
        <v>6422.5510000000004</v>
      </c>
      <c r="G9" s="1">
        <v>108327.36900000001</v>
      </c>
      <c r="H9" s="2">
        <v>131432.38</v>
      </c>
      <c r="I9" s="2">
        <v>-2216832.94</v>
      </c>
      <c r="J9" s="1">
        <v>114187793.54000001</v>
      </c>
      <c r="K9" s="1">
        <v>5592703.5640000002</v>
      </c>
      <c r="L9" s="4"/>
    </row>
    <row r="10" spans="1:12">
      <c r="A10" t="s">
        <v>1</v>
      </c>
      <c r="B10" s="3">
        <v>41550</v>
      </c>
      <c r="C10" s="3">
        <v>41550</v>
      </c>
      <c r="D10" t="s">
        <v>12</v>
      </c>
      <c r="E10" s="1">
        <v>16.436699999999998</v>
      </c>
      <c r="F10" s="1">
        <v>0</v>
      </c>
      <c r="G10" s="1">
        <v>2922.9929999999999</v>
      </c>
      <c r="H10" s="2">
        <v>0</v>
      </c>
      <c r="I10" s="2">
        <v>-48156.9</v>
      </c>
      <c r="J10" s="1">
        <v>13975384.1</v>
      </c>
      <c r="K10" s="1">
        <v>850254.755</v>
      </c>
    </row>
    <row r="11" spans="1:12">
      <c r="A11" t="s">
        <v>1</v>
      </c>
      <c r="B11" s="3">
        <v>41550</v>
      </c>
      <c r="C11" s="3">
        <v>41550</v>
      </c>
      <c r="D11" t="s">
        <v>6</v>
      </c>
      <c r="E11" s="1">
        <v>17.051400000000001</v>
      </c>
      <c r="F11" s="1">
        <v>0</v>
      </c>
      <c r="G11" s="1">
        <v>5095.8360000000002</v>
      </c>
      <c r="H11" s="2">
        <v>0</v>
      </c>
      <c r="I11" s="2">
        <v>-87094.45</v>
      </c>
      <c r="J11" s="1">
        <v>30445931.640000001</v>
      </c>
      <c r="K11" s="1">
        <v>1785536.5549999999</v>
      </c>
    </row>
    <row r="12" spans="1:12">
      <c r="A12" t="s">
        <v>1</v>
      </c>
      <c r="B12" s="3">
        <v>41550</v>
      </c>
      <c r="C12" s="3">
        <v>41550</v>
      </c>
      <c r="D12" t="s">
        <v>10</v>
      </c>
      <c r="E12" s="1">
        <v>16.561499999999999</v>
      </c>
      <c r="F12" s="1">
        <v>0</v>
      </c>
      <c r="G12" s="1">
        <v>8274.89</v>
      </c>
      <c r="H12" s="2">
        <v>0</v>
      </c>
      <c r="I12" s="2">
        <v>-136546.95000000001</v>
      </c>
      <c r="J12" s="1">
        <v>123791939.97</v>
      </c>
      <c r="K12" s="1">
        <v>7474664.5630000001</v>
      </c>
    </row>
    <row r="13" spans="1:12">
      <c r="A13" t="s">
        <v>1</v>
      </c>
      <c r="B13" s="3">
        <v>41550</v>
      </c>
      <c r="C13" s="3">
        <v>41550</v>
      </c>
      <c r="D13" t="s">
        <v>5</v>
      </c>
      <c r="E13" s="1">
        <v>15.660399999999999</v>
      </c>
      <c r="F13" s="1">
        <v>0</v>
      </c>
      <c r="G13" s="1">
        <v>23855</v>
      </c>
      <c r="H13" s="2">
        <v>0</v>
      </c>
      <c r="I13" s="2">
        <v>-374430.47</v>
      </c>
      <c r="J13" s="1">
        <v>38943964.5</v>
      </c>
      <c r="K13" s="1">
        <v>2486777.483</v>
      </c>
    </row>
    <row r="14" spans="1:12">
      <c r="A14" t="s">
        <v>1</v>
      </c>
      <c r="B14" s="3">
        <v>41550</v>
      </c>
      <c r="C14" s="3">
        <v>41550</v>
      </c>
      <c r="D14" t="s">
        <v>2</v>
      </c>
      <c r="E14" s="1">
        <v>15.667400000000001</v>
      </c>
      <c r="F14" s="1">
        <v>19385.439999999999</v>
      </c>
      <c r="G14" s="1">
        <v>2500</v>
      </c>
      <c r="H14" s="2">
        <v>304412.26</v>
      </c>
      <c r="I14" s="2">
        <v>-39257.85</v>
      </c>
      <c r="J14" s="1">
        <v>23778417.460000001</v>
      </c>
      <c r="K14" s="1">
        <v>1517700.6969999999</v>
      </c>
    </row>
    <row r="15" spans="1:12">
      <c r="A15" t="s">
        <v>1</v>
      </c>
      <c r="B15" s="3">
        <v>41551</v>
      </c>
      <c r="C15" s="3">
        <v>41551</v>
      </c>
      <c r="D15" t="s">
        <v>7</v>
      </c>
      <c r="E15" s="1">
        <v>20.280899999999999</v>
      </c>
      <c r="F15" s="1">
        <v>780.28899999999999</v>
      </c>
      <c r="G15" s="1">
        <v>21478.771000000001</v>
      </c>
      <c r="H15" s="2">
        <v>15931.41</v>
      </c>
      <c r="I15" s="2">
        <v>-438538.53</v>
      </c>
      <c r="J15" s="1">
        <v>113005492.25</v>
      </c>
      <c r="K15" s="1">
        <v>5572005.0820000004</v>
      </c>
    </row>
    <row r="16" spans="1:12">
      <c r="A16" t="s">
        <v>1</v>
      </c>
      <c r="B16" s="3">
        <v>41551</v>
      </c>
      <c r="C16" s="3">
        <v>41551</v>
      </c>
      <c r="D16" t="s">
        <v>12</v>
      </c>
      <c r="E16" s="1">
        <v>16.3263</v>
      </c>
      <c r="F16" s="1">
        <v>3491.5419999999999</v>
      </c>
      <c r="G16" s="1">
        <v>3188.741</v>
      </c>
      <c r="H16" s="2">
        <v>57389.43</v>
      </c>
      <c r="I16" s="2">
        <v>-52412.38</v>
      </c>
      <c r="J16" s="1">
        <v>13886429.42</v>
      </c>
      <c r="K16" s="1">
        <v>850557.55599999998</v>
      </c>
    </row>
    <row r="17" spans="1:11">
      <c r="A17" t="s">
        <v>1</v>
      </c>
      <c r="B17" s="3">
        <v>41551</v>
      </c>
      <c r="C17" s="3">
        <v>41551</v>
      </c>
      <c r="D17" t="s">
        <v>6</v>
      </c>
      <c r="E17" s="1">
        <v>16.936900000000001</v>
      </c>
      <c r="F17" s="1">
        <v>593.46100000000001</v>
      </c>
      <c r="G17" s="1">
        <v>14807.471</v>
      </c>
      <c r="H17" s="2">
        <v>10119.34</v>
      </c>
      <c r="I17" s="2">
        <v>-252488.1</v>
      </c>
      <c r="J17" s="1">
        <v>30000630.140000001</v>
      </c>
      <c r="K17" s="1">
        <v>1771322.5449999999</v>
      </c>
    </row>
    <row r="18" spans="1:11">
      <c r="A18" t="s">
        <v>1</v>
      </c>
      <c r="B18" s="3">
        <v>41551</v>
      </c>
      <c r="C18" s="3">
        <v>41551</v>
      </c>
      <c r="D18" t="s">
        <v>10</v>
      </c>
      <c r="E18" s="1">
        <v>16.444900000000001</v>
      </c>
      <c r="F18" s="1">
        <v>0</v>
      </c>
      <c r="G18" s="1">
        <v>533.78899999999999</v>
      </c>
      <c r="H18" s="2">
        <v>0</v>
      </c>
      <c r="I18" s="2">
        <v>-8840.33</v>
      </c>
      <c r="J18" s="1">
        <v>122911250.03</v>
      </c>
      <c r="K18" s="1">
        <v>7474130.7740000002</v>
      </c>
    </row>
    <row r="19" spans="1:11">
      <c r="A19" t="s">
        <v>1</v>
      </c>
      <c r="B19" s="3">
        <v>41551</v>
      </c>
      <c r="C19" s="3">
        <v>41551</v>
      </c>
      <c r="D19" t="s">
        <v>5</v>
      </c>
      <c r="E19" s="1">
        <v>15.5562</v>
      </c>
      <c r="F19" s="1">
        <v>0</v>
      </c>
      <c r="G19" s="1">
        <v>300693</v>
      </c>
      <c r="H19" s="2">
        <v>0</v>
      </c>
      <c r="I19" s="2">
        <v>-4708972.66</v>
      </c>
      <c r="J19" s="1">
        <v>34007082.950000003</v>
      </c>
      <c r="K19" s="1">
        <v>2186084.483</v>
      </c>
    </row>
    <row r="20" spans="1:11">
      <c r="A20" t="s">
        <v>1</v>
      </c>
      <c r="B20" s="3">
        <v>41551</v>
      </c>
      <c r="C20" s="3">
        <v>41551</v>
      </c>
      <c r="D20" t="s">
        <v>2</v>
      </c>
      <c r="E20" s="1">
        <v>15.5631</v>
      </c>
      <c r="F20" s="1">
        <v>12412.361999999999</v>
      </c>
      <c r="G20" s="1">
        <v>0</v>
      </c>
      <c r="H20" s="2">
        <v>194469.81</v>
      </c>
      <c r="I20" s="2">
        <v>0</v>
      </c>
      <c r="J20" s="1">
        <v>23813295.18</v>
      </c>
      <c r="K20" s="1">
        <v>1530113.0589999999</v>
      </c>
    </row>
    <row r="21" spans="1:11">
      <c r="A21" t="s">
        <v>1</v>
      </c>
      <c r="B21" s="3">
        <v>41554</v>
      </c>
      <c r="C21" s="3">
        <v>41554</v>
      </c>
      <c r="D21" t="s">
        <v>7</v>
      </c>
      <c r="E21" s="1">
        <v>20.384599999999999</v>
      </c>
      <c r="F21" s="1">
        <v>4716.7640000000001</v>
      </c>
      <c r="G21" s="1">
        <v>7176.5039999999999</v>
      </c>
      <c r="H21" s="2">
        <v>95660.23</v>
      </c>
      <c r="I21" s="2">
        <v>-145545.97</v>
      </c>
      <c r="J21" s="1">
        <v>113532706.91</v>
      </c>
      <c r="K21" s="1">
        <v>5569545.3420000002</v>
      </c>
    </row>
    <row r="22" spans="1:11">
      <c r="A22" t="s">
        <v>1</v>
      </c>
      <c r="B22" s="3">
        <v>41554</v>
      </c>
      <c r="C22" s="3">
        <v>41554</v>
      </c>
      <c r="D22" t="s">
        <v>12</v>
      </c>
      <c r="E22" s="1">
        <v>16.407699999999998</v>
      </c>
      <c r="F22" s="1">
        <v>10326.415000000001</v>
      </c>
      <c r="G22" s="1">
        <v>3857.8330000000001</v>
      </c>
      <c r="H22" s="2">
        <v>168592.14</v>
      </c>
      <c r="I22" s="2">
        <v>-62984.14</v>
      </c>
      <c r="J22" s="1">
        <v>14061798.970000001</v>
      </c>
      <c r="K22" s="1">
        <v>857026.13800000004</v>
      </c>
    </row>
    <row r="23" spans="1:11">
      <c r="A23" t="s">
        <v>1</v>
      </c>
      <c r="B23" s="3">
        <v>41554</v>
      </c>
      <c r="C23" s="3">
        <v>41554</v>
      </c>
      <c r="D23" t="s">
        <v>6</v>
      </c>
      <c r="E23" s="1">
        <v>17.0213</v>
      </c>
      <c r="F23" s="1">
        <v>241.35</v>
      </c>
      <c r="G23" s="1">
        <v>20647.171999999999</v>
      </c>
      <c r="H23" s="2">
        <v>4087.71</v>
      </c>
      <c r="I23" s="2">
        <v>-349699.08</v>
      </c>
      <c r="J23" s="1">
        <v>29802872.829999998</v>
      </c>
      <c r="K23" s="1">
        <v>1750916.723</v>
      </c>
    </row>
    <row r="24" spans="1:11">
      <c r="A24" t="s">
        <v>1</v>
      </c>
      <c r="B24" s="3">
        <v>41554</v>
      </c>
      <c r="C24" s="3">
        <v>41554</v>
      </c>
      <c r="D24" t="s">
        <v>10</v>
      </c>
      <c r="E24" s="1">
        <v>16.506</v>
      </c>
      <c r="F24" s="1">
        <v>7606.9459999999999</v>
      </c>
      <c r="G24" s="1">
        <v>0</v>
      </c>
      <c r="H24" s="2">
        <v>125095.05</v>
      </c>
      <c r="I24" s="2">
        <v>0</v>
      </c>
      <c r="J24" s="1">
        <v>123493345.56999999</v>
      </c>
      <c r="K24" s="1">
        <v>7481737.7199999997</v>
      </c>
    </row>
    <row r="25" spans="1:11">
      <c r="A25" t="s">
        <v>1</v>
      </c>
      <c r="B25" s="3">
        <v>41554</v>
      </c>
      <c r="C25" s="3">
        <v>41554</v>
      </c>
      <c r="D25" t="s">
        <v>5</v>
      </c>
      <c r="E25" s="1">
        <v>15.6366</v>
      </c>
      <c r="F25" s="1">
        <v>43029</v>
      </c>
      <c r="G25" s="1">
        <v>0</v>
      </c>
      <c r="H25" s="2">
        <v>669367.73</v>
      </c>
      <c r="I25" s="2">
        <v>0</v>
      </c>
      <c r="J25" s="1">
        <v>34855753.390000001</v>
      </c>
      <c r="K25" s="1">
        <v>2229113.483</v>
      </c>
    </row>
    <row r="26" spans="1:11">
      <c r="A26" t="s">
        <v>1</v>
      </c>
      <c r="B26" s="3">
        <v>41554</v>
      </c>
      <c r="C26" s="3">
        <v>41554</v>
      </c>
      <c r="D26" t="s">
        <v>2</v>
      </c>
      <c r="E26" s="1">
        <v>15.643599999999999</v>
      </c>
      <c r="F26" s="1">
        <v>6058.067</v>
      </c>
      <c r="G26" s="1">
        <v>0</v>
      </c>
      <c r="H26" s="2">
        <v>94281.94</v>
      </c>
      <c r="I26" s="2">
        <v>0</v>
      </c>
      <c r="J26" s="1">
        <v>24031196.84</v>
      </c>
      <c r="K26" s="1">
        <v>1536171.1259999999</v>
      </c>
    </row>
    <row r="27" spans="1:11">
      <c r="A27" t="s">
        <v>1</v>
      </c>
      <c r="B27" s="3">
        <v>41555</v>
      </c>
      <c r="C27" s="3">
        <v>41555</v>
      </c>
      <c r="D27" t="s">
        <v>8</v>
      </c>
      <c r="E27" s="1">
        <v>16.422799999999999</v>
      </c>
      <c r="F27" s="1">
        <v>16.431000000000001</v>
      </c>
      <c r="G27" s="1">
        <v>0</v>
      </c>
      <c r="H27" s="2">
        <v>271.52999999999997</v>
      </c>
      <c r="I27" s="2">
        <v>0</v>
      </c>
      <c r="J27" s="1">
        <v>27023.65</v>
      </c>
      <c r="K27" s="1">
        <v>1645.492</v>
      </c>
    </row>
    <row r="28" spans="1:11">
      <c r="A28" t="s">
        <v>1</v>
      </c>
      <c r="B28" s="3">
        <v>41555</v>
      </c>
      <c r="C28" s="3">
        <v>41555</v>
      </c>
      <c r="D28" t="s">
        <v>7</v>
      </c>
      <c r="E28" s="1">
        <v>20.2575</v>
      </c>
      <c r="F28" s="1">
        <v>49697.184999999998</v>
      </c>
      <c r="G28" s="1">
        <v>47547.516000000003</v>
      </c>
      <c r="H28" s="2">
        <v>1013057.23</v>
      </c>
      <c r="I28" s="2">
        <v>-969237.09</v>
      </c>
      <c r="J28" s="1">
        <v>112868431.36</v>
      </c>
      <c r="K28" s="1">
        <v>5571695.0109999999</v>
      </c>
    </row>
    <row r="29" spans="1:11">
      <c r="A29" t="s">
        <v>1</v>
      </c>
      <c r="B29" s="3">
        <v>41555</v>
      </c>
      <c r="C29" s="3">
        <v>41555</v>
      </c>
      <c r="D29" t="s">
        <v>12</v>
      </c>
      <c r="E29" s="1">
        <v>16.3047</v>
      </c>
      <c r="F29" s="1">
        <v>3488.91</v>
      </c>
      <c r="G29" s="1">
        <v>18286.335999999999</v>
      </c>
      <c r="H29" s="2">
        <v>57244.99</v>
      </c>
      <c r="I29" s="2">
        <v>-300036.73</v>
      </c>
      <c r="J29" s="1">
        <v>13732284.4</v>
      </c>
      <c r="K29" s="1">
        <v>842228.71200000006</v>
      </c>
    </row>
    <row r="30" spans="1:11">
      <c r="A30" t="s">
        <v>1</v>
      </c>
      <c r="B30" s="3">
        <v>41555</v>
      </c>
      <c r="C30" s="3">
        <v>41555</v>
      </c>
      <c r="D30" t="s">
        <v>6</v>
      </c>
      <c r="E30" s="1">
        <v>16.9145</v>
      </c>
      <c r="F30" s="1">
        <v>6927.491</v>
      </c>
      <c r="G30" s="1">
        <v>3106.3580000000002</v>
      </c>
      <c r="H30" s="2">
        <v>117914.91</v>
      </c>
      <c r="I30" s="2">
        <v>-52874.26</v>
      </c>
      <c r="J30" s="1">
        <v>29680473.780000001</v>
      </c>
      <c r="K30" s="1">
        <v>1754737.8559999999</v>
      </c>
    </row>
    <row r="31" spans="1:11">
      <c r="A31" t="s">
        <v>1</v>
      </c>
      <c r="B31" s="3">
        <v>41555</v>
      </c>
      <c r="C31" s="3">
        <v>41555</v>
      </c>
      <c r="D31" t="s">
        <v>10</v>
      </c>
      <c r="E31" s="1">
        <v>16.396999999999998</v>
      </c>
      <c r="F31" s="1">
        <v>2</v>
      </c>
      <c r="G31" s="1">
        <v>279.65600000000001</v>
      </c>
      <c r="H31" s="2">
        <v>33.020000000000003</v>
      </c>
      <c r="I31" s="2">
        <v>-4616.01</v>
      </c>
      <c r="J31" s="1">
        <v>122673525.59</v>
      </c>
      <c r="K31" s="1">
        <v>7481460.0640000002</v>
      </c>
    </row>
    <row r="32" spans="1:11">
      <c r="A32" t="s">
        <v>1</v>
      </c>
      <c r="B32" s="3">
        <v>41555</v>
      </c>
      <c r="C32" s="3">
        <v>41555</v>
      </c>
      <c r="D32" t="s">
        <v>5</v>
      </c>
      <c r="E32" s="1">
        <v>15.539400000000001</v>
      </c>
      <c r="F32" s="1">
        <v>36493</v>
      </c>
      <c r="G32" s="1">
        <v>464967</v>
      </c>
      <c r="H32" s="2">
        <v>570626.43999999994</v>
      </c>
      <c r="I32" s="2">
        <v>-7270502.9900000002</v>
      </c>
      <c r="J32" s="1">
        <v>27980916.859999999</v>
      </c>
      <c r="K32" s="1">
        <v>1800639.483</v>
      </c>
    </row>
    <row r="33" spans="1:11">
      <c r="A33" t="s">
        <v>1</v>
      </c>
      <c r="B33" s="3">
        <v>41555</v>
      </c>
      <c r="C33" s="3">
        <v>41555</v>
      </c>
      <c r="D33" t="s">
        <v>4</v>
      </c>
      <c r="E33" s="1">
        <v>10.202500000000001</v>
      </c>
      <c r="F33" s="1">
        <v>9753.625</v>
      </c>
      <c r="G33" s="1">
        <v>0</v>
      </c>
      <c r="H33" s="2">
        <v>100135.59</v>
      </c>
      <c r="I33" s="2">
        <v>0</v>
      </c>
      <c r="J33" s="1">
        <v>134394.67000000001</v>
      </c>
      <c r="K33" s="1">
        <v>13172.727999999999</v>
      </c>
    </row>
    <row r="34" spans="1:11">
      <c r="A34" t="s">
        <v>1</v>
      </c>
      <c r="B34" s="3">
        <v>41555</v>
      </c>
      <c r="C34" s="3">
        <v>41555</v>
      </c>
      <c r="D34" t="s">
        <v>2</v>
      </c>
      <c r="E34" s="1">
        <v>15.5464</v>
      </c>
      <c r="F34" s="1">
        <v>1027.2529999999999</v>
      </c>
      <c r="G34" s="1">
        <v>0</v>
      </c>
      <c r="H34" s="2">
        <v>16070</v>
      </c>
      <c r="I34" s="2">
        <v>0</v>
      </c>
      <c r="J34" s="1">
        <v>23897837.66</v>
      </c>
      <c r="K34" s="1">
        <v>1537198.379</v>
      </c>
    </row>
    <row r="35" spans="1:11">
      <c r="A35" t="s">
        <v>1</v>
      </c>
      <c r="B35" s="3">
        <v>41555</v>
      </c>
      <c r="C35" s="3">
        <v>41555</v>
      </c>
      <c r="D35" t="s">
        <v>9</v>
      </c>
      <c r="E35" s="1">
        <v>16.408100000000001</v>
      </c>
      <c r="F35" s="1">
        <v>0</v>
      </c>
      <c r="G35" s="1">
        <v>1.792</v>
      </c>
      <c r="H35" s="2">
        <v>0</v>
      </c>
      <c r="I35" s="2">
        <v>-29.58</v>
      </c>
      <c r="J35" s="1">
        <v>373366.81</v>
      </c>
      <c r="K35" s="1">
        <v>22755.016</v>
      </c>
    </row>
    <row r="36" spans="1:11">
      <c r="A36" t="s">
        <v>1</v>
      </c>
      <c r="B36" s="3">
        <v>41556</v>
      </c>
      <c r="C36" s="3">
        <v>41556</v>
      </c>
      <c r="D36" t="s">
        <v>7</v>
      </c>
      <c r="E36" s="1">
        <v>20.013400000000001</v>
      </c>
      <c r="F36" s="1">
        <v>2551.817</v>
      </c>
      <c r="G36" s="1">
        <v>12205.045</v>
      </c>
      <c r="H36" s="2">
        <v>51693.45</v>
      </c>
      <c r="I36" s="2">
        <v>-247243.7</v>
      </c>
      <c r="J36" s="1">
        <v>111315556.70999999</v>
      </c>
      <c r="K36" s="1">
        <v>5562041.7829999998</v>
      </c>
    </row>
    <row r="37" spans="1:11">
      <c r="A37" t="s">
        <v>1</v>
      </c>
      <c r="B37" s="3">
        <v>41556</v>
      </c>
      <c r="C37" s="3">
        <v>41556</v>
      </c>
      <c r="D37" t="s">
        <v>12</v>
      </c>
      <c r="E37" s="1">
        <v>16.099499999999999</v>
      </c>
      <c r="F37" s="1">
        <v>30215.938999999998</v>
      </c>
      <c r="G37" s="1">
        <v>4396.0029999999997</v>
      </c>
      <c r="H37" s="2">
        <v>492661.81</v>
      </c>
      <c r="I37" s="2">
        <v>-71675.509999999995</v>
      </c>
      <c r="J37" s="1">
        <v>13975142.32</v>
      </c>
      <c r="K37" s="1">
        <v>868048.64800000004</v>
      </c>
    </row>
    <row r="38" spans="1:11">
      <c r="A38" t="s">
        <v>1</v>
      </c>
      <c r="B38" s="3">
        <v>41556</v>
      </c>
      <c r="C38" s="3">
        <v>41556</v>
      </c>
      <c r="D38" t="s">
        <v>6</v>
      </c>
      <c r="E38" s="1">
        <v>16.710799999999999</v>
      </c>
      <c r="F38" s="1">
        <v>25067.602999999999</v>
      </c>
      <c r="G38" s="1">
        <v>24508.745999999999</v>
      </c>
      <c r="H38" s="2">
        <v>424005.97</v>
      </c>
      <c r="I38" s="2">
        <v>-414553.18</v>
      </c>
      <c r="J38" s="1">
        <v>29332377.140000001</v>
      </c>
      <c r="K38" s="1">
        <v>1755296.713</v>
      </c>
    </row>
    <row r="39" spans="1:11">
      <c r="A39" t="s">
        <v>1</v>
      </c>
      <c r="B39" s="3">
        <v>41556</v>
      </c>
      <c r="C39" s="3">
        <v>41556</v>
      </c>
      <c r="D39" t="s">
        <v>10</v>
      </c>
      <c r="E39" s="1">
        <v>16.137599999999999</v>
      </c>
      <c r="F39" s="1">
        <v>0</v>
      </c>
      <c r="G39" s="1">
        <v>728.36199999999997</v>
      </c>
      <c r="H39" s="2">
        <v>0</v>
      </c>
      <c r="I39" s="2">
        <v>-11942.92</v>
      </c>
      <c r="J39" s="1">
        <v>120720769.09999999</v>
      </c>
      <c r="K39" s="1">
        <v>7480731.7019999996</v>
      </c>
    </row>
    <row r="40" spans="1:11">
      <c r="A40" t="s">
        <v>1</v>
      </c>
      <c r="B40" s="3">
        <v>41556</v>
      </c>
      <c r="C40" s="3">
        <v>41556</v>
      </c>
      <c r="D40" t="s">
        <v>5</v>
      </c>
      <c r="E40" s="1">
        <v>15.353</v>
      </c>
      <c r="F40" s="1">
        <v>33788</v>
      </c>
      <c r="G40" s="1">
        <v>0</v>
      </c>
      <c r="H40" s="2">
        <v>525045.25</v>
      </c>
      <c r="I40" s="2">
        <v>0</v>
      </c>
      <c r="J40" s="1">
        <v>28163886.27</v>
      </c>
      <c r="K40" s="1">
        <v>1834427.483</v>
      </c>
    </row>
    <row r="41" spans="1:11">
      <c r="A41" t="s">
        <v>1</v>
      </c>
      <c r="B41" s="3">
        <v>41556</v>
      </c>
      <c r="C41" s="3">
        <v>41556</v>
      </c>
      <c r="D41" t="s">
        <v>2</v>
      </c>
      <c r="E41" s="1">
        <v>15.358000000000001</v>
      </c>
      <c r="F41" s="1">
        <v>5134.4679999999998</v>
      </c>
      <c r="G41" s="1">
        <v>0</v>
      </c>
      <c r="H41" s="2">
        <v>79822.850000000006</v>
      </c>
      <c r="I41" s="2">
        <v>0</v>
      </c>
      <c r="J41" s="1">
        <v>23687120.859999999</v>
      </c>
      <c r="K41" s="1">
        <v>1542332.8470000001</v>
      </c>
    </row>
    <row r="42" spans="1:11">
      <c r="A42" t="s">
        <v>1</v>
      </c>
      <c r="B42" s="3">
        <v>41556</v>
      </c>
      <c r="C42" s="3">
        <v>41556</v>
      </c>
      <c r="D42" t="s">
        <v>9</v>
      </c>
      <c r="E42" s="1">
        <v>16.206099999999999</v>
      </c>
      <c r="F42" s="1">
        <v>0</v>
      </c>
      <c r="G42" s="1">
        <v>199.86600000000001</v>
      </c>
      <c r="H42" s="2">
        <v>0</v>
      </c>
      <c r="I42" s="2">
        <v>-3279.43</v>
      </c>
      <c r="J42" s="1">
        <v>365530.68</v>
      </c>
      <c r="K42" s="1">
        <v>22555.15</v>
      </c>
    </row>
    <row r="43" spans="1:11">
      <c r="A43" t="s">
        <v>1</v>
      </c>
      <c r="B43" s="3">
        <v>41557</v>
      </c>
      <c r="C43" s="3">
        <v>41557</v>
      </c>
      <c r="D43" t="s">
        <v>7</v>
      </c>
      <c r="E43" s="1">
        <v>20.040800000000001</v>
      </c>
      <c r="F43" s="1">
        <v>60817.067000000003</v>
      </c>
      <c r="G43" s="1">
        <v>349.50200000000001</v>
      </c>
      <c r="H43" s="2">
        <v>1217156.32</v>
      </c>
      <c r="I43" s="2">
        <v>-6994.72</v>
      </c>
      <c r="J43" s="1">
        <v>112679852.3</v>
      </c>
      <c r="K43" s="1">
        <v>5622509.3480000002</v>
      </c>
    </row>
    <row r="44" spans="1:11">
      <c r="A44" t="s">
        <v>1</v>
      </c>
      <c r="B44" s="3">
        <v>41557</v>
      </c>
      <c r="C44" s="3">
        <v>41557</v>
      </c>
      <c r="D44" t="s">
        <v>12</v>
      </c>
      <c r="E44" s="1">
        <v>16.120899999999999</v>
      </c>
      <c r="F44" s="1">
        <v>28914.11</v>
      </c>
      <c r="G44" s="1">
        <v>518.86599999999999</v>
      </c>
      <c r="H44" s="2">
        <v>465502.71</v>
      </c>
      <c r="I44" s="2">
        <v>-8353.48</v>
      </c>
      <c r="J44" s="1">
        <v>14451467.289999999</v>
      </c>
      <c r="K44" s="1">
        <v>896443.89199999999</v>
      </c>
    </row>
    <row r="45" spans="1:11">
      <c r="A45" t="s">
        <v>1</v>
      </c>
      <c r="B45" s="3">
        <v>41557</v>
      </c>
      <c r="C45" s="3">
        <v>41557</v>
      </c>
      <c r="D45" t="s">
        <v>6</v>
      </c>
      <c r="E45" s="1">
        <v>16.733000000000001</v>
      </c>
      <c r="F45" s="1">
        <v>8899.73</v>
      </c>
      <c r="G45" s="1">
        <v>189.369</v>
      </c>
      <c r="H45" s="2">
        <v>148721.60999999999</v>
      </c>
      <c r="I45" s="2">
        <v>-3164.51</v>
      </c>
      <c r="J45" s="1">
        <v>29517100.73</v>
      </c>
      <c r="K45" s="1">
        <v>1764007.074</v>
      </c>
    </row>
    <row r="46" spans="1:11">
      <c r="A46" t="s">
        <v>1</v>
      </c>
      <c r="B46" s="3">
        <v>41557</v>
      </c>
      <c r="C46" s="3">
        <v>41557</v>
      </c>
      <c r="D46" t="s">
        <v>10</v>
      </c>
      <c r="E46" s="1">
        <v>16.169899999999998</v>
      </c>
      <c r="F46" s="1">
        <v>0</v>
      </c>
      <c r="G46" s="1">
        <v>351.86200000000002</v>
      </c>
      <c r="H46" s="2">
        <v>0</v>
      </c>
      <c r="I46" s="2">
        <v>-5678.19</v>
      </c>
      <c r="J46" s="1">
        <v>120956955.47</v>
      </c>
      <c r="K46" s="1">
        <v>7480379.8399999999</v>
      </c>
    </row>
    <row r="47" spans="1:11">
      <c r="A47" t="s">
        <v>1</v>
      </c>
      <c r="B47" s="3">
        <v>41557</v>
      </c>
      <c r="C47" s="3">
        <v>41557</v>
      </c>
      <c r="D47" t="s">
        <v>5</v>
      </c>
      <c r="E47" s="1">
        <v>15.3743</v>
      </c>
      <c r="F47" s="1">
        <v>0</v>
      </c>
      <c r="G47" s="1">
        <v>40626</v>
      </c>
      <c r="H47" s="2">
        <v>0</v>
      </c>
      <c r="I47" s="2">
        <v>-623730.98</v>
      </c>
      <c r="J47" s="1">
        <v>27578444.780000001</v>
      </c>
      <c r="K47" s="1">
        <v>1793801.483</v>
      </c>
    </row>
    <row r="48" spans="1:11">
      <c r="A48" t="s">
        <v>1</v>
      </c>
      <c r="B48" s="3">
        <v>41557</v>
      </c>
      <c r="C48" s="3">
        <v>41557</v>
      </c>
      <c r="D48" t="s">
        <v>2</v>
      </c>
      <c r="E48" s="1">
        <v>15.379300000000001</v>
      </c>
      <c r="F48" s="1">
        <v>3183.8829999999998</v>
      </c>
      <c r="G48" s="1">
        <v>0</v>
      </c>
      <c r="H48" s="2">
        <v>48898.18</v>
      </c>
      <c r="I48" s="2">
        <v>0</v>
      </c>
      <c r="J48" s="1">
        <v>23769019.600000001</v>
      </c>
      <c r="K48" s="1">
        <v>1545516.73</v>
      </c>
    </row>
    <row r="49" spans="1:11">
      <c r="A49" t="s">
        <v>1</v>
      </c>
      <c r="B49" s="3">
        <v>41557</v>
      </c>
      <c r="C49" s="3">
        <v>41557</v>
      </c>
      <c r="D49" t="s">
        <v>9</v>
      </c>
      <c r="E49" s="1">
        <v>16.2285</v>
      </c>
      <c r="F49" s="1">
        <v>0</v>
      </c>
      <c r="G49" s="1">
        <v>3.1309999999999998</v>
      </c>
      <c r="H49" s="2">
        <v>0</v>
      </c>
      <c r="I49" s="2">
        <v>-50.74</v>
      </c>
      <c r="J49" s="1">
        <v>365985.58</v>
      </c>
      <c r="K49" s="1">
        <v>22552.019</v>
      </c>
    </row>
    <row r="50" spans="1:11">
      <c r="A50" t="s">
        <v>1</v>
      </c>
      <c r="B50" s="3">
        <v>41558</v>
      </c>
      <c r="C50" s="3">
        <v>41558</v>
      </c>
      <c r="D50" t="s">
        <v>7</v>
      </c>
      <c r="E50" s="1">
        <v>20.516200000000001</v>
      </c>
      <c r="F50" s="1">
        <v>474036.65</v>
      </c>
      <c r="G50" s="1">
        <v>818.87900000000002</v>
      </c>
      <c r="H50" s="2">
        <v>9500073.6999999993</v>
      </c>
      <c r="I50" s="2">
        <v>-16411</v>
      </c>
      <c r="J50" s="1">
        <v>125061402.73</v>
      </c>
      <c r="K50" s="1">
        <v>6095727.1189999999</v>
      </c>
    </row>
    <row r="51" spans="1:11">
      <c r="A51" t="s">
        <v>1</v>
      </c>
      <c r="B51" s="3">
        <v>41558</v>
      </c>
      <c r="C51" s="3">
        <v>41558</v>
      </c>
      <c r="D51" t="s">
        <v>6</v>
      </c>
      <c r="E51" s="1">
        <v>17.129200000000001</v>
      </c>
      <c r="F51" s="1">
        <v>40.773000000000003</v>
      </c>
      <c r="G51" s="1">
        <v>446.71199999999999</v>
      </c>
      <c r="H51" s="2">
        <v>682.25</v>
      </c>
      <c r="I51" s="2">
        <v>-7474.84</v>
      </c>
      <c r="J51" s="1">
        <v>30209120.75</v>
      </c>
      <c r="K51" s="1">
        <v>1763601.135</v>
      </c>
    </row>
    <row r="52" spans="1:11">
      <c r="A52" t="s">
        <v>1</v>
      </c>
      <c r="B52" s="3">
        <v>41558</v>
      </c>
      <c r="C52" s="3">
        <v>41558</v>
      </c>
      <c r="D52" t="s">
        <v>10</v>
      </c>
      <c r="E52" s="1">
        <v>16.601099999999999</v>
      </c>
      <c r="F52" s="1">
        <v>0</v>
      </c>
      <c r="G52" s="1">
        <v>1129.471</v>
      </c>
      <c r="H52" s="2">
        <v>0</v>
      </c>
      <c r="I52" s="2">
        <v>-18263.48</v>
      </c>
      <c r="J52" s="1">
        <v>124163992.33</v>
      </c>
      <c r="K52" s="1">
        <v>7479250.3689999999</v>
      </c>
    </row>
    <row r="53" spans="1:11">
      <c r="A53" t="s">
        <v>1</v>
      </c>
      <c r="B53" s="3">
        <v>41558</v>
      </c>
      <c r="C53" s="3">
        <v>41558</v>
      </c>
      <c r="D53" t="s">
        <v>5</v>
      </c>
      <c r="E53" s="1">
        <v>15.7393</v>
      </c>
      <c r="F53" s="1">
        <v>49330</v>
      </c>
      <c r="G53" s="1">
        <v>0</v>
      </c>
      <c r="H53" s="2">
        <v>758414.22</v>
      </c>
      <c r="I53" s="2">
        <v>0</v>
      </c>
      <c r="J53" s="1">
        <v>29009630.77</v>
      </c>
      <c r="K53" s="1">
        <v>1843131.483</v>
      </c>
    </row>
    <row r="54" spans="1:11">
      <c r="A54" t="s">
        <v>1</v>
      </c>
      <c r="B54" s="3">
        <v>41558</v>
      </c>
      <c r="C54" s="3">
        <v>41558</v>
      </c>
      <c r="D54" t="s">
        <v>2</v>
      </c>
      <c r="E54" s="1">
        <v>15.7445</v>
      </c>
      <c r="F54" s="1">
        <v>8810.9809999999998</v>
      </c>
      <c r="G54" s="1">
        <v>0</v>
      </c>
      <c r="H54" s="2">
        <v>135506.48000000001</v>
      </c>
      <c r="I54" s="2">
        <v>0</v>
      </c>
      <c r="J54" s="1">
        <v>24472065.73</v>
      </c>
      <c r="K54" s="1">
        <v>1554327.7109999999</v>
      </c>
    </row>
    <row r="55" spans="1:11">
      <c r="A55" t="s">
        <v>1</v>
      </c>
      <c r="B55" s="3">
        <v>41558</v>
      </c>
      <c r="C55" s="3">
        <v>41558</v>
      </c>
      <c r="D55" t="s">
        <v>9</v>
      </c>
      <c r="E55" s="1">
        <v>16.613700000000001</v>
      </c>
      <c r="F55" s="1">
        <v>9.0139999999999993</v>
      </c>
      <c r="G55" s="1">
        <v>0</v>
      </c>
      <c r="H55" s="2">
        <v>146.28</v>
      </c>
      <c r="I55" s="2">
        <v>0</v>
      </c>
      <c r="J55" s="1">
        <v>374822.03</v>
      </c>
      <c r="K55" s="1">
        <v>22561.032999999999</v>
      </c>
    </row>
    <row r="56" spans="1:11">
      <c r="A56" t="s">
        <v>1</v>
      </c>
      <c r="B56" s="3">
        <v>41561</v>
      </c>
      <c r="C56" s="3">
        <v>41561</v>
      </c>
      <c r="D56" t="s">
        <v>8</v>
      </c>
      <c r="E56" s="1">
        <v>16.638100000000001</v>
      </c>
      <c r="F56" s="1">
        <v>16.347999999999999</v>
      </c>
      <c r="G56" s="1">
        <v>0</v>
      </c>
      <c r="H56" s="2">
        <v>271.37</v>
      </c>
      <c r="I56" s="2">
        <v>0</v>
      </c>
      <c r="J56" s="1">
        <v>27649.78</v>
      </c>
      <c r="K56" s="1">
        <v>1661.84</v>
      </c>
    </row>
    <row r="57" spans="1:11">
      <c r="A57" t="s">
        <v>1</v>
      </c>
      <c r="B57" s="3">
        <v>41561</v>
      </c>
      <c r="C57" s="3">
        <v>41561</v>
      </c>
      <c r="D57" t="s">
        <v>7</v>
      </c>
      <c r="E57" s="1">
        <v>20.563600000000001</v>
      </c>
      <c r="F57" s="1">
        <v>29688.428</v>
      </c>
      <c r="G57" s="1">
        <v>43642.457999999999</v>
      </c>
      <c r="H57" s="2">
        <v>609093.73</v>
      </c>
      <c r="I57" s="2">
        <v>-895377.39</v>
      </c>
      <c r="J57" s="1">
        <v>125063279.55</v>
      </c>
      <c r="K57" s="1">
        <v>6081773.0889999997</v>
      </c>
    </row>
    <row r="58" spans="1:11">
      <c r="A58" t="s">
        <v>1</v>
      </c>
      <c r="B58" s="3">
        <v>41561</v>
      </c>
      <c r="C58" s="3">
        <v>41561</v>
      </c>
      <c r="D58" t="s">
        <v>12</v>
      </c>
      <c r="E58" s="1">
        <v>16.538699999999999</v>
      </c>
      <c r="F58" s="1">
        <v>30837.29</v>
      </c>
      <c r="G58" s="1">
        <v>3830.9720000000002</v>
      </c>
      <c r="H58" s="2">
        <v>508895.5</v>
      </c>
      <c r="I58" s="2">
        <v>-63221</v>
      </c>
      <c r="J58" s="1">
        <v>15272672.25</v>
      </c>
      <c r="K58" s="1">
        <v>923450.21</v>
      </c>
    </row>
    <row r="59" spans="1:11">
      <c r="A59" t="s">
        <v>1</v>
      </c>
      <c r="B59" s="3">
        <v>41561</v>
      </c>
      <c r="C59" s="3">
        <v>41561</v>
      </c>
      <c r="D59" t="s">
        <v>6</v>
      </c>
      <c r="E59" s="1">
        <v>17.166699999999999</v>
      </c>
      <c r="F59" s="1">
        <v>17592.401999999998</v>
      </c>
      <c r="G59" s="1">
        <v>21301.686000000002</v>
      </c>
      <c r="H59" s="2">
        <v>301343.76</v>
      </c>
      <c r="I59" s="2">
        <v>-364880.83</v>
      </c>
      <c r="J59" s="1">
        <v>30211486.48</v>
      </c>
      <c r="K59" s="1">
        <v>1759891.851</v>
      </c>
    </row>
    <row r="60" spans="1:11">
      <c r="A60" t="s">
        <v>1</v>
      </c>
      <c r="B60" s="3">
        <v>41561</v>
      </c>
      <c r="C60" s="3">
        <v>41561</v>
      </c>
      <c r="D60" t="s">
        <v>10</v>
      </c>
      <c r="E60" s="1">
        <v>16.628499999999999</v>
      </c>
      <c r="F60" s="1">
        <v>0</v>
      </c>
      <c r="G60" s="1">
        <v>4319.4560000000001</v>
      </c>
      <c r="H60" s="2">
        <v>0</v>
      </c>
      <c r="I60" s="2">
        <v>-71707.56</v>
      </c>
      <c r="J60" s="1">
        <v>124297200.41</v>
      </c>
      <c r="K60" s="1">
        <v>7474930.9129999997</v>
      </c>
    </row>
    <row r="61" spans="1:11">
      <c r="A61" t="s">
        <v>1</v>
      </c>
      <c r="B61" s="3">
        <v>41561</v>
      </c>
      <c r="C61" s="3">
        <v>41561</v>
      </c>
      <c r="D61" t="s">
        <v>5</v>
      </c>
      <c r="E61" s="1">
        <v>15.7766</v>
      </c>
      <c r="F61" s="1">
        <v>174697</v>
      </c>
      <c r="G61" s="1">
        <v>0</v>
      </c>
      <c r="H61" s="2">
        <v>2749608.49</v>
      </c>
      <c r="I61" s="2">
        <v>0</v>
      </c>
      <c r="J61" s="1">
        <v>31834543.039999999</v>
      </c>
      <c r="K61" s="1">
        <v>2017828.483</v>
      </c>
    </row>
    <row r="62" spans="1:11">
      <c r="A62" t="s">
        <v>1</v>
      </c>
      <c r="B62" s="3">
        <v>41561</v>
      </c>
      <c r="C62" s="3">
        <v>41561</v>
      </c>
      <c r="D62" t="s">
        <v>2</v>
      </c>
      <c r="E62" s="1">
        <v>15.7818</v>
      </c>
      <c r="F62" s="1">
        <v>41091.050000000003</v>
      </c>
      <c r="G62" s="1">
        <v>0</v>
      </c>
      <c r="H62" s="2">
        <v>646958.93000000005</v>
      </c>
      <c r="I62" s="2">
        <v>0</v>
      </c>
      <c r="J62" s="1">
        <v>25178583.93</v>
      </c>
      <c r="K62" s="1">
        <v>1595418.7609999999</v>
      </c>
    </row>
    <row r="63" spans="1:11">
      <c r="A63" t="s">
        <v>1</v>
      </c>
      <c r="B63" s="3">
        <v>41562</v>
      </c>
      <c r="C63" s="3">
        <v>41562</v>
      </c>
      <c r="D63" t="s">
        <v>7</v>
      </c>
      <c r="E63" s="1">
        <v>20.657699999999998</v>
      </c>
      <c r="F63" s="1">
        <v>106845.342</v>
      </c>
      <c r="G63" s="1">
        <v>19301.244999999999</v>
      </c>
      <c r="H63" s="2">
        <v>2197124.89</v>
      </c>
      <c r="I63" s="2">
        <v>-396903.1</v>
      </c>
      <c r="J63" s="1">
        <v>127443756.98999999</v>
      </c>
      <c r="K63" s="1">
        <v>6169317.1859999998</v>
      </c>
    </row>
    <row r="64" spans="1:11">
      <c r="A64" t="s">
        <v>1</v>
      </c>
      <c r="B64" s="3">
        <v>41562</v>
      </c>
      <c r="C64" s="3">
        <v>41562</v>
      </c>
      <c r="D64" t="s">
        <v>12</v>
      </c>
      <c r="E64" s="1">
        <v>16.613700000000001</v>
      </c>
      <c r="F64" s="1">
        <v>6786.0590000000002</v>
      </c>
      <c r="G64" s="1">
        <v>55292.053</v>
      </c>
      <c r="H64" s="2">
        <v>112232.6</v>
      </c>
      <c r="I64" s="2">
        <v>-914458.67</v>
      </c>
      <c r="J64" s="1">
        <v>14536037.25</v>
      </c>
      <c r="K64" s="1">
        <v>874944.21600000001</v>
      </c>
    </row>
    <row r="65" spans="1:11">
      <c r="A65" t="s">
        <v>1</v>
      </c>
      <c r="B65" s="3">
        <v>41562</v>
      </c>
      <c r="C65" s="3">
        <v>41562</v>
      </c>
      <c r="D65" t="s">
        <v>6</v>
      </c>
      <c r="E65" s="1">
        <v>17.244499999999999</v>
      </c>
      <c r="F65" s="1">
        <v>3152.5050000000001</v>
      </c>
      <c r="G65" s="1">
        <v>11049.766</v>
      </c>
      <c r="H65" s="2">
        <v>54118.1</v>
      </c>
      <c r="I65" s="2">
        <v>-189688.01</v>
      </c>
      <c r="J65" s="1">
        <v>30212243.52</v>
      </c>
      <c r="K65" s="1">
        <v>1751994.59</v>
      </c>
    </row>
    <row r="66" spans="1:11">
      <c r="A66" t="s">
        <v>1</v>
      </c>
      <c r="B66" s="3">
        <v>41562</v>
      </c>
      <c r="C66" s="3">
        <v>41562</v>
      </c>
      <c r="D66" t="s">
        <v>10</v>
      </c>
      <c r="E66" s="1">
        <v>16.618600000000001</v>
      </c>
      <c r="F66" s="1">
        <v>17</v>
      </c>
      <c r="G66" s="1">
        <v>872.51499999999999</v>
      </c>
      <c r="H66" s="2">
        <v>282.69</v>
      </c>
      <c r="I66" s="2">
        <v>-14508.67</v>
      </c>
      <c r="J66" s="1">
        <v>124208407.64</v>
      </c>
      <c r="K66" s="1">
        <v>7474075.398</v>
      </c>
    </row>
    <row r="67" spans="1:11">
      <c r="A67" t="s">
        <v>1</v>
      </c>
      <c r="B67" s="3">
        <v>41562</v>
      </c>
      <c r="C67" s="3">
        <v>41562</v>
      </c>
      <c r="D67" t="s">
        <v>5</v>
      </c>
      <c r="E67" s="1">
        <v>15.8491</v>
      </c>
      <c r="F67" s="1">
        <v>156080</v>
      </c>
      <c r="G67" s="1">
        <v>501530</v>
      </c>
      <c r="H67" s="2">
        <v>2462411.73</v>
      </c>
      <c r="I67" s="2">
        <v>-7912438.1900000004</v>
      </c>
      <c r="J67" s="1">
        <v>26505737.75</v>
      </c>
      <c r="K67" s="1">
        <v>1672378.483</v>
      </c>
    </row>
    <row r="68" spans="1:11">
      <c r="A68" t="s">
        <v>1</v>
      </c>
      <c r="B68" s="3">
        <v>41562</v>
      </c>
      <c r="C68" s="3">
        <v>41562</v>
      </c>
      <c r="D68" t="s">
        <v>2</v>
      </c>
      <c r="E68" s="1">
        <v>15.8543</v>
      </c>
      <c r="F68" s="1">
        <v>6622.8410000000003</v>
      </c>
      <c r="G68" s="1">
        <v>383.59699999999998</v>
      </c>
      <c r="H68" s="2">
        <v>104520.65</v>
      </c>
      <c r="I68" s="2">
        <v>-6053.87</v>
      </c>
      <c r="J68" s="1">
        <v>25393183.719999999</v>
      </c>
      <c r="K68" s="1">
        <v>1601658.0049999999</v>
      </c>
    </row>
    <row r="69" spans="1:11">
      <c r="A69" t="s">
        <v>1</v>
      </c>
      <c r="B69" s="3">
        <v>41563</v>
      </c>
      <c r="C69" s="3">
        <v>41563</v>
      </c>
      <c r="D69" t="s">
        <v>7</v>
      </c>
      <c r="E69" s="1">
        <v>20.5063</v>
      </c>
      <c r="F69" s="1">
        <v>24849.077000000001</v>
      </c>
      <c r="G69" s="1">
        <v>7123.19</v>
      </c>
      <c r="H69" s="2">
        <v>513324.79</v>
      </c>
      <c r="I69" s="2">
        <v>-147148.72</v>
      </c>
      <c r="J69" s="1">
        <v>126873407.58</v>
      </c>
      <c r="K69" s="1">
        <v>6187043.0729999999</v>
      </c>
    </row>
    <row r="70" spans="1:11">
      <c r="A70" t="s">
        <v>1</v>
      </c>
      <c r="B70" s="3">
        <v>41563</v>
      </c>
      <c r="C70" s="3">
        <v>41563</v>
      </c>
      <c r="D70" t="s">
        <v>12</v>
      </c>
      <c r="E70" s="1">
        <v>16.491299999999999</v>
      </c>
      <c r="F70" s="1">
        <v>7468.43</v>
      </c>
      <c r="G70" s="1">
        <v>6306.36</v>
      </c>
      <c r="H70" s="2">
        <v>124078.26</v>
      </c>
      <c r="I70" s="2">
        <v>-104771.98</v>
      </c>
      <c r="J70" s="1">
        <v>14448091.32</v>
      </c>
      <c r="K70" s="1">
        <v>876106.28599999996</v>
      </c>
    </row>
    <row r="71" spans="1:11">
      <c r="A71" t="s">
        <v>1</v>
      </c>
      <c r="B71" s="3">
        <v>41563</v>
      </c>
      <c r="C71" s="3">
        <v>41563</v>
      </c>
      <c r="D71" t="s">
        <v>6</v>
      </c>
      <c r="E71" s="1">
        <v>17.1174</v>
      </c>
      <c r="F71" s="1">
        <v>1915.4570000000001</v>
      </c>
      <c r="G71" s="1">
        <v>586.98</v>
      </c>
      <c r="H71" s="2">
        <v>33031.089999999997</v>
      </c>
      <c r="I71" s="2">
        <v>-10122.18</v>
      </c>
      <c r="J71" s="1">
        <v>30012362.260000002</v>
      </c>
      <c r="K71" s="1">
        <v>1753323.067</v>
      </c>
    </row>
    <row r="72" spans="1:11">
      <c r="A72" t="s">
        <v>1</v>
      </c>
      <c r="B72" s="3">
        <v>41563</v>
      </c>
      <c r="C72" s="3">
        <v>41563</v>
      </c>
      <c r="D72" t="s">
        <v>10</v>
      </c>
      <c r="E72" s="1">
        <v>16.565799999999999</v>
      </c>
      <c r="F72" s="1">
        <v>0</v>
      </c>
      <c r="G72" s="1">
        <v>1160.7429999999999</v>
      </c>
      <c r="H72" s="2">
        <v>0</v>
      </c>
      <c r="I72" s="2">
        <v>-19289.990000000002</v>
      </c>
      <c r="J72" s="1">
        <v>123794791.94</v>
      </c>
      <c r="K72" s="1">
        <v>7472914.6550000003</v>
      </c>
    </row>
    <row r="73" spans="1:11">
      <c r="A73" t="s">
        <v>1</v>
      </c>
      <c r="B73" s="3">
        <v>41563</v>
      </c>
      <c r="C73" s="3">
        <v>41563</v>
      </c>
      <c r="D73" t="s">
        <v>5</v>
      </c>
      <c r="E73" s="1">
        <v>15.7333</v>
      </c>
      <c r="F73" s="1">
        <v>155209</v>
      </c>
      <c r="G73" s="1">
        <v>0</v>
      </c>
      <c r="H73" s="2">
        <v>2459922.96</v>
      </c>
      <c r="I73" s="2">
        <v>0</v>
      </c>
      <c r="J73" s="1">
        <v>28754010.449999999</v>
      </c>
      <c r="K73" s="1">
        <v>1827587.483</v>
      </c>
    </row>
    <row r="74" spans="1:11">
      <c r="A74" t="s">
        <v>1</v>
      </c>
      <c r="B74" s="3">
        <v>41563</v>
      </c>
      <c r="C74" s="3">
        <v>41563</v>
      </c>
      <c r="D74" t="s">
        <v>3</v>
      </c>
      <c r="E74" s="1">
        <v>10.0769</v>
      </c>
      <c r="F74" s="1">
        <v>0</v>
      </c>
      <c r="G74" s="1">
        <v>1782</v>
      </c>
      <c r="H74" s="2">
        <v>0</v>
      </c>
      <c r="I74" s="2">
        <v>-18090.330000000002</v>
      </c>
      <c r="J74" s="1">
        <v>899586.78</v>
      </c>
      <c r="K74" s="1">
        <v>89272.395000000004</v>
      </c>
    </row>
    <row r="75" spans="1:11">
      <c r="A75" t="s">
        <v>1</v>
      </c>
      <c r="B75" s="3">
        <v>41563</v>
      </c>
      <c r="C75" s="3">
        <v>41563</v>
      </c>
      <c r="D75" t="s">
        <v>2</v>
      </c>
      <c r="E75" s="1">
        <v>15.752599999999999</v>
      </c>
      <c r="F75" s="1">
        <v>11986.554</v>
      </c>
      <c r="G75" s="1">
        <v>403.11200000000002</v>
      </c>
      <c r="H75" s="2">
        <v>190037.63</v>
      </c>
      <c r="I75" s="2">
        <v>-6391.02</v>
      </c>
      <c r="J75" s="1">
        <v>25412749.73</v>
      </c>
      <c r="K75" s="1">
        <v>1613241.4469999999</v>
      </c>
    </row>
    <row r="76" spans="1:11">
      <c r="A76" t="s">
        <v>1</v>
      </c>
      <c r="B76" s="3">
        <v>41564</v>
      </c>
      <c r="C76" s="3">
        <v>41564</v>
      </c>
      <c r="D76" t="s">
        <v>8</v>
      </c>
      <c r="E76" s="1">
        <v>16.780200000000001</v>
      </c>
      <c r="F76" s="1">
        <v>8290.7690000000002</v>
      </c>
      <c r="G76" s="1">
        <v>0</v>
      </c>
      <c r="H76" s="2">
        <v>137681.88</v>
      </c>
      <c r="I76" s="2">
        <v>0</v>
      </c>
      <c r="J76" s="1">
        <v>167006.47</v>
      </c>
      <c r="K76" s="1">
        <v>9952.6090000000004</v>
      </c>
    </row>
    <row r="77" spans="1:11">
      <c r="A77" t="s">
        <v>1</v>
      </c>
      <c r="B77" s="3">
        <v>41564</v>
      </c>
      <c r="C77" s="3">
        <v>41564</v>
      </c>
      <c r="D77" t="s">
        <v>7</v>
      </c>
      <c r="E77" s="1">
        <v>20.7392</v>
      </c>
      <c r="F77" s="1">
        <v>1090740.219</v>
      </c>
      <c r="G77" s="1">
        <v>1808.866</v>
      </c>
      <c r="H77" s="2">
        <v>22387115.800000001</v>
      </c>
      <c r="I77" s="2">
        <v>-37126.44</v>
      </c>
      <c r="J77" s="1">
        <v>150897880.97999999</v>
      </c>
      <c r="K77" s="1">
        <v>7275974.426</v>
      </c>
    </row>
    <row r="78" spans="1:11">
      <c r="A78" t="s">
        <v>1</v>
      </c>
      <c r="B78" s="3">
        <v>41564</v>
      </c>
      <c r="C78" s="3">
        <v>41564</v>
      </c>
      <c r="D78" t="s">
        <v>12</v>
      </c>
      <c r="E78" s="1">
        <v>16.677900000000001</v>
      </c>
      <c r="F78" s="1">
        <v>133702.18</v>
      </c>
      <c r="G78" s="1">
        <v>2041.5730000000001</v>
      </c>
      <c r="H78" s="2">
        <v>2206901.54</v>
      </c>
      <c r="I78" s="2">
        <v>-33698.410000000003</v>
      </c>
      <c r="J78" s="1">
        <v>16807411.370000001</v>
      </c>
      <c r="K78" s="1">
        <v>1007766.893</v>
      </c>
    </row>
    <row r="79" spans="1:11">
      <c r="A79" t="s">
        <v>1</v>
      </c>
      <c r="B79" s="3">
        <v>41564</v>
      </c>
      <c r="C79" s="3">
        <v>41564</v>
      </c>
      <c r="D79" t="s">
        <v>6</v>
      </c>
      <c r="E79" s="1">
        <v>17.3111</v>
      </c>
      <c r="F79" s="1">
        <v>29487.052</v>
      </c>
      <c r="G79" s="1">
        <v>67.188000000000002</v>
      </c>
      <c r="H79" s="2">
        <v>505195.72</v>
      </c>
      <c r="I79" s="2">
        <v>-1151.1199999999999</v>
      </c>
      <c r="J79" s="1">
        <v>30861278.469999999</v>
      </c>
      <c r="K79" s="1">
        <v>1782742.9310000001</v>
      </c>
    </row>
    <row r="80" spans="1:11">
      <c r="A80" t="s">
        <v>1</v>
      </c>
      <c r="B80" s="3">
        <v>41564</v>
      </c>
      <c r="C80" s="3">
        <v>41564</v>
      </c>
      <c r="D80" t="s">
        <v>10</v>
      </c>
      <c r="E80" s="1">
        <v>16.849799999999998</v>
      </c>
      <c r="F80" s="1">
        <v>1260</v>
      </c>
      <c r="G80" s="1">
        <v>6649.3209999999999</v>
      </c>
      <c r="H80" s="2">
        <v>20891.599999999999</v>
      </c>
      <c r="I80" s="2">
        <v>-110249.99</v>
      </c>
      <c r="J80" s="1">
        <v>125826548.28</v>
      </c>
      <c r="K80" s="1">
        <v>7467525.3339999998</v>
      </c>
    </row>
    <row r="81" spans="1:11">
      <c r="A81" t="s">
        <v>1</v>
      </c>
      <c r="B81" s="3">
        <v>41564</v>
      </c>
      <c r="C81" s="3">
        <v>41564</v>
      </c>
      <c r="D81" t="s">
        <v>5</v>
      </c>
      <c r="E81" s="1">
        <v>15.9123</v>
      </c>
      <c r="F81" s="1">
        <v>6314</v>
      </c>
      <c r="G81" s="1">
        <v>45734</v>
      </c>
      <c r="H81" s="2">
        <v>99429.08</v>
      </c>
      <c r="I81" s="2">
        <v>-720191.59</v>
      </c>
      <c r="J81" s="1">
        <v>28453906.5</v>
      </c>
      <c r="K81" s="1">
        <v>1788167.483</v>
      </c>
    </row>
    <row r="82" spans="1:11">
      <c r="A82" t="s">
        <v>1</v>
      </c>
      <c r="B82" s="3">
        <v>41564</v>
      </c>
      <c r="C82" s="3">
        <v>41564</v>
      </c>
      <c r="D82" t="s">
        <v>4</v>
      </c>
      <c r="E82" s="1">
        <v>10.4244</v>
      </c>
      <c r="F82" s="1">
        <v>13.159000000000001</v>
      </c>
      <c r="G82" s="1">
        <v>0</v>
      </c>
      <c r="H82" s="2">
        <v>135.76</v>
      </c>
      <c r="I82" s="2">
        <v>0</v>
      </c>
      <c r="J82" s="1">
        <v>137455.54999999999</v>
      </c>
      <c r="K82" s="1">
        <v>13185.887000000001</v>
      </c>
    </row>
    <row r="83" spans="1:11">
      <c r="A83" t="s">
        <v>1</v>
      </c>
      <c r="B83" s="3">
        <v>41564</v>
      </c>
      <c r="C83" s="3">
        <v>41564</v>
      </c>
      <c r="D83" t="s">
        <v>3</v>
      </c>
      <c r="E83" s="1">
        <v>10.190899999999999</v>
      </c>
      <c r="F83" s="1">
        <v>2925.415</v>
      </c>
      <c r="G83" s="1">
        <v>4294.8590000000004</v>
      </c>
      <c r="H83" s="2">
        <v>29505.439999999999</v>
      </c>
      <c r="I83" s="2">
        <v>-43317.52</v>
      </c>
      <c r="J83" s="1">
        <v>895810.81</v>
      </c>
      <c r="K83" s="1">
        <v>87902.951000000001</v>
      </c>
    </row>
    <row r="84" spans="1:11">
      <c r="A84" t="s">
        <v>1</v>
      </c>
      <c r="B84" s="3">
        <v>41564</v>
      </c>
      <c r="C84" s="3">
        <v>41564</v>
      </c>
      <c r="D84" t="s">
        <v>2</v>
      </c>
      <c r="E84" s="1">
        <v>15.9175</v>
      </c>
      <c r="F84" s="1">
        <v>3333.6770000000001</v>
      </c>
      <c r="G84" s="1">
        <v>0</v>
      </c>
      <c r="H84" s="2">
        <v>52513.919999999998</v>
      </c>
      <c r="I84" s="2">
        <v>0</v>
      </c>
      <c r="J84" s="1">
        <v>25731888.050000001</v>
      </c>
      <c r="K84" s="1">
        <v>1616575.1240000001</v>
      </c>
    </row>
    <row r="85" spans="1:11">
      <c r="A85" t="s">
        <v>1</v>
      </c>
      <c r="B85" s="3">
        <v>41565</v>
      </c>
      <c r="C85" s="3">
        <v>41565</v>
      </c>
      <c r="D85" t="s">
        <v>8</v>
      </c>
      <c r="E85" s="1">
        <v>16.955300000000001</v>
      </c>
      <c r="F85" s="1">
        <v>14254.803</v>
      </c>
      <c r="G85" s="1">
        <v>0</v>
      </c>
      <c r="H85" s="2">
        <v>239198.53</v>
      </c>
      <c r="I85" s="2">
        <v>0</v>
      </c>
      <c r="J85" s="1">
        <v>410443.59</v>
      </c>
      <c r="K85" s="1">
        <v>24207.412</v>
      </c>
    </row>
    <row r="86" spans="1:11">
      <c r="A86" t="s">
        <v>1</v>
      </c>
      <c r="B86" s="3">
        <v>41565</v>
      </c>
      <c r="C86" s="3">
        <v>41565</v>
      </c>
      <c r="D86" t="s">
        <v>7</v>
      </c>
      <c r="E86" s="1">
        <v>20.9556</v>
      </c>
      <c r="F86" s="1">
        <v>47143.622000000003</v>
      </c>
      <c r="G86" s="1">
        <v>61211.625999999997</v>
      </c>
      <c r="H86" s="2">
        <v>977720.98</v>
      </c>
      <c r="I86" s="2">
        <v>-1269480.1499999999</v>
      </c>
      <c r="J86" s="1">
        <v>152177634.72</v>
      </c>
      <c r="K86" s="1">
        <v>7261906.4220000003</v>
      </c>
    </row>
    <row r="87" spans="1:11">
      <c r="A87" t="s">
        <v>1</v>
      </c>
      <c r="B87" s="3">
        <v>41565</v>
      </c>
      <c r="C87" s="3">
        <v>41565</v>
      </c>
      <c r="D87" t="s">
        <v>12</v>
      </c>
      <c r="E87" s="1">
        <v>16.851199999999999</v>
      </c>
      <c r="F87" s="1">
        <v>2683.1770000000001</v>
      </c>
      <c r="G87" s="1">
        <v>14490.48</v>
      </c>
      <c r="H87" s="2">
        <v>44749.760000000002</v>
      </c>
      <c r="I87" s="2">
        <v>-241670.76</v>
      </c>
      <c r="J87" s="1">
        <v>16783131.350000001</v>
      </c>
      <c r="K87" s="1">
        <v>995959.59</v>
      </c>
    </row>
    <row r="88" spans="1:11">
      <c r="A88" t="s">
        <v>1</v>
      </c>
      <c r="B88" s="3">
        <v>41565</v>
      </c>
      <c r="C88" s="3">
        <v>41565</v>
      </c>
      <c r="D88" t="s">
        <v>6</v>
      </c>
      <c r="E88" s="1">
        <v>17.491</v>
      </c>
      <c r="F88" s="1">
        <v>4081.252</v>
      </c>
      <c r="G88" s="1">
        <v>13332.254000000001</v>
      </c>
      <c r="H88" s="2">
        <v>70650.960000000006</v>
      </c>
      <c r="I88" s="2">
        <v>-230795.97</v>
      </c>
      <c r="J88" s="1">
        <v>31020225.440000001</v>
      </c>
      <c r="K88" s="1">
        <v>1773491.929</v>
      </c>
    </row>
    <row r="89" spans="1:11">
      <c r="A89" t="s">
        <v>1</v>
      </c>
      <c r="B89" s="3">
        <v>41565</v>
      </c>
      <c r="C89" s="3">
        <v>41565</v>
      </c>
      <c r="D89" t="s">
        <v>10</v>
      </c>
      <c r="E89" s="1">
        <v>17.114799999999999</v>
      </c>
      <c r="F89" s="1">
        <v>0</v>
      </c>
      <c r="G89" s="1">
        <v>2393.4079999999999</v>
      </c>
      <c r="H89" s="2">
        <v>0</v>
      </c>
      <c r="I89" s="2">
        <v>-40328.519999999997</v>
      </c>
      <c r="J89" s="1">
        <v>127764210.59999999</v>
      </c>
      <c r="K89" s="1">
        <v>7465131.926</v>
      </c>
    </row>
    <row r="90" spans="1:11">
      <c r="A90" t="s">
        <v>1</v>
      </c>
      <c r="B90" s="3">
        <v>41565</v>
      </c>
      <c r="C90" s="3">
        <v>41565</v>
      </c>
      <c r="D90" t="s">
        <v>5</v>
      </c>
      <c r="E90" s="1">
        <v>16.078700000000001</v>
      </c>
      <c r="F90" s="1">
        <v>50547</v>
      </c>
      <c r="G90" s="1">
        <v>0</v>
      </c>
      <c r="H90" s="2">
        <v>804319.03</v>
      </c>
      <c r="I90" s="2">
        <v>0</v>
      </c>
      <c r="J90" s="1">
        <v>29564124.280000001</v>
      </c>
      <c r="K90" s="1">
        <v>1838714.483</v>
      </c>
    </row>
    <row r="91" spans="1:11">
      <c r="A91" t="s">
        <v>1</v>
      </c>
      <c r="B91" s="3">
        <v>41565</v>
      </c>
      <c r="C91" s="3">
        <v>41565</v>
      </c>
      <c r="D91" t="s">
        <v>2</v>
      </c>
      <c r="E91" s="1">
        <v>16.084</v>
      </c>
      <c r="F91" s="1">
        <v>5184.49</v>
      </c>
      <c r="G91" s="1">
        <v>690</v>
      </c>
      <c r="H91" s="2">
        <v>82524.44</v>
      </c>
      <c r="I91" s="2">
        <v>-10983.12</v>
      </c>
      <c r="J91" s="1">
        <v>26073207.739999998</v>
      </c>
      <c r="K91" s="1">
        <v>1621069.6140000001</v>
      </c>
    </row>
    <row r="92" spans="1:11">
      <c r="A92" t="s">
        <v>1</v>
      </c>
      <c r="B92" s="3">
        <v>41568</v>
      </c>
      <c r="C92" s="3">
        <v>41568</v>
      </c>
      <c r="D92" t="s">
        <v>8</v>
      </c>
      <c r="E92" s="1">
        <v>16.980399999999999</v>
      </c>
      <c r="F92" s="1">
        <v>88051.588000000003</v>
      </c>
      <c r="G92" s="1">
        <v>0</v>
      </c>
      <c r="H92" s="2">
        <v>1492936.02</v>
      </c>
      <c r="I92" s="2">
        <v>0</v>
      </c>
      <c r="J92" s="1">
        <v>1906201.78</v>
      </c>
      <c r="K92" s="1">
        <v>112259</v>
      </c>
    </row>
    <row r="93" spans="1:11">
      <c r="A93" t="s">
        <v>1</v>
      </c>
      <c r="B93" s="3">
        <v>41568</v>
      </c>
      <c r="C93" s="3">
        <v>41568</v>
      </c>
      <c r="D93" t="s">
        <v>7</v>
      </c>
      <c r="E93" s="1">
        <v>20.986699999999999</v>
      </c>
      <c r="F93" s="1">
        <v>7593.5959999999995</v>
      </c>
      <c r="G93" s="1">
        <v>55583.748</v>
      </c>
      <c r="H93" s="2">
        <v>159128.38</v>
      </c>
      <c r="I93" s="2">
        <v>-1164790.79</v>
      </c>
      <c r="J93" s="1">
        <v>151396118.71000001</v>
      </c>
      <c r="K93" s="1">
        <v>7213916.2699999996</v>
      </c>
    </row>
    <row r="94" spans="1:11">
      <c r="A94" t="s">
        <v>1</v>
      </c>
      <c r="B94" s="3">
        <v>41568</v>
      </c>
      <c r="C94" s="3">
        <v>41568</v>
      </c>
      <c r="D94" t="s">
        <v>12</v>
      </c>
      <c r="E94" s="1">
        <v>16.874099999999999</v>
      </c>
      <c r="F94" s="1">
        <v>2675.1750000000002</v>
      </c>
      <c r="G94" s="1">
        <v>6328.4740000000002</v>
      </c>
      <c r="H94" s="2">
        <v>45079.9</v>
      </c>
      <c r="I94" s="2">
        <v>-106642.38</v>
      </c>
      <c r="J94" s="1">
        <v>16744300.800000001</v>
      </c>
      <c r="K94" s="1">
        <v>992306.29099999997</v>
      </c>
    </row>
    <row r="95" spans="1:11">
      <c r="A95" t="s">
        <v>1</v>
      </c>
      <c r="B95" s="3">
        <v>41568</v>
      </c>
      <c r="C95" s="3">
        <v>41568</v>
      </c>
      <c r="D95" t="s">
        <v>6</v>
      </c>
      <c r="E95" s="1">
        <v>17.514800000000001</v>
      </c>
      <c r="F95" s="1">
        <v>33657.904999999999</v>
      </c>
      <c r="G95" s="1">
        <v>41.655000000000001</v>
      </c>
      <c r="H95" s="2">
        <v>588710.40000000002</v>
      </c>
      <c r="I95" s="2">
        <v>-728.59</v>
      </c>
      <c r="J95" s="1">
        <v>31651176.629999999</v>
      </c>
      <c r="K95" s="1">
        <v>1807108.179</v>
      </c>
    </row>
    <row r="96" spans="1:11">
      <c r="A96" t="s">
        <v>1</v>
      </c>
      <c r="B96" s="3">
        <v>41568</v>
      </c>
      <c r="C96" s="3">
        <v>41568</v>
      </c>
      <c r="D96" t="s">
        <v>10</v>
      </c>
      <c r="E96" s="1">
        <v>17.115600000000001</v>
      </c>
      <c r="F96" s="1">
        <v>244088.22</v>
      </c>
      <c r="G96" s="1">
        <v>0</v>
      </c>
      <c r="H96" s="2">
        <v>4177524.09</v>
      </c>
      <c r="I96" s="2">
        <v>0</v>
      </c>
      <c r="J96" s="1">
        <v>131947939.63</v>
      </c>
      <c r="K96" s="1">
        <v>7709220.1459999997</v>
      </c>
    </row>
    <row r="97" spans="1:11">
      <c r="A97" t="s">
        <v>1</v>
      </c>
      <c r="B97" s="3">
        <v>41568</v>
      </c>
      <c r="C97" s="3">
        <v>41568</v>
      </c>
      <c r="D97" t="s">
        <v>5</v>
      </c>
      <c r="E97" s="1">
        <v>16.1035</v>
      </c>
      <c r="F97" s="1">
        <v>0</v>
      </c>
      <c r="G97" s="1">
        <v>210986</v>
      </c>
      <c r="H97" s="2">
        <v>0</v>
      </c>
      <c r="I97" s="2">
        <v>-3392380.6</v>
      </c>
      <c r="J97" s="1">
        <v>26212162.510000002</v>
      </c>
      <c r="K97" s="1">
        <v>1627728.483</v>
      </c>
    </row>
    <row r="98" spans="1:11">
      <c r="A98" t="s">
        <v>1</v>
      </c>
      <c r="B98" s="3">
        <v>41568</v>
      </c>
      <c r="C98" s="3">
        <v>41568</v>
      </c>
      <c r="D98" t="s">
        <v>4</v>
      </c>
      <c r="E98" s="1">
        <v>10.5488</v>
      </c>
      <c r="F98" s="1">
        <v>9493.7909999999993</v>
      </c>
      <c r="G98" s="1">
        <v>1588.836</v>
      </c>
      <c r="H98" s="2">
        <v>100000</v>
      </c>
      <c r="I98" s="2">
        <v>-16735.53</v>
      </c>
      <c r="J98" s="1">
        <v>222483.69</v>
      </c>
      <c r="K98" s="1">
        <v>21090.842000000001</v>
      </c>
    </row>
    <row r="99" spans="1:11">
      <c r="A99" t="s">
        <v>1</v>
      </c>
      <c r="B99" s="3">
        <v>41568</v>
      </c>
      <c r="C99" s="3">
        <v>41568</v>
      </c>
      <c r="D99" t="s">
        <v>2</v>
      </c>
      <c r="E99" s="1">
        <v>16.108799999999999</v>
      </c>
      <c r="F99" s="1">
        <v>6863.9350000000004</v>
      </c>
      <c r="G99" s="1">
        <v>0</v>
      </c>
      <c r="H99" s="2">
        <v>110399.02</v>
      </c>
      <c r="I99" s="2">
        <v>0</v>
      </c>
      <c r="J99" s="1">
        <v>26224043.899999999</v>
      </c>
      <c r="K99" s="1">
        <v>1627933.5490000001</v>
      </c>
    </row>
    <row r="100" spans="1:11">
      <c r="A100" t="s">
        <v>1</v>
      </c>
      <c r="B100" s="3">
        <v>41568</v>
      </c>
      <c r="C100" s="3">
        <v>41568</v>
      </c>
      <c r="D100" t="s">
        <v>9</v>
      </c>
      <c r="E100" s="1">
        <v>16.997</v>
      </c>
      <c r="F100" s="1">
        <v>1500</v>
      </c>
      <c r="G100" s="1">
        <v>0</v>
      </c>
      <c r="H100" s="2">
        <v>25456.57</v>
      </c>
      <c r="I100" s="2">
        <v>0</v>
      </c>
      <c r="J100" s="1">
        <v>408964.5</v>
      </c>
      <c r="K100" s="1">
        <v>24061.032999999999</v>
      </c>
    </row>
    <row r="101" spans="1:11">
      <c r="A101" t="s">
        <v>1</v>
      </c>
      <c r="B101" s="3">
        <v>41569</v>
      </c>
      <c r="C101" s="3">
        <v>41569</v>
      </c>
      <c r="D101" t="s">
        <v>8</v>
      </c>
      <c r="E101" s="1">
        <v>16.953099999999999</v>
      </c>
      <c r="F101" s="1">
        <v>296588.90999999997</v>
      </c>
      <c r="G101" s="1">
        <v>0</v>
      </c>
      <c r="H101" s="2">
        <v>5036181.33</v>
      </c>
      <c r="I101" s="2">
        <v>0</v>
      </c>
      <c r="J101" s="1">
        <v>6931233.4299999997</v>
      </c>
      <c r="K101" s="1">
        <v>408847.91</v>
      </c>
    </row>
    <row r="102" spans="1:11">
      <c r="A102" t="s">
        <v>1</v>
      </c>
      <c r="B102" s="3">
        <v>41569</v>
      </c>
      <c r="C102" s="3">
        <v>41569</v>
      </c>
      <c r="D102" t="s">
        <v>7</v>
      </c>
      <c r="E102" s="1">
        <v>20.952999999999999</v>
      </c>
      <c r="F102" s="1">
        <v>14756.227000000001</v>
      </c>
      <c r="G102" s="1">
        <v>52235.071000000004</v>
      </c>
      <c r="H102" s="2">
        <v>309684.47999999998</v>
      </c>
      <c r="I102" s="2">
        <v>-1096241.78</v>
      </c>
      <c r="J102" s="1">
        <v>150367678.18000001</v>
      </c>
      <c r="K102" s="1">
        <v>7176437.426</v>
      </c>
    </row>
    <row r="103" spans="1:11">
      <c r="A103" t="s">
        <v>1</v>
      </c>
      <c r="B103" s="3">
        <v>41569</v>
      </c>
      <c r="C103" s="3">
        <v>41569</v>
      </c>
      <c r="D103" t="s">
        <v>12</v>
      </c>
      <c r="E103" s="1">
        <v>16.846299999999999</v>
      </c>
      <c r="F103" s="1">
        <v>11562.402</v>
      </c>
      <c r="G103" s="1">
        <v>45699.892999999996</v>
      </c>
      <c r="H103" s="2">
        <v>195105.11</v>
      </c>
      <c r="I103" s="2">
        <v>-771144.54</v>
      </c>
      <c r="J103" s="1">
        <v>16141630.25</v>
      </c>
      <c r="K103" s="1">
        <v>958168.8</v>
      </c>
    </row>
    <row r="104" spans="1:11">
      <c r="A104" t="s">
        <v>1</v>
      </c>
      <c r="B104" s="3">
        <v>41569</v>
      </c>
      <c r="C104" s="3">
        <v>41569</v>
      </c>
      <c r="D104" t="s">
        <v>6</v>
      </c>
      <c r="E104" s="1">
        <v>17.486000000000001</v>
      </c>
      <c r="F104" s="1">
        <v>6639.7979999999998</v>
      </c>
      <c r="G104" s="1">
        <v>17256.684000000001</v>
      </c>
      <c r="H104" s="2">
        <v>116294.74</v>
      </c>
      <c r="I104" s="2">
        <v>-302247.38</v>
      </c>
      <c r="J104" s="1">
        <v>31413396.870000001</v>
      </c>
      <c r="K104" s="1">
        <v>1796491.2930000001</v>
      </c>
    </row>
    <row r="105" spans="1:11">
      <c r="A105" t="s">
        <v>1</v>
      </c>
      <c r="B105" s="3">
        <v>41569</v>
      </c>
      <c r="C105" s="3">
        <v>41569</v>
      </c>
      <c r="D105" t="s">
        <v>10</v>
      </c>
      <c r="E105" s="1">
        <v>17.082999999999998</v>
      </c>
      <c r="F105" s="1">
        <v>9087</v>
      </c>
      <c r="G105" s="1">
        <v>845.49199999999996</v>
      </c>
      <c r="H105" s="2">
        <v>155529.57</v>
      </c>
      <c r="I105" s="2">
        <v>-14471.11</v>
      </c>
      <c r="J105" s="1">
        <v>131837633.91</v>
      </c>
      <c r="K105" s="1">
        <v>7717461.6540000001</v>
      </c>
    </row>
    <row r="106" spans="1:11">
      <c r="A106" t="s">
        <v>1</v>
      </c>
      <c r="B106" s="3">
        <v>41569</v>
      </c>
      <c r="C106" s="3">
        <v>41569</v>
      </c>
      <c r="D106" t="s">
        <v>5</v>
      </c>
      <c r="E106" s="1">
        <v>16.077999999999999</v>
      </c>
      <c r="F106" s="1">
        <v>32065</v>
      </c>
      <c r="G106" s="1">
        <v>0</v>
      </c>
      <c r="H106" s="2">
        <v>516358.73</v>
      </c>
      <c r="I106" s="2">
        <v>0</v>
      </c>
      <c r="J106" s="1">
        <v>26686143.699999999</v>
      </c>
      <c r="K106" s="1">
        <v>1659793.483</v>
      </c>
    </row>
    <row r="107" spans="1:11">
      <c r="A107" t="s">
        <v>1</v>
      </c>
      <c r="B107" s="3">
        <v>41569</v>
      </c>
      <c r="C107" s="3">
        <v>41569</v>
      </c>
      <c r="D107" t="s">
        <v>2</v>
      </c>
      <c r="E107" s="1">
        <v>16.083300000000001</v>
      </c>
      <c r="F107" s="1">
        <v>6463.2569999999996</v>
      </c>
      <c r="G107" s="1">
        <v>0</v>
      </c>
      <c r="H107" s="2">
        <v>104115.22</v>
      </c>
      <c r="I107" s="2">
        <v>0</v>
      </c>
      <c r="J107" s="1">
        <v>26286416.350000001</v>
      </c>
      <c r="K107" s="1">
        <v>1634396.8060000001</v>
      </c>
    </row>
    <row r="108" spans="1:11">
      <c r="A108" t="s">
        <v>1</v>
      </c>
      <c r="B108" s="3">
        <v>41569</v>
      </c>
      <c r="C108" s="3">
        <v>41569</v>
      </c>
      <c r="D108" t="s">
        <v>9</v>
      </c>
      <c r="E108" s="1">
        <v>16.969899999999999</v>
      </c>
      <c r="F108" s="1">
        <v>13.47</v>
      </c>
      <c r="G108" s="1">
        <v>2.7850000000000001</v>
      </c>
      <c r="H108" s="2">
        <v>228.95</v>
      </c>
      <c r="I108" s="2">
        <v>-47.34</v>
      </c>
      <c r="J108" s="1">
        <v>408494.61</v>
      </c>
      <c r="K108" s="1">
        <v>24071.718000000001</v>
      </c>
    </row>
    <row r="109" spans="1:11">
      <c r="A109" t="s">
        <v>1</v>
      </c>
      <c r="B109" s="3">
        <v>41570</v>
      </c>
      <c r="C109" s="3">
        <v>41570</v>
      </c>
      <c r="D109" t="s">
        <v>7</v>
      </c>
      <c r="E109" s="1">
        <v>21.011800000000001</v>
      </c>
      <c r="F109" s="1">
        <v>7386.7439999999997</v>
      </c>
      <c r="G109" s="1">
        <v>25010.436000000002</v>
      </c>
      <c r="H109" s="2">
        <v>154774.48000000001</v>
      </c>
      <c r="I109" s="2">
        <v>-524043.67</v>
      </c>
      <c r="J109" s="1">
        <v>150419498.80000001</v>
      </c>
      <c r="K109" s="1">
        <v>7158813.7340000002</v>
      </c>
    </row>
    <row r="110" spans="1:11">
      <c r="A110" t="s">
        <v>1</v>
      </c>
      <c r="B110" s="3">
        <v>41570</v>
      </c>
      <c r="C110" s="3">
        <v>41570</v>
      </c>
      <c r="D110" t="s">
        <v>12</v>
      </c>
      <c r="E110" s="1">
        <v>16.892900000000001</v>
      </c>
      <c r="F110" s="1">
        <v>0</v>
      </c>
      <c r="G110" s="1">
        <v>708.53399999999999</v>
      </c>
      <c r="H110" s="2">
        <v>0</v>
      </c>
      <c r="I110" s="2">
        <v>-11936.18</v>
      </c>
      <c r="J110" s="1">
        <v>16174312.029999999</v>
      </c>
      <c r="K110" s="1">
        <v>957460.26599999995</v>
      </c>
    </row>
    <row r="111" spans="1:11">
      <c r="A111" t="s">
        <v>1</v>
      </c>
      <c r="B111" s="3">
        <v>41570</v>
      </c>
      <c r="C111" s="3">
        <v>41570</v>
      </c>
      <c r="D111" t="s">
        <v>6</v>
      </c>
      <c r="E111" s="1">
        <v>17.534300000000002</v>
      </c>
      <c r="F111" s="1">
        <v>13496.177</v>
      </c>
      <c r="G111" s="1">
        <v>1481.6990000000001</v>
      </c>
      <c r="H111" s="2">
        <v>235994.16</v>
      </c>
      <c r="I111" s="2">
        <v>-25908.99</v>
      </c>
      <c r="J111" s="1">
        <v>31710958.890000001</v>
      </c>
      <c r="K111" s="1">
        <v>1808505.7709999999</v>
      </c>
    </row>
    <row r="112" spans="1:11">
      <c r="A112" t="s">
        <v>1</v>
      </c>
      <c r="B112" s="3">
        <v>41570</v>
      </c>
      <c r="C112" s="3">
        <v>41570</v>
      </c>
      <c r="D112" t="s">
        <v>10</v>
      </c>
      <c r="E112" s="1">
        <v>17.219100000000001</v>
      </c>
      <c r="F112" s="1">
        <v>11</v>
      </c>
      <c r="G112" s="1">
        <v>3825.99</v>
      </c>
      <c r="H112" s="2">
        <v>187.91</v>
      </c>
      <c r="I112" s="2">
        <v>-65359.33</v>
      </c>
      <c r="J112" s="1">
        <v>132822086.79000001</v>
      </c>
      <c r="K112" s="1">
        <v>7713646.6639999999</v>
      </c>
    </row>
    <row r="113" spans="1:11">
      <c r="A113" t="s">
        <v>1</v>
      </c>
      <c r="B113" s="3">
        <v>41570</v>
      </c>
      <c r="C113" s="3">
        <v>41570</v>
      </c>
      <c r="D113" t="s">
        <v>5</v>
      </c>
      <c r="E113" s="1">
        <v>16.1235</v>
      </c>
      <c r="F113" s="1">
        <v>62691</v>
      </c>
      <c r="G113" s="1">
        <v>0</v>
      </c>
      <c r="H113" s="2">
        <v>1007945.9</v>
      </c>
      <c r="I113" s="2">
        <v>0</v>
      </c>
      <c r="J113" s="1">
        <v>27772404.16</v>
      </c>
      <c r="K113" s="1">
        <v>1722484.483</v>
      </c>
    </row>
    <row r="114" spans="1:11">
      <c r="A114" t="s">
        <v>1</v>
      </c>
      <c r="B114" s="3">
        <v>41570</v>
      </c>
      <c r="C114" s="3">
        <v>41570</v>
      </c>
      <c r="D114" t="s">
        <v>3</v>
      </c>
      <c r="E114" s="1">
        <v>10.3223</v>
      </c>
      <c r="F114" s="1">
        <v>292.22300000000001</v>
      </c>
      <c r="G114" s="1">
        <v>0</v>
      </c>
      <c r="H114" s="2">
        <v>3008.08</v>
      </c>
      <c r="I114" s="2">
        <v>0</v>
      </c>
      <c r="J114" s="1">
        <v>910378.39</v>
      </c>
      <c r="K114" s="1">
        <v>88195.173999999999</v>
      </c>
    </row>
    <row r="115" spans="1:11">
      <c r="A115" t="s">
        <v>1</v>
      </c>
      <c r="B115" s="3">
        <v>41570</v>
      </c>
      <c r="C115" s="3">
        <v>41570</v>
      </c>
      <c r="D115" t="s">
        <v>14</v>
      </c>
      <c r="E115" s="1">
        <v>10.52</v>
      </c>
      <c r="F115" s="1">
        <v>0</v>
      </c>
      <c r="G115" s="1">
        <v>16286.257</v>
      </c>
      <c r="H115" s="2">
        <v>0</v>
      </c>
      <c r="I115" s="2">
        <v>-170860.75</v>
      </c>
      <c r="J115" s="1">
        <v>52835.46</v>
      </c>
      <c r="K115" s="1">
        <v>5022.3739999999998</v>
      </c>
    </row>
    <row r="116" spans="1:11">
      <c r="A116" t="s">
        <v>1</v>
      </c>
      <c r="B116" s="3">
        <v>41570</v>
      </c>
      <c r="C116" s="3">
        <v>41570</v>
      </c>
      <c r="D116" t="s">
        <v>2</v>
      </c>
      <c r="E116" s="1">
        <v>16.128699999999998</v>
      </c>
      <c r="F116" s="1">
        <v>10237.573</v>
      </c>
      <c r="G116" s="1">
        <v>0</v>
      </c>
      <c r="H116" s="2">
        <v>164653.76000000001</v>
      </c>
      <c r="I116" s="2">
        <v>0</v>
      </c>
      <c r="J116" s="1">
        <v>26525869.609999999</v>
      </c>
      <c r="K116" s="1">
        <v>1644634.379</v>
      </c>
    </row>
    <row r="117" spans="1:11">
      <c r="A117" t="s">
        <v>1</v>
      </c>
      <c r="B117" s="3">
        <v>41571</v>
      </c>
      <c r="C117" s="3">
        <v>41571</v>
      </c>
      <c r="D117" t="s">
        <v>7</v>
      </c>
      <c r="E117" s="1">
        <v>20.980499999999999</v>
      </c>
      <c r="F117" s="1">
        <v>847.178</v>
      </c>
      <c r="G117" s="1">
        <v>276891.70199999999</v>
      </c>
      <c r="H117" s="2">
        <v>17800.740000000002</v>
      </c>
      <c r="I117" s="2">
        <v>-5817993.0800000001</v>
      </c>
      <c r="J117" s="1">
        <v>144403816.25999999</v>
      </c>
      <c r="K117" s="1">
        <v>6882769.21</v>
      </c>
    </row>
    <row r="118" spans="1:11">
      <c r="A118" t="s">
        <v>1</v>
      </c>
      <c r="B118" s="3">
        <v>41571</v>
      </c>
      <c r="C118" s="3">
        <v>41571</v>
      </c>
      <c r="D118" t="s">
        <v>12</v>
      </c>
      <c r="E118" s="1">
        <v>16.867100000000001</v>
      </c>
      <c r="F118" s="1">
        <v>0</v>
      </c>
      <c r="G118" s="1">
        <v>151711.88399999999</v>
      </c>
      <c r="H118" s="2">
        <v>0</v>
      </c>
      <c r="I118" s="2">
        <v>-2562853.6800000002</v>
      </c>
      <c r="J118" s="1">
        <v>13590617.18</v>
      </c>
      <c r="K118" s="1">
        <v>805748.38199999998</v>
      </c>
    </row>
    <row r="119" spans="1:11">
      <c r="A119" t="s">
        <v>1</v>
      </c>
      <c r="B119" s="3">
        <v>41571</v>
      </c>
      <c r="C119" s="3">
        <v>41571</v>
      </c>
      <c r="D119" t="s">
        <v>6</v>
      </c>
      <c r="E119" s="1">
        <v>17.5075</v>
      </c>
      <c r="F119" s="1">
        <v>4619.9570000000003</v>
      </c>
      <c r="G119" s="1">
        <v>27587.508000000002</v>
      </c>
      <c r="H119" s="2">
        <v>81007.7</v>
      </c>
      <c r="I119" s="2">
        <v>-483727.65</v>
      </c>
      <c r="J119" s="1">
        <v>31260301.399999999</v>
      </c>
      <c r="K119" s="1">
        <v>1785538.22</v>
      </c>
    </row>
    <row r="120" spans="1:11">
      <c r="A120" t="s">
        <v>1</v>
      </c>
      <c r="B120" s="3">
        <v>41571</v>
      </c>
      <c r="C120" s="3">
        <v>41571</v>
      </c>
      <c r="D120" t="s">
        <v>10</v>
      </c>
      <c r="E120" s="1">
        <v>17.267900000000001</v>
      </c>
      <c r="F120" s="1">
        <v>0</v>
      </c>
      <c r="G120" s="1">
        <v>1900553.878</v>
      </c>
      <c r="H120" s="2">
        <v>0</v>
      </c>
      <c r="I120" s="2">
        <v>-32725699.870000001</v>
      </c>
      <c r="J120" s="1">
        <v>100380094.91</v>
      </c>
      <c r="K120" s="1">
        <v>5813092.7860000003</v>
      </c>
    </row>
    <row r="121" spans="1:11">
      <c r="A121" t="s">
        <v>1</v>
      </c>
      <c r="B121" s="3">
        <v>41571</v>
      </c>
      <c r="C121" s="3">
        <v>41571</v>
      </c>
      <c r="D121" t="s">
        <v>2</v>
      </c>
      <c r="E121" s="1">
        <v>16.105</v>
      </c>
      <c r="F121" s="1">
        <v>1425</v>
      </c>
      <c r="G121" s="1">
        <v>0</v>
      </c>
      <c r="H121" s="2">
        <v>22983.43</v>
      </c>
      <c r="I121" s="2">
        <v>0</v>
      </c>
      <c r="J121" s="1">
        <v>26509839.399999999</v>
      </c>
      <c r="K121" s="1">
        <v>1646059.379</v>
      </c>
    </row>
    <row r="122" spans="1:11">
      <c r="A122" t="s">
        <v>1</v>
      </c>
      <c r="B122" s="3">
        <v>41572</v>
      </c>
      <c r="C122" s="3">
        <v>41572</v>
      </c>
      <c r="D122" t="s">
        <v>8</v>
      </c>
      <c r="E122" s="1">
        <v>17.015699999999999</v>
      </c>
      <c r="F122" s="1">
        <v>398.96</v>
      </c>
      <c r="G122" s="1">
        <v>0</v>
      </c>
      <c r="H122" s="2">
        <v>6772.48</v>
      </c>
      <c r="I122" s="2">
        <v>0</v>
      </c>
      <c r="J122" s="1">
        <v>6963637.4500000002</v>
      </c>
      <c r="K122" s="1">
        <v>409246.87</v>
      </c>
    </row>
    <row r="123" spans="1:11">
      <c r="A123" t="s">
        <v>1</v>
      </c>
      <c r="B123" s="3">
        <v>41572</v>
      </c>
      <c r="C123" s="3">
        <v>41572</v>
      </c>
      <c r="D123" t="s">
        <v>7</v>
      </c>
      <c r="E123" s="1">
        <v>21.0304</v>
      </c>
      <c r="F123" s="1">
        <v>192709.20800000001</v>
      </c>
      <c r="G123" s="1">
        <v>2390.502</v>
      </c>
      <c r="H123" s="2">
        <v>4043135.56</v>
      </c>
      <c r="I123" s="2">
        <v>-50153.94</v>
      </c>
      <c r="J123" s="1">
        <v>148749903.13999999</v>
      </c>
      <c r="K123" s="1">
        <v>7073087.9160000002</v>
      </c>
    </row>
    <row r="124" spans="1:11">
      <c r="A124" t="s">
        <v>1</v>
      </c>
      <c r="B124" s="3">
        <v>41572</v>
      </c>
      <c r="C124" s="3">
        <v>41572</v>
      </c>
      <c r="D124" t="s">
        <v>12</v>
      </c>
      <c r="E124" s="1">
        <v>16.906500000000001</v>
      </c>
      <c r="F124" s="1">
        <v>105313.213</v>
      </c>
      <c r="G124" s="1">
        <v>5173.6450000000004</v>
      </c>
      <c r="H124" s="2">
        <v>1776328.52</v>
      </c>
      <c r="I124" s="2">
        <v>-87264.39</v>
      </c>
      <c r="J124" s="1">
        <v>15315410.869999999</v>
      </c>
      <c r="K124" s="1">
        <v>905887.95</v>
      </c>
    </row>
    <row r="125" spans="1:11">
      <c r="A125" t="s">
        <v>1</v>
      </c>
      <c r="B125" s="3">
        <v>41572</v>
      </c>
      <c r="C125" s="3">
        <v>41572</v>
      </c>
      <c r="D125" t="s">
        <v>6</v>
      </c>
      <c r="E125" s="1">
        <v>17.548400000000001</v>
      </c>
      <c r="F125" s="1">
        <v>67222.370999999999</v>
      </c>
      <c r="G125" s="1">
        <v>7868.1840000000002</v>
      </c>
      <c r="H125" s="2">
        <v>1176895.6599999999</v>
      </c>
      <c r="I125" s="2">
        <v>-137752.24</v>
      </c>
      <c r="J125" s="1">
        <v>32374972.920000002</v>
      </c>
      <c r="K125" s="1">
        <v>1844892.4069999999</v>
      </c>
    </row>
    <row r="126" spans="1:11">
      <c r="A126" t="s">
        <v>1</v>
      </c>
      <c r="B126" s="3">
        <v>41572</v>
      </c>
      <c r="C126" s="3">
        <v>41572</v>
      </c>
      <c r="D126" t="s">
        <v>10</v>
      </c>
      <c r="E126" s="1">
        <v>17.3033</v>
      </c>
      <c r="F126" s="1">
        <v>70776</v>
      </c>
      <c r="G126" s="1">
        <v>567.57799999999997</v>
      </c>
      <c r="H126" s="2">
        <v>1222148.49</v>
      </c>
      <c r="I126" s="2">
        <v>-9800.84</v>
      </c>
      <c r="J126" s="1">
        <v>101800590.11</v>
      </c>
      <c r="K126" s="1">
        <v>5883301.2079999996</v>
      </c>
    </row>
    <row r="127" spans="1:11">
      <c r="A127" t="s">
        <v>1</v>
      </c>
      <c r="B127" s="3">
        <v>41572</v>
      </c>
      <c r="C127" s="3">
        <v>41572</v>
      </c>
      <c r="D127" t="s">
        <v>5</v>
      </c>
      <c r="E127" s="1">
        <v>16.138400000000001</v>
      </c>
      <c r="F127" s="1">
        <v>0</v>
      </c>
      <c r="G127" s="1">
        <v>55106</v>
      </c>
      <c r="H127" s="2">
        <v>0</v>
      </c>
      <c r="I127" s="2">
        <v>-887195.58</v>
      </c>
      <c r="J127" s="1">
        <v>26908823.899999999</v>
      </c>
      <c r="K127" s="1">
        <v>1667378.483</v>
      </c>
    </row>
    <row r="128" spans="1:11">
      <c r="A128" t="s">
        <v>1</v>
      </c>
      <c r="B128" s="3">
        <v>41572</v>
      </c>
      <c r="C128" s="3">
        <v>41572</v>
      </c>
      <c r="D128" t="s">
        <v>3</v>
      </c>
      <c r="E128" s="1">
        <v>10.3306</v>
      </c>
      <c r="F128" s="1">
        <v>0</v>
      </c>
      <c r="G128" s="1">
        <v>2722.6970000000001</v>
      </c>
      <c r="H128" s="2">
        <v>0</v>
      </c>
      <c r="I128" s="2">
        <v>-28061.48</v>
      </c>
      <c r="J128" s="1">
        <v>882982.93</v>
      </c>
      <c r="K128" s="1">
        <v>85472.476999999999</v>
      </c>
    </row>
    <row r="129" spans="1:11">
      <c r="A129" t="s">
        <v>1</v>
      </c>
      <c r="B129" s="3">
        <v>41572</v>
      </c>
      <c r="C129" s="3">
        <v>41572</v>
      </c>
      <c r="D129" t="s">
        <v>2</v>
      </c>
      <c r="E129" s="1">
        <v>16.143699999999999</v>
      </c>
      <c r="F129" s="1">
        <v>11435.179</v>
      </c>
      <c r="G129" s="1">
        <v>0</v>
      </c>
      <c r="H129" s="2">
        <v>184163.26</v>
      </c>
      <c r="I129" s="2">
        <v>0</v>
      </c>
      <c r="J129" s="1">
        <v>26758068.690000001</v>
      </c>
      <c r="K129" s="1">
        <v>1657494.558</v>
      </c>
    </row>
    <row r="130" spans="1:11">
      <c r="A130" t="s">
        <v>1</v>
      </c>
      <c r="B130" s="3">
        <v>41576</v>
      </c>
      <c r="C130" s="3">
        <v>41576</v>
      </c>
      <c r="D130" t="s">
        <v>7</v>
      </c>
      <c r="E130" s="1">
        <v>21.177399999999999</v>
      </c>
      <c r="F130" s="1">
        <v>3852.654</v>
      </c>
      <c r="G130" s="1">
        <v>34426.438999999998</v>
      </c>
      <c r="H130" s="2">
        <v>81022.87</v>
      </c>
      <c r="I130" s="2">
        <v>-724001.79</v>
      </c>
      <c r="J130" s="1">
        <v>149142475.90000001</v>
      </c>
      <c r="K130" s="1">
        <v>7042514.1310000001</v>
      </c>
    </row>
    <row r="131" spans="1:11">
      <c r="A131" t="s">
        <v>1</v>
      </c>
      <c r="B131" s="3">
        <v>41576</v>
      </c>
      <c r="C131" s="3">
        <v>41576</v>
      </c>
      <c r="D131" t="s">
        <v>12</v>
      </c>
      <c r="E131" s="1">
        <v>17.021899999999999</v>
      </c>
      <c r="F131" s="1">
        <v>4501.0290000000005</v>
      </c>
      <c r="G131" s="1">
        <v>9744.5370000000003</v>
      </c>
      <c r="H131" s="2">
        <v>76096.649999999994</v>
      </c>
      <c r="I131" s="2">
        <v>-164746.01999999999</v>
      </c>
      <c r="J131" s="1">
        <v>15330722.76</v>
      </c>
      <c r="K131" s="1">
        <v>900644.44200000004</v>
      </c>
    </row>
    <row r="132" spans="1:11">
      <c r="A132" t="s">
        <v>1</v>
      </c>
      <c r="B132" s="3">
        <v>41576</v>
      </c>
      <c r="C132" s="3">
        <v>41576</v>
      </c>
      <c r="D132" t="s">
        <v>6</v>
      </c>
      <c r="E132" s="1">
        <v>17.668199999999999</v>
      </c>
      <c r="F132" s="1">
        <v>2948.8870000000002</v>
      </c>
      <c r="G132" s="1">
        <v>990.99099999999999</v>
      </c>
      <c r="H132" s="2">
        <v>51748.24</v>
      </c>
      <c r="I132" s="2">
        <v>-17390.310000000001</v>
      </c>
      <c r="J132" s="1">
        <v>32630606.73</v>
      </c>
      <c r="K132" s="1">
        <v>1846850.3030000001</v>
      </c>
    </row>
    <row r="133" spans="1:11">
      <c r="A133" t="s">
        <v>1</v>
      </c>
      <c r="B133" s="3">
        <v>41576</v>
      </c>
      <c r="C133" s="3">
        <v>41576</v>
      </c>
      <c r="D133" t="s">
        <v>10</v>
      </c>
      <c r="E133" s="1">
        <v>17.370799999999999</v>
      </c>
      <c r="F133" s="1">
        <v>0</v>
      </c>
      <c r="G133" s="1">
        <v>9997.3809999999994</v>
      </c>
      <c r="H133" s="2">
        <v>0</v>
      </c>
      <c r="I133" s="2">
        <v>-172987.99</v>
      </c>
      <c r="J133" s="1">
        <v>102024060.91</v>
      </c>
      <c r="K133" s="1">
        <v>5873303.8269999996</v>
      </c>
    </row>
    <row r="134" spans="1:11">
      <c r="A134" t="s">
        <v>1</v>
      </c>
      <c r="B134" s="3">
        <v>41576</v>
      </c>
      <c r="C134" s="3">
        <v>41576</v>
      </c>
      <c r="D134" t="s">
        <v>5</v>
      </c>
      <c r="E134" s="1">
        <v>16.252600000000001</v>
      </c>
      <c r="F134" s="1">
        <v>339223</v>
      </c>
      <c r="G134" s="1">
        <v>0</v>
      </c>
      <c r="H134" s="2">
        <v>5474516.46</v>
      </c>
      <c r="I134" s="2">
        <v>0</v>
      </c>
      <c r="J134" s="1">
        <v>32612423.710000001</v>
      </c>
      <c r="K134" s="1">
        <v>2006601.483</v>
      </c>
    </row>
    <row r="135" spans="1:11">
      <c r="A135" t="s">
        <v>1</v>
      </c>
      <c r="B135" s="3">
        <v>41576</v>
      </c>
      <c r="C135" s="3">
        <v>41576</v>
      </c>
      <c r="D135" t="s">
        <v>3</v>
      </c>
      <c r="E135" s="1">
        <v>10.4011</v>
      </c>
      <c r="F135" s="1">
        <v>3245.165</v>
      </c>
      <c r="G135" s="1">
        <v>0</v>
      </c>
      <c r="H135" s="2">
        <v>33524.5</v>
      </c>
      <c r="I135" s="2">
        <v>0</v>
      </c>
      <c r="J135" s="1">
        <v>922764.91</v>
      </c>
      <c r="K135" s="1">
        <v>88717.642000000007</v>
      </c>
    </row>
    <row r="136" spans="1:11">
      <c r="A136" t="s">
        <v>1</v>
      </c>
      <c r="B136" s="3">
        <v>41576</v>
      </c>
      <c r="C136" s="3">
        <v>41576</v>
      </c>
      <c r="D136" t="s">
        <v>2</v>
      </c>
      <c r="E136" s="1">
        <v>16.257899999999999</v>
      </c>
      <c r="F136" s="1">
        <v>7220</v>
      </c>
      <c r="G136" s="1">
        <v>1007.78</v>
      </c>
      <c r="H136" s="2">
        <v>116557.6</v>
      </c>
      <c r="I136" s="2">
        <v>-16269.3</v>
      </c>
      <c r="J136" s="1">
        <v>27048355.989999998</v>
      </c>
      <c r="K136" s="1">
        <v>1663706.7779999999</v>
      </c>
    </row>
    <row r="137" spans="1:11">
      <c r="A137" t="s">
        <v>1</v>
      </c>
      <c r="B137" s="3">
        <v>41576</v>
      </c>
      <c r="C137" s="3">
        <v>41576</v>
      </c>
      <c r="D137" t="s">
        <v>9</v>
      </c>
      <c r="E137" s="1">
        <v>17.153300000000002</v>
      </c>
      <c r="F137" s="1">
        <v>0</v>
      </c>
      <c r="G137" s="1">
        <v>38.116</v>
      </c>
      <c r="H137" s="2">
        <v>0</v>
      </c>
      <c r="I137" s="2">
        <v>-649.24</v>
      </c>
      <c r="J137" s="1">
        <v>412256.63</v>
      </c>
      <c r="K137" s="1">
        <v>24033.601999999999</v>
      </c>
    </row>
    <row r="138" spans="1:11">
      <c r="A138" t="s">
        <v>1</v>
      </c>
      <c r="B138" s="3">
        <v>41577</v>
      </c>
      <c r="C138" s="3">
        <v>41577</v>
      </c>
      <c r="D138" t="s">
        <v>8</v>
      </c>
      <c r="E138" s="1">
        <v>17.2498</v>
      </c>
      <c r="F138" s="1">
        <v>16.059999999999999</v>
      </c>
      <c r="G138" s="1">
        <v>80.302000000000007</v>
      </c>
      <c r="H138" s="2">
        <v>275.19</v>
      </c>
      <c r="I138" s="2">
        <v>-1375.95</v>
      </c>
      <c r="J138" s="1">
        <v>7058307.4000000004</v>
      </c>
      <c r="K138" s="1">
        <v>409182.62800000003</v>
      </c>
    </row>
    <row r="139" spans="1:11">
      <c r="A139" t="s">
        <v>1</v>
      </c>
      <c r="B139" s="3">
        <v>41577</v>
      </c>
      <c r="C139" s="3">
        <v>41577</v>
      </c>
      <c r="D139" t="s">
        <v>7</v>
      </c>
      <c r="E139" s="1">
        <v>21.319700000000001</v>
      </c>
      <c r="F139" s="1">
        <v>546514.60600000003</v>
      </c>
      <c r="G139" s="1">
        <v>115936.49400000001</v>
      </c>
      <c r="H139" s="2">
        <v>11573758.380000001</v>
      </c>
      <c r="I139" s="2">
        <v>-2455233.52</v>
      </c>
      <c r="J139" s="1">
        <v>159323748.80000001</v>
      </c>
      <c r="K139" s="1">
        <v>7473092.2429999998</v>
      </c>
    </row>
    <row r="140" spans="1:11">
      <c r="A140" t="s">
        <v>1</v>
      </c>
      <c r="B140" s="3">
        <v>41577</v>
      </c>
      <c r="C140" s="3">
        <v>41577</v>
      </c>
      <c r="D140" t="s">
        <v>12</v>
      </c>
      <c r="E140" s="1">
        <v>17.1356</v>
      </c>
      <c r="F140" s="1">
        <v>2173.67</v>
      </c>
      <c r="G140" s="1">
        <v>71166.930999999997</v>
      </c>
      <c r="H140" s="2">
        <v>37000</v>
      </c>
      <c r="I140" s="2">
        <v>-1211396.3799999999</v>
      </c>
      <c r="J140" s="1">
        <v>14250806.630000001</v>
      </c>
      <c r="K140" s="1">
        <v>831651.18099999998</v>
      </c>
    </row>
    <row r="141" spans="1:11">
      <c r="A141" t="s">
        <v>1</v>
      </c>
      <c r="B141" s="3">
        <v>41577</v>
      </c>
      <c r="C141" s="3">
        <v>41577</v>
      </c>
      <c r="D141" t="s">
        <v>6</v>
      </c>
      <c r="E141" s="1">
        <v>17.786200000000001</v>
      </c>
      <c r="F141" s="1">
        <v>49170.336000000003</v>
      </c>
      <c r="G141" s="1">
        <v>45817.32</v>
      </c>
      <c r="H141" s="2">
        <v>868751.35999999999</v>
      </c>
      <c r="I141" s="2">
        <v>-809509.55</v>
      </c>
      <c r="J141" s="1">
        <v>32908022.699999999</v>
      </c>
      <c r="K141" s="1">
        <v>1850203.3189999999</v>
      </c>
    </row>
    <row r="142" spans="1:11">
      <c r="A142" t="s">
        <v>1</v>
      </c>
      <c r="B142" s="3">
        <v>41577</v>
      </c>
      <c r="C142" s="3">
        <v>41577</v>
      </c>
      <c r="D142" t="s">
        <v>10</v>
      </c>
      <c r="E142" s="1">
        <v>17.488399999999999</v>
      </c>
      <c r="F142" s="1">
        <v>609.91999999999996</v>
      </c>
      <c r="G142" s="1">
        <v>15088.841</v>
      </c>
      <c r="H142" s="2">
        <v>10594.82</v>
      </c>
      <c r="I142" s="2">
        <v>-262105.51</v>
      </c>
      <c r="J142" s="1">
        <v>102461288.44</v>
      </c>
      <c r="K142" s="1">
        <v>5858824.9060000004</v>
      </c>
    </row>
    <row r="143" spans="1:11">
      <c r="A143" t="s">
        <v>1</v>
      </c>
      <c r="B143" s="3">
        <v>41577</v>
      </c>
      <c r="C143" s="3">
        <v>41577</v>
      </c>
      <c r="D143" t="s">
        <v>5</v>
      </c>
      <c r="E143" s="1">
        <v>16.361999999999998</v>
      </c>
      <c r="F143" s="1">
        <v>149807</v>
      </c>
      <c r="G143" s="1">
        <v>0</v>
      </c>
      <c r="H143" s="2">
        <v>2434753.25</v>
      </c>
      <c r="I143" s="2">
        <v>0</v>
      </c>
      <c r="J143" s="1">
        <v>35283244.509999998</v>
      </c>
      <c r="K143" s="1">
        <v>2156408.483</v>
      </c>
    </row>
    <row r="144" spans="1:11">
      <c r="A144" t="s">
        <v>1</v>
      </c>
      <c r="B144" s="3">
        <v>41577</v>
      </c>
      <c r="C144" s="3">
        <v>41577</v>
      </c>
      <c r="D144" t="s">
        <v>2</v>
      </c>
      <c r="E144" s="1">
        <v>16.3674</v>
      </c>
      <c r="F144" s="1">
        <v>14801.152</v>
      </c>
      <c r="G144" s="1">
        <v>201.55600000000001</v>
      </c>
      <c r="H144" s="2">
        <v>240634.66</v>
      </c>
      <c r="I144" s="2">
        <v>-3276.86</v>
      </c>
      <c r="J144" s="1">
        <v>27469502.399999999</v>
      </c>
      <c r="K144" s="1">
        <v>1678306.3740000001</v>
      </c>
    </row>
    <row r="145" spans="1:11">
      <c r="A145" t="s">
        <v>1</v>
      </c>
      <c r="B145" s="3">
        <v>41577</v>
      </c>
      <c r="C145" s="3">
        <v>41577</v>
      </c>
      <c r="D145" t="s">
        <v>9</v>
      </c>
      <c r="E145" s="1">
        <v>17.268799999999999</v>
      </c>
      <c r="F145" s="1">
        <v>0</v>
      </c>
      <c r="G145" s="1">
        <v>2.0990000000000002</v>
      </c>
      <c r="H145" s="2">
        <v>0</v>
      </c>
      <c r="I145" s="2">
        <v>-36.01</v>
      </c>
      <c r="J145" s="1">
        <v>414994.4</v>
      </c>
      <c r="K145" s="1">
        <v>24031.503000000001</v>
      </c>
    </row>
    <row r="146" spans="1:11">
      <c r="A146" t="s">
        <v>1</v>
      </c>
      <c r="B146" s="3">
        <v>41578</v>
      </c>
      <c r="C146" s="3">
        <v>41578</v>
      </c>
      <c r="D146" t="s">
        <v>7</v>
      </c>
      <c r="E146" s="1">
        <v>21.2288</v>
      </c>
      <c r="F146" s="1">
        <v>9834.2279999999992</v>
      </c>
      <c r="G146" s="1">
        <v>36891.705999999998</v>
      </c>
      <c r="H146" s="2">
        <v>209662.78</v>
      </c>
      <c r="I146" s="2">
        <v>-786520.11</v>
      </c>
      <c r="J146" s="1">
        <v>158070684.96000001</v>
      </c>
      <c r="K146" s="1">
        <v>7446034.7649999997</v>
      </c>
    </row>
    <row r="147" spans="1:11">
      <c r="A147" t="s">
        <v>1</v>
      </c>
      <c r="B147" s="3">
        <v>41578</v>
      </c>
      <c r="C147" s="3">
        <v>41578</v>
      </c>
      <c r="D147" t="s">
        <v>12</v>
      </c>
      <c r="E147" s="1">
        <v>17.061900000000001</v>
      </c>
      <c r="F147" s="1">
        <v>21309.241000000002</v>
      </c>
      <c r="G147" s="1">
        <v>6853.39</v>
      </c>
      <c r="H147" s="2">
        <v>365146.63</v>
      </c>
      <c r="I147" s="2">
        <v>-117436.95</v>
      </c>
      <c r="J147" s="1">
        <v>14436161.82</v>
      </c>
      <c r="K147" s="1">
        <v>846107.03200000001</v>
      </c>
    </row>
    <row r="148" spans="1:11">
      <c r="A148" t="s">
        <v>1</v>
      </c>
      <c r="B148" s="3">
        <v>41578</v>
      </c>
      <c r="C148" s="3">
        <v>41578</v>
      </c>
      <c r="D148" t="s">
        <v>6</v>
      </c>
      <c r="E148" s="1">
        <v>17.709700000000002</v>
      </c>
      <c r="F148" s="1">
        <v>308.57</v>
      </c>
      <c r="G148" s="1">
        <v>40966.961000000003</v>
      </c>
      <c r="H148" s="2">
        <v>5488.3</v>
      </c>
      <c r="I148" s="2">
        <v>-728646.57</v>
      </c>
      <c r="J148" s="1">
        <v>32046445.449999999</v>
      </c>
      <c r="K148" s="1">
        <v>1809544.9280000001</v>
      </c>
    </row>
    <row r="149" spans="1:11">
      <c r="A149" t="s">
        <v>1</v>
      </c>
      <c r="B149" s="3">
        <v>41578</v>
      </c>
      <c r="C149" s="3">
        <v>41578</v>
      </c>
      <c r="D149" t="s">
        <v>10</v>
      </c>
      <c r="E149" s="1">
        <v>17.258800000000001</v>
      </c>
      <c r="F149" s="1">
        <v>0</v>
      </c>
      <c r="G149" s="1">
        <v>731.75900000000001</v>
      </c>
      <c r="H149" s="2">
        <v>0</v>
      </c>
      <c r="I149" s="2">
        <v>-12797.27</v>
      </c>
      <c r="J149" s="1">
        <v>101103709.3</v>
      </c>
      <c r="K149" s="1">
        <v>5858093.1469999999</v>
      </c>
    </row>
    <row r="150" spans="1:11">
      <c r="A150" t="s">
        <v>1</v>
      </c>
      <c r="B150" s="3">
        <v>41578</v>
      </c>
      <c r="C150" s="3">
        <v>41578</v>
      </c>
      <c r="D150" t="s">
        <v>5</v>
      </c>
      <c r="E150" s="1">
        <v>16.2927</v>
      </c>
      <c r="F150" s="1">
        <v>0</v>
      </c>
      <c r="G150" s="1">
        <v>23456</v>
      </c>
      <c r="H150" s="2">
        <v>0</v>
      </c>
      <c r="I150" s="2">
        <v>-383787.07</v>
      </c>
      <c r="J150" s="1">
        <v>34751515</v>
      </c>
      <c r="K150" s="1">
        <v>2132952.483</v>
      </c>
    </row>
    <row r="151" spans="1:11">
      <c r="A151" t="s">
        <v>1</v>
      </c>
      <c r="B151" s="3">
        <v>41578</v>
      </c>
      <c r="C151" s="3">
        <v>41578</v>
      </c>
      <c r="D151" t="s">
        <v>2</v>
      </c>
      <c r="E151" s="1">
        <v>16.297999999999998</v>
      </c>
      <c r="F151" s="1">
        <v>17487.919999999998</v>
      </c>
      <c r="G151" s="1">
        <v>710</v>
      </c>
      <c r="H151" s="2">
        <v>286232.64</v>
      </c>
      <c r="I151" s="2">
        <v>-11620.89</v>
      </c>
      <c r="J151" s="1">
        <v>27626503.960000001</v>
      </c>
      <c r="K151" s="1">
        <v>1695084.294</v>
      </c>
    </row>
    <row r="152" spans="1:11">
      <c r="A152" t="s">
        <v>1</v>
      </c>
      <c r="B152" s="3">
        <v>41579</v>
      </c>
      <c r="C152" s="3">
        <v>41579</v>
      </c>
      <c r="D152" t="s">
        <v>7</v>
      </c>
      <c r="E152" s="1">
        <v>21.156099999999999</v>
      </c>
      <c r="F152" s="1">
        <v>1075.6420000000001</v>
      </c>
      <c r="G152" s="1">
        <v>117505.083</v>
      </c>
      <c r="H152" s="2">
        <v>22834.62</v>
      </c>
      <c r="I152" s="2">
        <v>-2494491.9</v>
      </c>
      <c r="J152" s="1">
        <v>155065836.63</v>
      </c>
      <c r="K152" s="1">
        <v>7329605.324</v>
      </c>
    </row>
    <row r="153" spans="1:11">
      <c r="A153" t="s">
        <v>1</v>
      </c>
      <c r="B153" s="3">
        <v>41579</v>
      </c>
      <c r="C153" s="3">
        <v>41579</v>
      </c>
      <c r="D153" t="s">
        <v>12</v>
      </c>
      <c r="E153" s="1">
        <v>17.002700000000001</v>
      </c>
      <c r="F153" s="1">
        <v>0</v>
      </c>
      <c r="G153" s="1">
        <v>54989.053999999996</v>
      </c>
      <c r="H153" s="2">
        <v>0</v>
      </c>
      <c r="I153" s="2">
        <v>-938217.72</v>
      </c>
      <c r="J153" s="1">
        <v>13451136.01</v>
      </c>
      <c r="K153" s="1">
        <v>791117.978</v>
      </c>
    </row>
    <row r="154" spans="1:11">
      <c r="A154" t="s">
        <v>1</v>
      </c>
      <c r="B154" s="3">
        <v>41579</v>
      </c>
      <c r="C154" s="3">
        <v>41579</v>
      </c>
      <c r="D154" t="s">
        <v>6</v>
      </c>
      <c r="E154" s="1">
        <v>17.648299999999999</v>
      </c>
      <c r="F154" s="1">
        <v>0</v>
      </c>
      <c r="G154" s="1">
        <v>1786.2070000000001</v>
      </c>
      <c r="H154" s="2">
        <v>0</v>
      </c>
      <c r="I154" s="2">
        <v>-31633.19</v>
      </c>
      <c r="J154" s="1">
        <v>31903791.449999999</v>
      </c>
      <c r="K154" s="1">
        <v>1807758.7209999999</v>
      </c>
    </row>
    <row r="155" spans="1:11">
      <c r="A155" t="s">
        <v>1</v>
      </c>
      <c r="B155" s="3">
        <v>41579</v>
      </c>
      <c r="C155" s="3">
        <v>41579</v>
      </c>
      <c r="D155" t="s">
        <v>10</v>
      </c>
      <c r="E155" s="1">
        <v>17.0412</v>
      </c>
      <c r="F155" s="1">
        <v>0</v>
      </c>
      <c r="G155" s="1">
        <v>20859.330000000002</v>
      </c>
      <c r="H155" s="2">
        <v>0</v>
      </c>
      <c r="I155" s="2">
        <v>-360007.85</v>
      </c>
      <c r="J155" s="1">
        <v>99473211.400000006</v>
      </c>
      <c r="K155" s="1">
        <v>5837233.8169999998</v>
      </c>
    </row>
    <row r="156" spans="1:11">
      <c r="A156" t="s">
        <v>1</v>
      </c>
      <c r="B156" s="3">
        <v>41579</v>
      </c>
      <c r="C156" s="3">
        <v>41579</v>
      </c>
      <c r="D156" t="s">
        <v>5</v>
      </c>
      <c r="E156" s="1">
        <v>16.237200000000001</v>
      </c>
      <c r="F156" s="1">
        <v>0</v>
      </c>
      <c r="G156" s="1">
        <v>82657</v>
      </c>
      <c r="H156" s="2">
        <v>0</v>
      </c>
      <c r="I156" s="2">
        <v>-1346705.7</v>
      </c>
      <c r="J156" s="1">
        <v>33291027.48</v>
      </c>
      <c r="K156" s="1">
        <v>2050295.483</v>
      </c>
    </row>
    <row r="157" spans="1:11">
      <c r="A157" t="s">
        <v>1</v>
      </c>
      <c r="B157" s="3">
        <v>41579</v>
      </c>
      <c r="C157" s="3">
        <v>41579</v>
      </c>
      <c r="D157" t="s">
        <v>3</v>
      </c>
      <c r="E157" s="1">
        <v>10.3894</v>
      </c>
      <c r="F157" s="1">
        <v>0</v>
      </c>
      <c r="G157" s="1">
        <v>2111.6170000000002</v>
      </c>
      <c r="H157" s="2">
        <v>0</v>
      </c>
      <c r="I157" s="2">
        <v>-22014.66</v>
      </c>
      <c r="J157" s="1">
        <v>899782.67</v>
      </c>
      <c r="K157" s="1">
        <v>86606.024999999994</v>
      </c>
    </row>
    <row r="158" spans="1:11">
      <c r="A158" t="s">
        <v>1</v>
      </c>
      <c r="B158" s="3">
        <v>41579</v>
      </c>
      <c r="C158" s="3">
        <v>41579</v>
      </c>
      <c r="D158" t="s">
        <v>2</v>
      </c>
      <c r="E158" s="1">
        <v>16.2425</v>
      </c>
      <c r="F158" s="1">
        <v>7837.232</v>
      </c>
      <c r="G158" s="1">
        <v>0</v>
      </c>
      <c r="H158" s="2">
        <v>127730.81</v>
      </c>
      <c r="I158" s="2">
        <v>0</v>
      </c>
      <c r="J158" s="1">
        <v>27659699.649999999</v>
      </c>
      <c r="K158" s="1">
        <v>1702921.5260000001</v>
      </c>
    </row>
    <row r="159" spans="1:11">
      <c r="A159" t="s">
        <v>1</v>
      </c>
      <c r="B159" s="3">
        <v>41582</v>
      </c>
      <c r="C159" s="3">
        <v>41582</v>
      </c>
      <c r="D159" t="s">
        <v>7</v>
      </c>
      <c r="E159" s="1">
        <v>21.255400000000002</v>
      </c>
      <c r="F159" s="1">
        <v>4368.5789999999997</v>
      </c>
      <c r="G159" s="1">
        <v>12718.716</v>
      </c>
      <c r="H159" s="2">
        <v>92422.09</v>
      </c>
      <c r="I159" s="2">
        <v>-269078.43</v>
      </c>
      <c r="J159" s="1">
        <v>155616402.69</v>
      </c>
      <c r="K159" s="1">
        <v>7321255.1869999999</v>
      </c>
    </row>
    <row r="160" spans="1:11">
      <c r="A160" t="s">
        <v>1</v>
      </c>
      <c r="B160" s="3">
        <v>41582</v>
      </c>
      <c r="C160" s="3">
        <v>41582</v>
      </c>
      <c r="D160" t="s">
        <v>12</v>
      </c>
      <c r="E160" s="1">
        <v>17.080400000000001</v>
      </c>
      <c r="F160" s="1">
        <v>102372.14200000001</v>
      </c>
      <c r="G160" s="1">
        <v>14049.4</v>
      </c>
      <c r="H160" s="2">
        <v>1740602.8</v>
      </c>
      <c r="I160" s="2">
        <v>-238877.75</v>
      </c>
      <c r="J160" s="1">
        <v>15021222.939999999</v>
      </c>
      <c r="K160" s="1">
        <v>879440.72</v>
      </c>
    </row>
    <row r="161" spans="1:11">
      <c r="A161" t="s">
        <v>1</v>
      </c>
      <c r="B161" s="3">
        <v>41582</v>
      </c>
      <c r="C161" s="3">
        <v>41582</v>
      </c>
      <c r="D161" t="s">
        <v>6</v>
      </c>
      <c r="E161" s="1">
        <v>17.728899999999999</v>
      </c>
      <c r="F161" s="1">
        <v>2946.4589999999998</v>
      </c>
      <c r="G161" s="1">
        <v>31354.034</v>
      </c>
      <c r="H161" s="2">
        <v>52000</v>
      </c>
      <c r="I161" s="2">
        <v>-553345.38</v>
      </c>
      <c r="J161" s="1">
        <v>31546012.620000001</v>
      </c>
      <c r="K161" s="1">
        <v>1779351.1459999999</v>
      </c>
    </row>
    <row r="162" spans="1:11">
      <c r="A162" t="s">
        <v>1</v>
      </c>
      <c r="B162" s="3">
        <v>41582</v>
      </c>
      <c r="C162" s="3">
        <v>41582</v>
      </c>
      <c r="D162" t="s">
        <v>10</v>
      </c>
      <c r="E162" s="1">
        <v>17.113499999999998</v>
      </c>
      <c r="F162" s="1">
        <v>4650</v>
      </c>
      <c r="G162" s="1">
        <v>0</v>
      </c>
      <c r="H162" s="2">
        <v>79241.58</v>
      </c>
      <c r="I162" s="2">
        <v>0</v>
      </c>
      <c r="J162" s="1">
        <v>99974895.549999997</v>
      </c>
      <c r="K162" s="1">
        <v>5841883.8169999998</v>
      </c>
    </row>
    <row r="163" spans="1:11">
      <c r="A163" t="s">
        <v>1</v>
      </c>
      <c r="B163" s="3">
        <v>41582</v>
      </c>
      <c r="C163" s="3">
        <v>41582</v>
      </c>
      <c r="D163" t="s">
        <v>5</v>
      </c>
      <c r="E163" s="1">
        <v>16.314399999999999</v>
      </c>
      <c r="F163" s="1">
        <v>29620</v>
      </c>
      <c r="G163" s="1">
        <v>0</v>
      </c>
      <c r="H163" s="2">
        <v>480945.86</v>
      </c>
      <c r="I163" s="2">
        <v>0</v>
      </c>
      <c r="J163" s="1">
        <v>33932618.460000001</v>
      </c>
      <c r="K163" s="1">
        <v>2079915.483</v>
      </c>
    </row>
    <row r="164" spans="1:11">
      <c r="A164" t="s">
        <v>1</v>
      </c>
      <c r="B164" s="3">
        <v>41582</v>
      </c>
      <c r="C164" s="3">
        <v>41582</v>
      </c>
      <c r="D164" t="s">
        <v>2</v>
      </c>
      <c r="E164" s="1">
        <v>16.319800000000001</v>
      </c>
      <c r="F164" s="1">
        <v>8538.6170000000002</v>
      </c>
      <c r="G164" s="1">
        <v>570</v>
      </c>
      <c r="H164" s="2">
        <v>138688.34</v>
      </c>
      <c r="I164" s="2">
        <v>-9258.2199999999993</v>
      </c>
      <c r="J164" s="1">
        <v>27921315.93</v>
      </c>
      <c r="K164" s="1">
        <v>1710890.1429999999</v>
      </c>
    </row>
    <row r="165" spans="1:11">
      <c r="A165" t="s">
        <v>1</v>
      </c>
      <c r="B165" s="3">
        <v>41583</v>
      </c>
      <c r="C165" s="3">
        <v>41583</v>
      </c>
      <c r="D165" t="s">
        <v>7</v>
      </c>
      <c r="E165" s="1">
        <v>21.340800000000002</v>
      </c>
      <c r="F165" s="1">
        <v>47883.233999999997</v>
      </c>
      <c r="G165" s="1">
        <v>1371.826</v>
      </c>
      <c r="H165" s="2">
        <v>1017777.29</v>
      </c>
      <c r="I165" s="2">
        <v>-29158.7</v>
      </c>
      <c r="J165" s="1">
        <v>157234092.06999999</v>
      </c>
      <c r="K165" s="1">
        <v>7367766.5949999997</v>
      </c>
    </row>
    <row r="166" spans="1:11">
      <c r="A166" t="s">
        <v>1</v>
      </c>
      <c r="B166" s="3">
        <v>41583</v>
      </c>
      <c r="C166" s="3">
        <v>41583</v>
      </c>
      <c r="D166" t="s">
        <v>12</v>
      </c>
      <c r="E166" s="1">
        <v>17.148299999999999</v>
      </c>
      <c r="F166" s="1">
        <v>2715.9810000000002</v>
      </c>
      <c r="G166" s="1">
        <v>1472.29</v>
      </c>
      <c r="H166" s="2">
        <v>46390.05</v>
      </c>
      <c r="I166" s="2">
        <v>-25147.3</v>
      </c>
      <c r="J166" s="1">
        <v>15102271.99</v>
      </c>
      <c r="K166" s="1">
        <v>880684.41099999996</v>
      </c>
    </row>
    <row r="167" spans="1:11">
      <c r="A167" t="s">
        <v>1</v>
      </c>
      <c r="B167" s="3">
        <v>41583</v>
      </c>
      <c r="C167" s="3">
        <v>41583</v>
      </c>
      <c r="D167" t="s">
        <v>6</v>
      </c>
      <c r="E167" s="1">
        <v>17.799399999999999</v>
      </c>
      <c r="F167" s="1">
        <v>166729.60800000001</v>
      </c>
      <c r="G167" s="1">
        <v>1292.6079999999999</v>
      </c>
      <c r="H167" s="2">
        <v>2955932.39</v>
      </c>
      <c r="I167" s="2">
        <v>-22916.52</v>
      </c>
      <c r="J167" s="1">
        <v>34616111.259999998</v>
      </c>
      <c r="K167" s="1">
        <v>1944788.1459999999</v>
      </c>
    </row>
    <row r="168" spans="1:11">
      <c r="A168" t="s">
        <v>1</v>
      </c>
      <c r="B168" s="3">
        <v>41583</v>
      </c>
      <c r="C168" s="3">
        <v>41583</v>
      </c>
      <c r="D168" t="s">
        <v>10</v>
      </c>
      <c r="E168" s="1">
        <v>17.1645</v>
      </c>
      <c r="F168" s="1">
        <v>3</v>
      </c>
      <c r="G168" s="1">
        <v>1570.6890000000001</v>
      </c>
      <c r="H168" s="2">
        <v>51.34</v>
      </c>
      <c r="I168" s="2">
        <v>-26879.93</v>
      </c>
      <c r="J168" s="1">
        <v>100245931.95999999</v>
      </c>
      <c r="K168" s="1">
        <v>5840316.1279999996</v>
      </c>
    </row>
    <row r="169" spans="1:11">
      <c r="A169" t="s">
        <v>1</v>
      </c>
      <c r="B169" s="3">
        <v>41583</v>
      </c>
      <c r="C169" s="3">
        <v>41583</v>
      </c>
      <c r="D169" t="s">
        <v>5</v>
      </c>
      <c r="E169" s="1">
        <v>16.380299999999998</v>
      </c>
      <c r="F169" s="1">
        <v>0</v>
      </c>
      <c r="G169" s="1">
        <v>71259</v>
      </c>
      <c r="H169" s="2">
        <v>0</v>
      </c>
      <c r="I169" s="2">
        <v>-1162547.83</v>
      </c>
      <c r="J169" s="1">
        <v>32902378.960000001</v>
      </c>
      <c r="K169" s="1">
        <v>2008656.483</v>
      </c>
    </row>
    <row r="170" spans="1:11">
      <c r="A170" t="s">
        <v>1</v>
      </c>
      <c r="B170" s="3">
        <v>41583</v>
      </c>
      <c r="C170" s="3">
        <v>41583</v>
      </c>
      <c r="D170" t="s">
        <v>2</v>
      </c>
      <c r="E170" s="1">
        <v>16.3857</v>
      </c>
      <c r="F170" s="1">
        <v>17965</v>
      </c>
      <c r="G170" s="1">
        <v>0</v>
      </c>
      <c r="H170" s="2">
        <v>293186.46999999997</v>
      </c>
      <c r="I170" s="2">
        <v>0</v>
      </c>
      <c r="J170" s="1">
        <v>28328417.710000001</v>
      </c>
      <c r="K170" s="1">
        <v>1728855.1429999999</v>
      </c>
    </row>
    <row r="171" spans="1:11">
      <c r="A171" t="s">
        <v>1</v>
      </c>
      <c r="B171" s="3">
        <v>41584</v>
      </c>
      <c r="C171" s="3">
        <v>41584</v>
      </c>
      <c r="D171" t="s">
        <v>7</v>
      </c>
      <c r="E171" s="1">
        <v>21.249700000000001</v>
      </c>
      <c r="F171" s="1">
        <v>16958.598999999998</v>
      </c>
      <c r="G171" s="1">
        <v>89548.930999999997</v>
      </c>
      <c r="H171" s="2">
        <v>361910.08</v>
      </c>
      <c r="I171" s="2">
        <v>-1911045.82</v>
      </c>
      <c r="J171" s="1">
        <v>155020667.86000001</v>
      </c>
      <c r="K171" s="1">
        <v>7295176.2630000003</v>
      </c>
    </row>
    <row r="172" spans="1:11">
      <c r="A172" t="s">
        <v>1</v>
      </c>
      <c r="B172" s="3">
        <v>41584</v>
      </c>
      <c r="C172" s="3">
        <v>41584</v>
      </c>
      <c r="D172" t="s">
        <v>12</v>
      </c>
      <c r="E172" s="1">
        <v>17.0745</v>
      </c>
      <c r="F172" s="1">
        <v>4544.5789999999997</v>
      </c>
      <c r="G172" s="1">
        <v>4562.0379999999996</v>
      </c>
      <c r="H172" s="2">
        <v>77931.81</v>
      </c>
      <c r="I172" s="2">
        <v>-78231.19</v>
      </c>
      <c r="J172" s="1">
        <v>15036913.720000001</v>
      </c>
      <c r="K172" s="1">
        <v>880666.95200000005</v>
      </c>
    </row>
    <row r="173" spans="1:11">
      <c r="A173" t="s">
        <v>1</v>
      </c>
      <c r="B173" s="3">
        <v>41584</v>
      </c>
      <c r="C173" s="3">
        <v>41584</v>
      </c>
      <c r="D173" t="s">
        <v>6</v>
      </c>
      <c r="E173" s="1">
        <v>17.7227</v>
      </c>
      <c r="F173" s="1">
        <v>33489.326000000001</v>
      </c>
      <c r="G173" s="1">
        <v>4841.6499999999996</v>
      </c>
      <c r="H173" s="2">
        <v>596089.97</v>
      </c>
      <c r="I173" s="2">
        <v>-86178.45</v>
      </c>
      <c r="J173" s="1">
        <v>34974700.829999998</v>
      </c>
      <c r="K173" s="1">
        <v>1973435.8219999999</v>
      </c>
    </row>
    <row r="174" spans="1:11">
      <c r="A174" t="s">
        <v>1</v>
      </c>
      <c r="B174" s="3">
        <v>41584</v>
      </c>
      <c r="C174" s="3">
        <v>41584</v>
      </c>
      <c r="D174" t="s">
        <v>10</v>
      </c>
      <c r="E174" s="1">
        <v>17.110199999999999</v>
      </c>
      <c r="F174" s="1">
        <v>4466.1980000000003</v>
      </c>
      <c r="G174" s="1">
        <v>1008</v>
      </c>
      <c r="H174" s="2">
        <v>76660.240000000005</v>
      </c>
      <c r="I174" s="2">
        <v>-17301.849999999999</v>
      </c>
      <c r="J174" s="1">
        <v>99988091.590000004</v>
      </c>
      <c r="K174" s="1">
        <v>5843774.3260000004</v>
      </c>
    </row>
    <row r="175" spans="1:11">
      <c r="A175" t="s">
        <v>1</v>
      </c>
      <c r="B175" s="3">
        <v>41584</v>
      </c>
      <c r="C175" s="3">
        <v>41584</v>
      </c>
      <c r="D175" t="s">
        <v>5</v>
      </c>
      <c r="E175" s="1">
        <v>16.310700000000001</v>
      </c>
      <c r="F175" s="1">
        <v>0</v>
      </c>
      <c r="G175" s="1">
        <v>49153</v>
      </c>
      <c r="H175" s="2">
        <v>0</v>
      </c>
      <c r="I175" s="2">
        <v>-805140.89</v>
      </c>
      <c r="J175" s="1">
        <v>31960942.649999999</v>
      </c>
      <c r="K175" s="1">
        <v>1959503.483</v>
      </c>
    </row>
    <row r="176" spans="1:11">
      <c r="A176" t="s">
        <v>1</v>
      </c>
      <c r="B176" s="3">
        <v>41584</v>
      </c>
      <c r="C176" s="3">
        <v>41584</v>
      </c>
      <c r="D176" t="s">
        <v>3</v>
      </c>
      <c r="E176" s="1">
        <v>10.433199999999999</v>
      </c>
      <c r="F176" s="1">
        <v>1699.5630000000001</v>
      </c>
      <c r="G176" s="1">
        <v>0</v>
      </c>
      <c r="H176" s="2">
        <v>17808.7</v>
      </c>
      <c r="I176" s="2">
        <v>0</v>
      </c>
      <c r="J176" s="1">
        <v>921312.61</v>
      </c>
      <c r="K176" s="1">
        <v>88305.588000000003</v>
      </c>
    </row>
    <row r="177" spans="1:11">
      <c r="A177" t="s">
        <v>1</v>
      </c>
      <c r="B177" s="3">
        <v>41584</v>
      </c>
      <c r="C177" s="3">
        <v>41584</v>
      </c>
      <c r="D177" t="s">
        <v>2</v>
      </c>
      <c r="E177" s="1">
        <v>16.316099999999999</v>
      </c>
      <c r="F177" s="1">
        <v>5985.86</v>
      </c>
      <c r="G177" s="1">
        <v>700</v>
      </c>
      <c r="H177" s="2">
        <v>98082.21</v>
      </c>
      <c r="I177" s="2">
        <v>-11469.95</v>
      </c>
      <c r="J177" s="1">
        <v>28294370.43</v>
      </c>
      <c r="K177" s="1">
        <v>1734141.003</v>
      </c>
    </row>
    <row r="178" spans="1:11">
      <c r="A178" t="s">
        <v>1</v>
      </c>
      <c r="B178" s="3">
        <v>41585</v>
      </c>
      <c r="C178" s="3">
        <v>41585</v>
      </c>
      <c r="D178" t="s">
        <v>7</v>
      </c>
      <c r="E178" s="1">
        <v>21.386500000000002</v>
      </c>
      <c r="F178" s="1">
        <v>805783.96699999995</v>
      </c>
      <c r="G178" s="1">
        <v>11108.895</v>
      </c>
      <c r="H178" s="2">
        <v>17122667.600000001</v>
      </c>
      <c r="I178" s="2">
        <v>-236060.67</v>
      </c>
      <c r="J178" s="1">
        <v>173013546.30000001</v>
      </c>
      <c r="K178" s="1">
        <v>8089851.335</v>
      </c>
    </row>
    <row r="179" spans="1:11">
      <c r="A179" t="s">
        <v>1</v>
      </c>
      <c r="B179" s="3">
        <v>41585</v>
      </c>
      <c r="C179" s="3">
        <v>41585</v>
      </c>
      <c r="D179" t="s">
        <v>12</v>
      </c>
      <c r="E179" s="1">
        <v>17.183599999999998</v>
      </c>
      <c r="F179" s="1">
        <v>75598.792000000001</v>
      </c>
      <c r="G179" s="1">
        <v>1106.3989999999999</v>
      </c>
      <c r="H179" s="2">
        <v>1290811.6100000001</v>
      </c>
      <c r="I179" s="2">
        <v>-18891.21</v>
      </c>
      <c r="J179" s="1">
        <v>16413115.810000001</v>
      </c>
      <c r="K179" s="1">
        <v>955159.34499999997</v>
      </c>
    </row>
    <row r="180" spans="1:11">
      <c r="A180" t="s">
        <v>1</v>
      </c>
      <c r="B180" s="3">
        <v>41585</v>
      </c>
      <c r="C180" s="3">
        <v>41585</v>
      </c>
      <c r="D180" t="s">
        <v>6</v>
      </c>
      <c r="E180" s="1">
        <v>17.836099999999998</v>
      </c>
      <c r="F180" s="1">
        <v>42053.091999999997</v>
      </c>
      <c r="G180" s="1">
        <v>53.195999999999998</v>
      </c>
      <c r="H180" s="2">
        <v>745294.28</v>
      </c>
      <c r="I180" s="2">
        <v>-942.78</v>
      </c>
      <c r="J180" s="1">
        <v>35947446.560000002</v>
      </c>
      <c r="K180" s="1">
        <v>2015435.7180000001</v>
      </c>
    </row>
    <row r="181" spans="1:11">
      <c r="A181" t="s">
        <v>1</v>
      </c>
      <c r="B181" s="3">
        <v>41585</v>
      </c>
      <c r="C181" s="3">
        <v>41585</v>
      </c>
      <c r="D181" t="s">
        <v>10</v>
      </c>
      <c r="E181" s="1">
        <v>17.219100000000001</v>
      </c>
      <c r="F181" s="1">
        <v>9132</v>
      </c>
      <c r="G181" s="1">
        <v>29793.967000000001</v>
      </c>
      <c r="H181" s="2">
        <v>156249.76999999999</v>
      </c>
      <c r="I181" s="2">
        <v>-509778.83</v>
      </c>
      <c r="J181" s="1">
        <v>100269036.77</v>
      </c>
      <c r="K181" s="1">
        <v>5823112.3590000002</v>
      </c>
    </row>
    <row r="182" spans="1:11">
      <c r="A182" t="s">
        <v>1</v>
      </c>
      <c r="B182" s="3">
        <v>41585</v>
      </c>
      <c r="C182" s="3">
        <v>41585</v>
      </c>
      <c r="D182" t="s">
        <v>5</v>
      </c>
      <c r="E182" s="1">
        <v>16.416</v>
      </c>
      <c r="F182" s="1">
        <v>0</v>
      </c>
      <c r="G182" s="1">
        <v>22006</v>
      </c>
      <c r="H182" s="2">
        <v>0</v>
      </c>
      <c r="I182" s="2">
        <v>-358933.26</v>
      </c>
      <c r="J182" s="1">
        <v>31806026.550000001</v>
      </c>
      <c r="K182" s="1">
        <v>1937497.483</v>
      </c>
    </row>
    <row r="183" spans="1:11">
      <c r="A183" t="s">
        <v>1</v>
      </c>
      <c r="B183" s="3">
        <v>41585</v>
      </c>
      <c r="C183" s="3">
        <v>41585</v>
      </c>
      <c r="D183" t="s">
        <v>4</v>
      </c>
      <c r="E183" s="1">
        <v>10.7498</v>
      </c>
      <c r="F183" s="1">
        <v>12.704000000000001</v>
      </c>
      <c r="G183" s="1">
        <v>0</v>
      </c>
      <c r="H183" s="2">
        <v>135.69</v>
      </c>
      <c r="I183" s="2">
        <v>0</v>
      </c>
      <c r="J183" s="1">
        <v>226858.8</v>
      </c>
      <c r="K183" s="1">
        <v>21103.545999999998</v>
      </c>
    </row>
    <row r="184" spans="1:11">
      <c r="A184" t="s">
        <v>1</v>
      </c>
      <c r="B184" s="3">
        <v>41585</v>
      </c>
      <c r="C184" s="3">
        <v>41585</v>
      </c>
      <c r="D184" t="s">
        <v>3</v>
      </c>
      <c r="E184" s="1">
        <v>10.4999</v>
      </c>
      <c r="F184" s="1">
        <v>1410.904</v>
      </c>
      <c r="G184" s="1">
        <v>0</v>
      </c>
      <c r="H184" s="2">
        <v>14720.24</v>
      </c>
      <c r="I184" s="2">
        <v>0</v>
      </c>
      <c r="J184" s="1">
        <v>942018.03</v>
      </c>
      <c r="K184" s="1">
        <v>89716.491999999998</v>
      </c>
    </row>
    <row r="185" spans="1:11">
      <c r="A185" t="s">
        <v>1</v>
      </c>
      <c r="B185" s="3">
        <v>41585</v>
      </c>
      <c r="C185" s="3">
        <v>41585</v>
      </c>
      <c r="D185" t="s">
        <v>2</v>
      </c>
      <c r="E185" s="1">
        <v>16.421399999999998</v>
      </c>
      <c r="F185" s="1">
        <v>7268.2219999999998</v>
      </c>
      <c r="G185" s="1">
        <v>8365</v>
      </c>
      <c r="H185" s="2">
        <v>118589.25</v>
      </c>
      <c r="I185" s="2">
        <v>-136484.41</v>
      </c>
      <c r="J185" s="1">
        <v>28459023.350000001</v>
      </c>
      <c r="K185" s="1">
        <v>1733044.2250000001</v>
      </c>
    </row>
    <row r="186" spans="1:11">
      <c r="A186" t="s">
        <v>1</v>
      </c>
      <c r="B186" s="3">
        <v>41585</v>
      </c>
      <c r="C186" s="3">
        <v>41585</v>
      </c>
      <c r="D186" t="s">
        <v>9</v>
      </c>
      <c r="E186" s="1">
        <v>17.3248</v>
      </c>
      <c r="F186" s="1">
        <v>3.915</v>
      </c>
      <c r="G186" s="1">
        <v>2.02</v>
      </c>
      <c r="H186" s="2">
        <v>67.39</v>
      </c>
      <c r="I186" s="2">
        <v>-34.770000000000003</v>
      </c>
      <c r="J186" s="1">
        <v>416373.91</v>
      </c>
      <c r="K186" s="1">
        <v>24033.398000000001</v>
      </c>
    </row>
    <row r="187" spans="1:11">
      <c r="A187" t="s">
        <v>1</v>
      </c>
      <c r="B187" s="3">
        <v>41586</v>
      </c>
      <c r="C187" s="3">
        <v>41586</v>
      </c>
      <c r="D187" t="s">
        <v>7</v>
      </c>
      <c r="E187" s="1">
        <v>21.159700000000001</v>
      </c>
      <c r="F187" s="1">
        <v>4482.2960000000003</v>
      </c>
      <c r="G187" s="1">
        <v>77788.422000000006</v>
      </c>
      <c r="H187" s="2">
        <v>95860.61</v>
      </c>
      <c r="I187" s="2">
        <v>-1663622.09</v>
      </c>
      <c r="J187" s="1">
        <v>169627837.47</v>
      </c>
      <c r="K187" s="1">
        <v>8016545.2089999998</v>
      </c>
    </row>
    <row r="188" spans="1:11">
      <c r="A188" t="s">
        <v>1</v>
      </c>
      <c r="B188" s="3">
        <v>41586</v>
      </c>
      <c r="C188" s="3">
        <v>41586</v>
      </c>
      <c r="D188" t="s">
        <v>12</v>
      </c>
      <c r="E188" s="1">
        <v>17.000699999999998</v>
      </c>
      <c r="F188" s="1">
        <v>583.00800000000004</v>
      </c>
      <c r="G188" s="1">
        <v>123835.117</v>
      </c>
      <c r="H188" s="2">
        <v>10018.17</v>
      </c>
      <c r="I188" s="2">
        <v>-2127933.12</v>
      </c>
      <c r="J188" s="1">
        <v>14143032.4</v>
      </c>
      <c r="K188" s="1">
        <v>831907.23600000003</v>
      </c>
    </row>
    <row r="189" spans="1:11">
      <c r="A189" t="s">
        <v>1</v>
      </c>
      <c r="B189" s="3">
        <v>41586</v>
      </c>
      <c r="C189" s="3">
        <v>41586</v>
      </c>
      <c r="D189" t="s">
        <v>6</v>
      </c>
      <c r="E189" s="1">
        <v>17.6462</v>
      </c>
      <c r="F189" s="1">
        <v>1782.078</v>
      </c>
      <c r="G189" s="1">
        <v>149257.07800000001</v>
      </c>
      <c r="H189" s="2">
        <v>31785.31</v>
      </c>
      <c r="I189" s="2">
        <v>-2662164.16</v>
      </c>
      <c r="J189" s="1">
        <v>32962416.699999999</v>
      </c>
      <c r="K189" s="1">
        <v>1867960.7180000001</v>
      </c>
    </row>
    <row r="190" spans="1:11">
      <c r="A190" t="s">
        <v>1</v>
      </c>
      <c r="B190" s="3">
        <v>41586</v>
      </c>
      <c r="C190" s="3">
        <v>41586</v>
      </c>
      <c r="D190" t="s">
        <v>10</v>
      </c>
      <c r="E190" s="1">
        <v>16.9251</v>
      </c>
      <c r="F190" s="1">
        <v>0</v>
      </c>
      <c r="G190" s="1">
        <v>32089.135999999999</v>
      </c>
      <c r="H190" s="2">
        <v>0</v>
      </c>
      <c r="I190" s="2">
        <v>-552545.74</v>
      </c>
      <c r="J190" s="1">
        <v>98013423.790000007</v>
      </c>
      <c r="K190" s="1">
        <v>5791023.2230000002</v>
      </c>
    </row>
    <row r="191" spans="1:11">
      <c r="A191" t="s">
        <v>1</v>
      </c>
      <c r="B191" s="3">
        <v>41586</v>
      </c>
      <c r="C191" s="3">
        <v>41586</v>
      </c>
      <c r="D191" t="s">
        <v>2</v>
      </c>
      <c r="E191" s="1">
        <v>16.247599999999998</v>
      </c>
      <c r="F191" s="1">
        <v>455</v>
      </c>
      <c r="G191" s="1">
        <v>0</v>
      </c>
      <c r="H191" s="2">
        <v>7471.71</v>
      </c>
      <c r="I191" s="2">
        <v>0</v>
      </c>
      <c r="J191" s="1">
        <v>28165231.859999999</v>
      </c>
      <c r="K191" s="1">
        <v>1733499.2250000001</v>
      </c>
    </row>
    <row r="192" spans="1:11">
      <c r="A192" t="s">
        <v>1</v>
      </c>
      <c r="B192" s="3">
        <v>41586</v>
      </c>
      <c r="C192" s="3">
        <v>41586</v>
      </c>
      <c r="D192" t="s">
        <v>9</v>
      </c>
      <c r="E192" s="1">
        <v>17.141300000000001</v>
      </c>
      <c r="F192" s="1">
        <v>0</v>
      </c>
      <c r="G192" s="1">
        <v>1.323</v>
      </c>
      <c r="H192" s="2">
        <v>0</v>
      </c>
      <c r="I192" s="2">
        <v>-22.93</v>
      </c>
      <c r="J192" s="1">
        <v>411941.84</v>
      </c>
      <c r="K192" s="1">
        <v>24032.075000000001</v>
      </c>
    </row>
    <row r="193" spans="1:11">
      <c r="A193" t="s">
        <v>1</v>
      </c>
      <c r="B193" s="3">
        <v>41589</v>
      </c>
      <c r="C193" s="3">
        <v>41589</v>
      </c>
      <c r="D193" t="s">
        <v>7</v>
      </c>
      <c r="E193" s="1">
        <v>21.488600000000002</v>
      </c>
      <c r="F193" s="1">
        <v>38625.728999999999</v>
      </c>
      <c r="G193" s="1">
        <v>762912.74199999997</v>
      </c>
      <c r="H193" s="2">
        <v>817308.83</v>
      </c>
      <c r="I193" s="2">
        <v>-16143004.75</v>
      </c>
      <c r="J193" s="1">
        <v>156700671.34</v>
      </c>
      <c r="K193" s="1">
        <v>7292258.1960000005</v>
      </c>
    </row>
    <row r="194" spans="1:11">
      <c r="A194" t="s">
        <v>1</v>
      </c>
      <c r="B194" s="3">
        <v>41589</v>
      </c>
      <c r="C194" s="3">
        <v>41589</v>
      </c>
      <c r="D194" t="s">
        <v>12</v>
      </c>
      <c r="E194" s="1">
        <v>17.262899999999998</v>
      </c>
      <c r="F194" s="1">
        <v>6121.6279999999997</v>
      </c>
      <c r="G194" s="1">
        <v>18363.157999999999</v>
      </c>
      <c r="H194" s="2">
        <v>104071.97</v>
      </c>
      <c r="I194" s="2">
        <v>-312186.53000000003</v>
      </c>
      <c r="J194" s="1">
        <v>14149809.369999999</v>
      </c>
      <c r="K194" s="1">
        <v>819665.70600000001</v>
      </c>
    </row>
    <row r="195" spans="1:11">
      <c r="A195" t="s">
        <v>1</v>
      </c>
      <c r="B195" s="3">
        <v>41589</v>
      </c>
      <c r="C195" s="3">
        <v>41589</v>
      </c>
      <c r="D195" t="s">
        <v>6</v>
      </c>
      <c r="E195" s="1">
        <v>17.918299999999999</v>
      </c>
      <c r="F195" s="1">
        <v>746.02099999999996</v>
      </c>
      <c r="G195" s="1">
        <v>80196.653000000006</v>
      </c>
      <c r="H195" s="2">
        <v>13164.44</v>
      </c>
      <c r="I195" s="2">
        <v>-1415166.17</v>
      </c>
      <c r="J195" s="1">
        <v>32047110.780000001</v>
      </c>
      <c r="K195" s="1">
        <v>1788510.0859999999</v>
      </c>
    </row>
    <row r="196" spans="1:11">
      <c r="A196" t="s">
        <v>1</v>
      </c>
      <c r="B196" s="3">
        <v>41589</v>
      </c>
      <c r="C196" s="3">
        <v>41589</v>
      </c>
      <c r="D196" t="s">
        <v>10</v>
      </c>
      <c r="E196" s="1">
        <v>17.158200000000001</v>
      </c>
      <c r="F196" s="1">
        <v>0</v>
      </c>
      <c r="G196" s="1">
        <v>626.37300000000005</v>
      </c>
      <c r="H196" s="2">
        <v>0</v>
      </c>
      <c r="I196" s="2">
        <v>-10601.41</v>
      </c>
      <c r="J196" s="1">
        <v>99352729.379999995</v>
      </c>
      <c r="K196" s="1">
        <v>5790396.8499999996</v>
      </c>
    </row>
    <row r="197" spans="1:11">
      <c r="A197" t="s">
        <v>1</v>
      </c>
      <c r="B197" s="3">
        <v>41589</v>
      </c>
      <c r="C197" s="3">
        <v>41589</v>
      </c>
      <c r="D197" t="s">
        <v>5</v>
      </c>
      <c r="E197" s="1">
        <v>16.495799999999999</v>
      </c>
      <c r="F197" s="1">
        <v>0</v>
      </c>
      <c r="G197" s="1">
        <v>300147</v>
      </c>
      <c r="H197" s="2">
        <v>0</v>
      </c>
      <c r="I197" s="2">
        <v>-4875077.62</v>
      </c>
      <c r="J197" s="1">
        <v>27009374.899999999</v>
      </c>
      <c r="K197" s="1">
        <v>1637350.483</v>
      </c>
    </row>
    <row r="198" spans="1:11">
      <c r="A198" t="s">
        <v>1</v>
      </c>
      <c r="B198" s="3">
        <v>41589</v>
      </c>
      <c r="C198" s="3">
        <v>41589</v>
      </c>
      <c r="D198" t="s">
        <v>4</v>
      </c>
      <c r="E198" s="1">
        <v>10.8011</v>
      </c>
      <c r="F198" s="1">
        <v>95.808000000000007</v>
      </c>
      <c r="G198" s="1">
        <v>0</v>
      </c>
      <c r="H198" s="2">
        <v>1018.99</v>
      </c>
      <c r="I198" s="2">
        <v>0</v>
      </c>
      <c r="J198" s="1">
        <v>228977.07</v>
      </c>
      <c r="K198" s="1">
        <v>21199.353999999999</v>
      </c>
    </row>
    <row r="199" spans="1:11">
      <c r="A199" t="s">
        <v>1</v>
      </c>
      <c r="B199" s="3">
        <v>41589</v>
      </c>
      <c r="C199" s="3">
        <v>41589</v>
      </c>
      <c r="D199" t="s">
        <v>2</v>
      </c>
      <c r="E199" s="1">
        <v>16.501200000000001</v>
      </c>
      <c r="F199" s="1">
        <v>9678.5390000000007</v>
      </c>
      <c r="G199" s="1">
        <v>0</v>
      </c>
      <c r="H199" s="2">
        <v>157253.04</v>
      </c>
      <c r="I199" s="2">
        <v>0</v>
      </c>
      <c r="J199" s="1">
        <v>28764486.030000001</v>
      </c>
      <c r="K199" s="1">
        <v>1743177.764</v>
      </c>
    </row>
    <row r="200" spans="1:11">
      <c r="A200" t="s">
        <v>1</v>
      </c>
      <c r="B200" s="3">
        <v>41596</v>
      </c>
      <c r="C200" s="3">
        <v>41596</v>
      </c>
      <c r="D200" t="s">
        <v>7</v>
      </c>
      <c r="E200" s="1">
        <v>21.790500000000002</v>
      </c>
      <c r="F200" s="1">
        <v>3005472.9619999998</v>
      </c>
      <c r="G200" s="1">
        <v>0</v>
      </c>
      <c r="H200" s="2">
        <v>65268954.670000002</v>
      </c>
      <c r="I200" s="2">
        <v>0</v>
      </c>
      <c r="J200" s="1">
        <v>224392583.80000001</v>
      </c>
      <c r="K200" s="1">
        <v>10297731.158</v>
      </c>
    </row>
    <row r="201" spans="1:11">
      <c r="A201" t="s">
        <v>1</v>
      </c>
      <c r="B201" s="3">
        <v>41596</v>
      </c>
      <c r="C201" s="3">
        <v>41596</v>
      </c>
      <c r="D201" t="s">
        <v>6</v>
      </c>
      <c r="E201" s="1">
        <v>18.1648</v>
      </c>
      <c r="F201" s="1">
        <v>72005.98</v>
      </c>
      <c r="G201" s="1">
        <v>0</v>
      </c>
      <c r="H201" s="2">
        <v>1303704.27</v>
      </c>
      <c r="I201" s="2">
        <v>0</v>
      </c>
      <c r="J201" s="1">
        <v>33795939.200000003</v>
      </c>
      <c r="K201" s="1">
        <v>1860516.0660000001</v>
      </c>
    </row>
    <row r="202" spans="1:11">
      <c r="A202" t="s">
        <v>1</v>
      </c>
      <c r="B202" s="3">
        <v>41596</v>
      </c>
      <c r="C202" s="3">
        <v>41596</v>
      </c>
      <c r="D202" t="s">
        <v>5</v>
      </c>
      <c r="E202" s="1">
        <v>16.729900000000001</v>
      </c>
      <c r="F202" s="1">
        <v>113021.65300000001</v>
      </c>
      <c r="G202" s="1">
        <v>0</v>
      </c>
      <c r="H202" s="2">
        <v>1884319.6</v>
      </c>
      <c r="I202" s="2">
        <v>0</v>
      </c>
      <c r="J202" s="1">
        <v>29283549.43</v>
      </c>
      <c r="K202" s="1">
        <v>1750372.1359999999</v>
      </c>
    </row>
    <row r="203" spans="1:11">
      <c r="A203" t="s">
        <v>1</v>
      </c>
      <c r="B203" s="3">
        <v>41596</v>
      </c>
      <c r="C203" s="3">
        <v>41596</v>
      </c>
      <c r="D203" t="s">
        <v>9</v>
      </c>
      <c r="E203" s="1">
        <v>17.654699999999998</v>
      </c>
      <c r="F203" s="1">
        <v>33253.432999999997</v>
      </c>
      <c r="G203" s="1">
        <v>0</v>
      </c>
      <c r="H203" s="2">
        <v>585064.93000000005</v>
      </c>
      <c r="I203" s="2">
        <v>0</v>
      </c>
      <c r="J203" s="1">
        <v>1011356.18</v>
      </c>
      <c r="K203" s="1">
        <v>57285.508000000002</v>
      </c>
    </row>
    <row r="204" spans="1:11">
      <c r="A204" t="s">
        <v>1</v>
      </c>
      <c r="B204" s="3">
        <v>41597</v>
      </c>
      <c r="C204" s="3">
        <v>41597</v>
      </c>
      <c r="D204" t="s">
        <v>7</v>
      </c>
      <c r="E204" s="1">
        <v>21.7729</v>
      </c>
      <c r="F204" s="1">
        <v>560.14700000000005</v>
      </c>
      <c r="G204" s="1">
        <v>140874.65599999999</v>
      </c>
      <c r="H204" s="2">
        <v>12205.9</v>
      </c>
      <c r="I204" s="2">
        <v>-3069729.18</v>
      </c>
      <c r="J204" s="1">
        <v>221156683</v>
      </c>
      <c r="K204" s="1">
        <v>10157416.649</v>
      </c>
    </row>
    <row r="205" spans="1:11">
      <c r="A205" t="s">
        <v>1</v>
      </c>
      <c r="B205" s="3">
        <v>41597</v>
      </c>
      <c r="C205" s="3">
        <v>41597</v>
      </c>
      <c r="D205" t="s">
        <v>12</v>
      </c>
      <c r="E205" s="1">
        <v>17.485600000000002</v>
      </c>
      <c r="F205" s="1">
        <v>986.43200000000002</v>
      </c>
      <c r="G205" s="1">
        <v>26217.86</v>
      </c>
      <c r="H205" s="2">
        <v>17262.96</v>
      </c>
      <c r="I205" s="2">
        <v>-458823.05</v>
      </c>
      <c r="J205" s="1">
        <v>13891125.15</v>
      </c>
      <c r="K205" s="1">
        <v>794434.27800000005</v>
      </c>
    </row>
    <row r="206" spans="1:11">
      <c r="A206" t="s">
        <v>1</v>
      </c>
      <c r="B206" s="3">
        <v>41597</v>
      </c>
      <c r="C206" s="3">
        <v>41597</v>
      </c>
      <c r="D206" t="s">
        <v>6</v>
      </c>
      <c r="E206" s="1">
        <v>18.1494</v>
      </c>
      <c r="F206" s="1">
        <v>1354.133</v>
      </c>
      <c r="G206" s="1">
        <v>22614.32</v>
      </c>
      <c r="H206" s="2">
        <v>24597.57</v>
      </c>
      <c r="I206" s="2">
        <v>-410784.62</v>
      </c>
      <c r="J206" s="1">
        <v>33381453.68</v>
      </c>
      <c r="K206" s="1">
        <v>1839255.879</v>
      </c>
    </row>
    <row r="207" spans="1:11">
      <c r="A207" t="s">
        <v>1</v>
      </c>
      <c r="B207" s="3">
        <v>41597</v>
      </c>
      <c r="C207" s="3">
        <v>41597</v>
      </c>
      <c r="D207" t="s">
        <v>10</v>
      </c>
      <c r="E207" s="1">
        <v>17.508199999999999</v>
      </c>
      <c r="F207" s="1">
        <v>0</v>
      </c>
      <c r="G207" s="1">
        <v>5316</v>
      </c>
      <c r="H207" s="2">
        <v>0</v>
      </c>
      <c r="I207" s="2">
        <v>-93252.85</v>
      </c>
      <c r="J207" s="1">
        <v>101286199.66</v>
      </c>
      <c r="K207" s="1">
        <v>5785080.8499999996</v>
      </c>
    </row>
    <row r="208" spans="1:11">
      <c r="A208" t="s">
        <v>1</v>
      </c>
      <c r="B208" s="3">
        <v>41597</v>
      </c>
      <c r="C208" s="3">
        <v>41597</v>
      </c>
      <c r="D208" t="s">
        <v>5</v>
      </c>
      <c r="E208" s="1">
        <v>16.716799999999999</v>
      </c>
      <c r="F208" s="1">
        <v>132335</v>
      </c>
      <c r="G208" s="1">
        <v>0</v>
      </c>
      <c r="H208" s="2">
        <v>2213951.3199999998</v>
      </c>
      <c r="I208" s="2">
        <v>0</v>
      </c>
      <c r="J208" s="1">
        <v>31472763.620000001</v>
      </c>
      <c r="K208" s="1">
        <v>1882707.1359999999</v>
      </c>
    </row>
    <row r="209" spans="1:11">
      <c r="A209" t="s">
        <v>1</v>
      </c>
      <c r="B209" s="3">
        <v>41597</v>
      </c>
      <c r="C209" s="3">
        <v>41597</v>
      </c>
      <c r="D209" t="s">
        <v>4</v>
      </c>
      <c r="E209" s="1">
        <v>10.944000000000001</v>
      </c>
      <c r="F209" s="1">
        <v>12.336</v>
      </c>
      <c r="G209" s="1">
        <v>0</v>
      </c>
      <c r="H209" s="2">
        <v>135.11000000000001</v>
      </c>
      <c r="I209" s="2">
        <v>0</v>
      </c>
      <c r="J209" s="1">
        <v>232141.5</v>
      </c>
      <c r="K209" s="1">
        <v>21211.69</v>
      </c>
    </row>
    <row r="210" spans="1:11">
      <c r="A210" t="s">
        <v>1</v>
      </c>
      <c r="B210" s="3">
        <v>41597</v>
      </c>
      <c r="C210" s="3">
        <v>41597</v>
      </c>
      <c r="D210" t="s">
        <v>14</v>
      </c>
      <c r="E210" s="1">
        <v>10.873100000000001</v>
      </c>
      <c r="F210" s="1">
        <v>17884.419000000002</v>
      </c>
      <c r="G210" s="1">
        <v>0</v>
      </c>
      <c r="H210" s="2">
        <v>194623.62</v>
      </c>
      <c r="I210" s="2">
        <v>0</v>
      </c>
      <c r="J210" s="1">
        <v>249067.71</v>
      </c>
      <c r="K210" s="1">
        <v>22906.793000000001</v>
      </c>
    </row>
    <row r="211" spans="1:11">
      <c r="A211" t="s">
        <v>1</v>
      </c>
      <c r="B211" s="3">
        <v>41597</v>
      </c>
      <c r="C211" s="3">
        <v>41597</v>
      </c>
      <c r="D211" t="s">
        <v>2</v>
      </c>
      <c r="E211" s="1">
        <v>16.722200000000001</v>
      </c>
      <c r="F211" s="1">
        <v>20425.384999999998</v>
      </c>
      <c r="G211" s="1">
        <v>0</v>
      </c>
      <c r="H211" s="2">
        <v>341828.63</v>
      </c>
      <c r="I211" s="2">
        <v>0</v>
      </c>
      <c r="J211" s="1">
        <v>29491381.949999999</v>
      </c>
      <c r="K211" s="1">
        <v>1763603.149</v>
      </c>
    </row>
    <row r="212" spans="1:11">
      <c r="A212" t="s">
        <v>1</v>
      </c>
      <c r="B212" s="3">
        <v>41597</v>
      </c>
      <c r="C212" s="3">
        <v>41597</v>
      </c>
      <c r="D212" t="s">
        <v>9</v>
      </c>
      <c r="E212" s="1">
        <v>17.640699999999999</v>
      </c>
      <c r="F212" s="1">
        <v>1000</v>
      </c>
      <c r="G212" s="1">
        <v>0</v>
      </c>
      <c r="H212" s="2">
        <v>17654.68</v>
      </c>
      <c r="I212" s="2">
        <v>0</v>
      </c>
      <c r="J212" s="1">
        <v>1028195.66</v>
      </c>
      <c r="K212" s="1">
        <v>58285.508000000002</v>
      </c>
    </row>
    <row r="213" spans="1:11">
      <c r="A213" t="s">
        <v>1</v>
      </c>
      <c r="B213" s="3">
        <v>41598</v>
      </c>
      <c r="C213" s="3">
        <v>41598</v>
      </c>
      <c r="D213" t="s">
        <v>7</v>
      </c>
      <c r="E213" s="1">
        <v>21.771599999999999</v>
      </c>
      <c r="F213" s="1">
        <v>18293.456999999999</v>
      </c>
      <c r="G213" s="1">
        <v>115462.338</v>
      </c>
      <c r="H213" s="2">
        <v>398301.63</v>
      </c>
      <c r="I213" s="2">
        <v>-2513949.94</v>
      </c>
      <c r="J213" s="1">
        <v>219028050.77000001</v>
      </c>
      <c r="K213" s="1">
        <v>10060247.767999999</v>
      </c>
    </row>
    <row r="214" spans="1:11">
      <c r="A214" t="s">
        <v>1</v>
      </c>
      <c r="B214" s="3">
        <v>41598</v>
      </c>
      <c r="C214" s="3">
        <v>41598</v>
      </c>
      <c r="D214" t="s">
        <v>12</v>
      </c>
      <c r="E214" s="1">
        <v>17.483799999999999</v>
      </c>
      <c r="F214" s="1">
        <v>1252.4590000000001</v>
      </c>
      <c r="G214" s="1">
        <v>17358.29</v>
      </c>
      <c r="H214" s="2">
        <v>21900</v>
      </c>
      <c r="I214" s="2">
        <v>-303520.09999999998</v>
      </c>
      <c r="J214" s="1">
        <v>13608139.02</v>
      </c>
      <c r="K214" s="1">
        <v>778328.44700000004</v>
      </c>
    </row>
    <row r="215" spans="1:11">
      <c r="A215" t="s">
        <v>1</v>
      </c>
      <c r="B215" s="3">
        <v>41598</v>
      </c>
      <c r="C215" s="3">
        <v>41598</v>
      </c>
      <c r="D215" t="s">
        <v>6</v>
      </c>
      <c r="E215" s="1">
        <v>18.147600000000001</v>
      </c>
      <c r="F215" s="1">
        <v>12031.459000000001</v>
      </c>
      <c r="G215" s="1">
        <v>32459.165000000001</v>
      </c>
      <c r="H215" s="2">
        <v>218363.77</v>
      </c>
      <c r="I215" s="2">
        <v>-589114.38</v>
      </c>
      <c r="J215" s="1">
        <v>33007389.719999999</v>
      </c>
      <c r="K215" s="1">
        <v>1818828.173</v>
      </c>
    </row>
    <row r="216" spans="1:11">
      <c r="A216" t="s">
        <v>1</v>
      </c>
      <c r="B216" s="3">
        <v>41598</v>
      </c>
      <c r="C216" s="3">
        <v>41598</v>
      </c>
      <c r="D216" t="s">
        <v>10</v>
      </c>
      <c r="E216" s="1">
        <v>17.551200000000001</v>
      </c>
      <c r="F216" s="1">
        <v>0</v>
      </c>
      <c r="G216" s="1">
        <v>19362</v>
      </c>
      <c r="H216" s="2">
        <v>0</v>
      </c>
      <c r="I216" s="2">
        <v>-338992.56</v>
      </c>
      <c r="J216" s="1">
        <v>101195517.89</v>
      </c>
      <c r="K216" s="1">
        <v>5765718.8499999996</v>
      </c>
    </row>
    <row r="217" spans="1:11">
      <c r="A217" t="s">
        <v>1</v>
      </c>
      <c r="B217" s="3">
        <v>41598</v>
      </c>
      <c r="C217" s="3">
        <v>41598</v>
      </c>
      <c r="D217" t="s">
        <v>5</v>
      </c>
      <c r="E217" s="1">
        <v>16.716100000000001</v>
      </c>
      <c r="F217" s="1">
        <v>207271</v>
      </c>
      <c r="G217" s="1">
        <v>631</v>
      </c>
      <c r="H217" s="2">
        <v>3464907.85</v>
      </c>
      <c r="I217" s="2">
        <v>-10548.3</v>
      </c>
      <c r="J217" s="1">
        <v>34925770.530000001</v>
      </c>
      <c r="K217" s="1">
        <v>2089347.1359999999</v>
      </c>
    </row>
    <row r="218" spans="1:11">
      <c r="A218" t="s">
        <v>1</v>
      </c>
      <c r="B218" s="3">
        <v>41598</v>
      </c>
      <c r="C218" s="3">
        <v>41598</v>
      </c>
      <c r="D218" t="s">
        <v>4</v>
      </c>
      <c r="E218" s="1">
        <v>10.9434</v>
      </c>
      <c r="F218" s="1">
        <v>0</v>
      </c>
      <c r="G218" s="1">
        <v>95.808000000000007</v>
      </c>
      <c r="H218" s="2">
        <v>0</v>
      </c>
      <c r="I218" s="2">
        <v>-1048.52</v>
      </c>
      <c r="J218" s="1">
        <v>231079.29</v>
      </c>
      <c r="K218" s="1">
        <v>21115.882000000001</v>
      </c>
    </row>
    <row r="219" spans="1:11">
      <c r="A219" t="s">
        <v>1</v>
      </c>
      <c r="B219" s="3">
        <v>41598</v>
      </c>
      <c r="C219" s="3">
        <v>41598</v>
      </c>
      <c r="D219" t="s">
        <v>2</v>
      </c>
      <c r="E219" s="1">
        <v>16.721599999999999</v>
      </c>
      <c r="F219" s="1">
        <v>12405.654</v>
      </c>
      <c r="G219" s="1">
        <v>570</v>
      </c>
      <c r="H219" s="2">
        <v>207449.60000000001</v>
      </c>
      <c r="I219" s="2">
        <v>-9531.64</v>
      </c>
      <c r="J219" s="1">
        <v>29688150.109999999</v>
      </c>
      <c r="K219" s="1">
        <v>1775438.8030000001</v>
      </c>
    </row>
    <row r="220" spans="1:11">
      <c r="A220" t="s">
        <v>1</v>
      </c>
      <c r="B220" s="3">
        <v>41598</v>
      </c>
      <c r="C220" s="3">
        <v>41598</v>
      </c>
      <c r="D220" t="s">
        <v>9</v>
      </c>
      <c r="E220" s="1">
        <v>17.639900000000001</v>
      </c>
      <c r="F220" s="1">
        <v>0</v>
      </c>
      <c r="G220" s="1">
        <v>6.6340000000000003</v>
      </c>
      <c r="H220" s="2">
        <v>0</v>
      </c>
      <c r="I220" s="2">
        <v>-117.03</v>
      </c>
      <c r="J220" s="1">
        <v>1028031.79</v>
      </c>
      <c r="K220" s="1">
        <v>58278.874000000003</v>
      </c>
    </row>
    <row r="221" spans="1:11">
      <c r="A221" t="s">
        <v>1</v>
      </c>
      <c r="B221" s="3">
        <v>41599</v>
      </c>
      <c r="C221" s="3">
        <v>41599</v>
      </c>
      <c r="D221" t="s">
        <v>8</v>
      </c>
      <c r="E221" s="1">
        <v>17.579499999999999</v>
      </c>
      <c r="F221" s="1">
        <v>15.356999999999999</v>
      </c>
      <c r="G221" s="1">
        <v>0</v>
      </c>
      <c r="H221" s="2">
        <v>270.52999999999997</v>
      </c>
      <c r="I221" s="2">
        <v>0</v>
      </c>
      <c r="J221" s="1">
        <v>7193500.7699999996</v>
      </c>
      <c r="K221" s="1">
        <v>409197.98499999999</v>
      </c>
    </row>
    <row r="222" spans="1:11">
      <c r="A222" t="s">
        <v>1</v>
      </c>
      <c r="B222" s="3">
        <v>41599</v>
      </c>
      <c r="C222" s="3">
        <v>41599</v>
      </c>
      <c r="D222" t="s">
        <v>7</v>
      </c>
      <c r="E222" s="1">
        <v>21.7272</v>
      </c>
      <c r="F222" s="1">
        <v>5270.8540000000003</v>
      </c>
      <c r="G222" s="1">
        <v>24709.603999999999</v>
      </c>
      <c r="H222" s="2">
        <v>114754.93</v>
      </c>
      <c r="I222" s="2">
        <v>-537967.62</v>
      </c>
      <c r="J222" s="1">
        <v>218158512.31</v>
      </c>
      <c r="K222" s="1">
        <v>10040809.017999999</v>
      </c>
    </row>
    <row r="223" spans="1:11">
      <c r="A223" t="s">
        <v>1</v>
      </c>
      <c r="B223" s="3">
        <v>41599</v>
      </c>
      <c r="C223" s="3">
        <v>41599</v>
      </c>
      <c r="D223" t="s">
        <v>12</v>
      </c>
      <c r="E223" s="1">
        <v>17.447399999999998</v>
      </c>
      <c r="F223" s="1">
        <v>1172.682</v>
      </c>
      <c r="G223" s="1">
        <v>54878.796000000002</v>
      </c>
      <c r="H223" s="2">
        <v>20502.93</v>
      </c>
      <c r="I223" s="2">
        <v>-959489.88</v>
      </c>
      <c r="J223" s="1">
        <v>12642764.77</v>
      </c>
      <c r="K223" s="1">
        <v>724622.33299999998</v>
      </c>
    </row>
    <row r="224" spans="1:11">
      <c r="A224" t="s">
        <v>1</v>
      </c>
      <c r="B224" s="3">
        <v>41599</v>
      </c>
      <c r="C224" s="3">
        <v>41599</v>
      </c>
      <c r="D224" t="s">
        <v>6</v>
      </c>
      <c r="E224" s="1">
        <v>18.1098</v>
      </c>
      <c r="F224" s="1">
        <v>1103.211</v>
      </c>
      <c r="G224" s="1">
        <v>14871.596</v>
      </c>
      <c r="H224" s="2">
        <v>20020.650000000001</v>
      </c>
      <c r="I224" s="2">
        <v>-269883.78000000003</v>
      </c>
      <c r="J224" s="1">
        <v>32689299.32</v>
      </c>
      <c r="K224" s="1">
        <v>1805059.7879999999</v>
      </c>
    </row>
    <row r="225" spans="1:11">
      <c r="A225" t="s">
        <v>1</v>
      </c>
      <c r="B225" s="3">
        <v>41599</v>
      </c>
      <c r="C225" s="3">
        <v>41599</v>
      </c>
      <c r="D225" t="s">
        <v>10</v>
      </c>
      <c r="E225" s="1">
        <v>17.4359</v>
      </c>
      <c r="F225" s="1">
        <v>0</v>
      </c>
      <c r="G225" s="1">
        <v>61030</v>
      </c>
      <c r="H225" s="2">
        <v>0</v>
      </c>
      <c r="I225" s="2">
        <v>-1071148.2</v>
      </c>
      <c r="J225" s="1">
        <v>99466280.060000002</v>
      </c>
      <c r="K225" s="1">
        <v>5704688.8499999996</v>
      </c>
    </row>
    <row r="226" spans="1:11">
      <c r="A226" t="s">
        <v>1</v>
      </c>
      <c r="B226" s="3">
        <v>41599</v>
      </c>
      <c r="C226" s="3">
        <v>41599</v>
      </c>
      <c r="D226" t="s">
        <v>5</v>
      </c>
      <c r="E226" s="1">
        <v>16.682300000000001</v>
      </c>
      <c r="F226" s="1">
        <v>218559</v>
      </c>
      <c r="G226" s="1">
        <v>0</v>
      </c>
      <c r="H226" s="2">
        <v>3653454.1</v>
      </c>
      <c r="I226" s="2">
        <v>0</v>
      </c>
      <c r="J226" s="1">
        <v>38501250.109999999</v>
      </c>
      <c r="K226" s="1">
        <v>2307906.1359999999</v>
      </c>
    </row>
    <row r="227" spans="1:11">
      <c r="A227" t="s">
        <v>1</v>
      </c>
      <c r="B227" s="3">
        <v>41599</v>
      </c>
      <c r="C227" s="3">
        <v>41599</v>
      </c>
      <c r="D227" t="s">
        <v>2</v>
      </c>
      <c r="E227" s="1">
        <v>16.687799999999999</v>
      </c>
      <c r="F227" s="1">
        <v>15681.837</v>
      </c>
      <c r="G227" s="1">
        <v>0</v>
      </c>
      <c r="H227" s="2">
        <v>262225.83</v>
      </c>
      <c r="I227" s="2">
        <v>0</v>
      </c>
      <c r="J227" s="1">
        <v>29889841.649999999</v>
      </c>
      <c r="K227" s="1">
        <v>1791120.64</v>
      </c>
    </row>
    <row r="228" spans="1:11">
      <c r="A228" t="s">
        <v>1</v>
      </c>
      <c r="B228" s="3">
        <v>41599</v>
      </c>
      <c r="C228" s="3">
        <v>41599</v>
      </c>
      <c r="D228" t="s">
        <v>9</v>
      </c>
      <c r="E228" s="1">
        <v>17.604099999999999</v>
      </c>
      <c r="F228" s="1">
        <v>12.959</v>
      </c>
      <c r="G228" s="1">
        <v>9.1790000000000003</v>
      </c>
      <c r="H228" s="2">
        <v>228.6</v>
      </c>
      <c r="I228" s="2">
        <v>-161.91999999999999</v>
      </c>
      <c r="J228" s="1">
        <v>1026013.49</v>
      </c>
      <c r="K228" s="1">
        <v>58282.654000000002</v>
      </c>
    </row>
    <row r="229" spans="1:11">
      <c r="A229" t="s">
        <v>1</v>
      </c>
      <c r="B229" s="3">
        <v>41600</v>
      </c>
      <c r="C229" s="3">
        <v>41600</v>
      </c>
      <c r="D229" t="s">
        <v>7</v>
      </c>
      <c r="E229" s="1">
        <v>21.8994</v>
      </c>
      <c r="F229" s="1">
        <v>8606.0640000000003</v>
      </c>
      <c r="G229" s="1">
        <v>53340.582999999999</v>
      </c>
      <c r="H229" s="2">
        <v>186985.67</v>
      </c>
      <c r="I229" s="2">
        <v>-1158941.5</v>
      </c>
      <c r="J229" s="1">
        <v>218907727.49000001</v>
      </c>
      <c r="K229" s="1">
        <v>9996074.4989999998</v>
      </c>
    </row>
    <row r="230" spans="1:11">
      <c r="A230" t="s">
        <v>1</v>
      </c>
      <c r="B230" s="3">
        <v>41600</v>
      </c>
      <c r="C230" s="3">
        <v>41600</v>
      </c>
      <c r="D230" t="s">
        <v>12</v>
      </c>
      <c r="E230" s="1">
        <v>17.584900000000001</v>
      </c>
      <c r="F230" s="1">
        <v>738.29899999999998</v>
      </c>
      <c r="G230" s="1">
        <v>0</v>
      </c>
      <c r="H230" s="2">
        <v>12881.39</v>
      </c>
      <c r="I230" s="2">
        <v>0</v>
      </c>
      <c r="J230" s="1">
        <v>12755420.17</v>
      </c>
      <c r="K230" s="1">
        <v>725360.63199999998</v>
      </c>
    </row>
    <row r="231" spans="1:11">
      <c r="A231" t="s">
        <v>1</v>
      </c>
      <c r="B231" s="3">
        <v>41600</v>
      </c>
      <c r="C231" s="3">
        <v>41600</v>
      </c>
      <c r="D231" t="s">
        <v>6</v>
      </c>
      <c r="E231" s="1">
        <v>18.252600000000001</v>
      </c>
      <c r="F231" s="1">
        <v>830.31</v>
      </c>
      <c r="G231" s="1">
        <v>11733.848</v>
      </c>
      <c r="H231" s="2">
        <v>15036.76</v>
      </c>
      <c r="I231" s="2">
        <v>-212497.64</v>
      </c>
      <c r="J231" s="1">
        <v>32747996.120000001</v>
      </c>
      <c r="K231" s="1">
        <v>1794156.25</v>
      </c>
    </row>
    <row r="232" spans="1:11">
      <c r="A232" t="s">
        <v>1</v>
      </c>
      <c r="B232" s="3">
        <v>41600</v>
      </c>
      <c r="C232" s="3">
        <v>41600</v>
      </c>
      <c r="D232" t="s">
        <v>10</v>
      </c>
      <c r="E232" s="1">
        <v>17.6373</v>
      </c>
      <c r="F232" s="1">
        <v>0</v>
      </c>
      <c r="G232" s="1">
        <v>38343.913999999997</v>
      </c>
      <c r="H232" s="2">
        <v>0</v>
      </c>
      <c r="I232" s="2">
        <v>-668562.07999999996</v>
      </c>
      <c r="J232" s="1">
        <v>99939121.079999998</v>
      </c>
      <c r="K232" s="1">
        <v>5666344.9359999998</v>
      </c>
    </row>
    <row r="233" spans="1:11">
      <c r="A233" t="s">
        <v>1</v>
      </c>
      <c r="B233" s="3">
        <v>41600</v>
      </c>
      <c r="C233" s="3">
        <v>41600</v>
      </c>
      <c r="D233" t="s">
        <v>5</v>
      </c>
      <c r="E233" s="1">
        <v>16.814900000000002</v>
      </c>
      <c r="F233" s="1">
        <v>40062</v>
      </c>
      <c r="G233" s="1">
        <v>0</v>
      </c>
      <c r="H233" s="2">
        <v>668326.30000000005</v>
      </c>
      <c r="I233" s="2">
        <v>0</v>
      </c>
      <c r="J233" s="1">
        <v>39480794.299999997</v>
      </c>
      <c r="K233" s="1">
        <v>2347968.1359999999</v>
      </c>
    </row>
    <row r="234" spans="1:11">
      <c r="A234" t="s">
        <v>1</v>
      </c>
      <c r="B234" s="3">
        <v>41600</v>
      </c>
      <c r="C234" s="3">
        <v>41600</v>
      </c>
      <c r="D234" t="s">
        <v>14</v>
      </c>
      <c r="E234" s="1">
        <v>10.934900000000001</v>
      </c>
      <c r="F234" s="1">
        <v>3995.0569999999998</v>
      </c>
      <c r="G234" s="1">
        <v>0</v>
      </c>
      <c r="H234" s="2">
        <v>43343.97</v>
      </c>
      <c r="I234" s="2">
        <v>0</v>
      </c>
      <c r="J234" s="1">
        <v>294168.96999999997</v>
      </c>
      <c r="K234" s="1">
        <v>26901.85</v>
      </c>
    </row>
    <row r="235" spans="1:11">
      <c r="A235" t="s">
        <v>1</v>
      </c>
      <c r="B235" s="3">
        <v>41600</v>
      </c>
      <c r="C235" s="3">
        <v>41600</v>
      </c>
      <c r="D235" t="s">
        <v>2</v>
      </c>
      <c r="E235" s="1">
        <v>16.820399999999999</v>
      </c>
      <c r="F235" s="1">
        <v>3931.4760000000001</v>
      </c>
      <c r="G235" s="1">
        <v>0</v>
      </c>
      <c r="H235" s="2">
        <v>65607.48</v>
      </c>
      <c r="I235" s="2">
        <v>0</v>
      </c>
      <c r="J235" s="1">
        <v>30193457.07</v>
      </c>
      <c r="K235" s="1">
        <v>1795052.1159999999</v>
      </c>
    </row>
    <row r="236" spans="1:11">
      <c r="A236" t="s">
        <v>1</v>
      </c>
      <c r="B236" s="3">
        <v>41603</v>
      </c>
      <c r="C236" s="3">
        <v>41603</v>
      </c>
      <c r="D236" t="s">
        <v>8</v>
      </c>
      <c r="E236" s="1">
        <v>17.802199999999999</v>
      </c>
      <c r="F236" s="1">
        <v>0</v>
      </c>
      <c r="G236" s="1">
        <v>1601.7080000000001</v>
      </c>
      <c r="H236" s="2">
        <v>0</v>
      </c>
      <c r="I236" s="2">
        <v>-28380.45</v>
      </c>
      <c r="J236" s="1">
        <v>7256118.7699999996</v>
      </c>
      <c r="K236" s="1">
        <v>407596.277</v>
      </c>
    </row>
    <row r="237" spans="1:11">
      <c r="A237" t="s">
        <v>1</v>
      </c>
      <c r="B237" s="3">
        <v>41603</v>
      </c>
      <c r="C237" s="3">
        <v>41603</v>
      </c>
      <c r="D237" t="s">
        <v>7</v>
      </c>
      <c r="E237" s="1">
        <v>22.002400000000002</v>
      </c>
      <c r="F237" s="1">
        <v>51409.08</v>
      </c>
      <c r="G237" s="1">
        <v>2672.8539999999998</v>
      </c>
      <c r="H237" s="2">
        <v>1125828</v>
      </c>
      <c r="I237" s="2">
        <v>-58533.9</v>
      </c>
      <c r="J237" s="1">
        <v>221010336.05000001</v>
      </c>
      <c r="K237" s="1">
        <v>10044810.725</v>
      </c>
    </row>
    <row r="238" spans="1:11">
      <c r="A238" t="s">
        <v>1</v>
      </c>
      <c r="B238" s="3">
        <v>41603</v>
      </c>
      <c r="C238" s="3">
        <v>41603</v>
      </c>
      <c r="D238" t="s">
        <v>12</v>
      </c>
      <c r="E238" s="1">
        <v>17.665500000000002</v>
      </c>
      <c r="F238" s="1">
        <v>1964.9839999999999</v>
      </c>
      <c r="G238" s="1">
        <v>2267.788</v>
      </c>
      <c r="H238" s="2">
        <v>34554.03</v>
      </c>
      <c r="I238" s="2">
        <v>-39878.83</v>
      </c>
      <c r="J238" s="1">
        <v>12808531.9</v>
      </c>
      <c r="K238" s="1">
        <v>725057.82799999998</v>
      </c>
    </row>
    <row r="239" spans="1:11">
      <c r="A239" t="s">
        <v>1</v>
      </c>
      <c r="B239" s="3">
        <v>41603</v>
      </c>
      <c r="C239" s="3">
        <v>41603</v>
      </c>
      <c r="D239" t="s">
        <v>6</v>
      </c>
      <c r="E239" s="1">
        <v>18.336200000000002</v>
      </c>
      <c r="F239" s="1">
        <v>3273.2460000000001</v>
      </c>
      <c r="G239" s="1">
        <v>3.5110000000000001</v>
      </c>
      <c r="H239" s="2">
        <v>59745.25</v>
      </c>
      <c r="I239" s="2">
        <v>-64.08</v>
      </c>
      <c r="J239" s="1">
        <v>32958042.129999999</v>
      </c>
      <c r="K239" s="1">
        <v>1797425.9850000001</v>
      </c>
    </row>
    <row r="240" spans="1:11">
      <c r="A240" t="s">
        <v>1</v>
      </c>
      <c r="B240" s="3">
        <v>41603</v>
      </c>
      <c r="C240" s="3">
        <v>41603</v>
      </c>
      <c r="D240" t="s">
        <v>10</v>
      </c>
      <c r="E240" s="1">
        <v>17.734300000000001</v>
      </c>
      <c r="F240" s="1">
        <v>0</v>
      </c>
      <c r="G240" s="1">
        <v>1708.7339999999999</v>
      </c>
      <c r="H240" s="2">
        <v>0</v>
      </c>
      <c r="I240" s="2">
        <v>-30137.34</v>
      </c>
      <c r="J240" s="1">
        <v>100458195.73999999</v>
      </c>
      <c r="K240" s="1">
        <v>5664636.2019999996</v>
      </c>
    </row>
    <row r="241" spans="1:11">
      <c r="A241" t="s">
        <v>1</v>
      </c>
      <c r="B241" s="3">
        <v>41603</v>
      </c>
      <c r="C241" s="3">
        <v>41603</v>
      </c>
      <c r="D241" t="s">
        <v>5</v>
      </c>
      <c r="E241" s="1">
        <v>16.895099999999999</v>
      </c>
      <c r="F241" s="1">
        <v>0</v>
      </c>
      <c r="G241" s="1">
        <v>15249</v>
      </c>
      <c r="H241" s="2">
        <v>0</v>
      </c>
      <c r="I241" s="2">
        <v>-256410.41</v>
      </c>
      <c r="J241" s="1">
        <v>39411411.759999998</v>
      </c>
      <c r="K241" s="1">
        <v>2332719.1359999999</v>
      </c>
    </row>
    <row r="242" spans="1:11">
      <c r="A242" t="s">
        <v>1</v>
      </c>
      <c r="B242" s="3">
        <v>41603</v>
      </c>
      <c r="C242" s="3">
        <v>41603</v>
      </c>
      <c r="D242" t="s">
        <v>3</v>
      </c>
      <c r="E242" s="1">
        <v>10.7944</v>
      </c>
      <c r="F242" s="1">
        <v>0</v>
      </c>
      <c r="G242" s="1">
        <v>9393.7139999999999</v>
      </c>
      <c r="H242" s="2">
        <v>0</v>
      </c>
      <c r="I242" s="2">
        <v>-100936.4</v>
      </c>
      <c r="J242" s="1">
        <v>867036.29</v>
      </c>
      <c r="K242" s="1">
        <v>80322.778000000006</v>
      </c>
    </row>
    <row r="243" spans="1:11">
      <c r="A243" t="s">
        <v>1</v>
      </c>
      <c r="B243" s="3">
        <v>41603</v>
      </c>
      <c r="C243" s="3">
        <v>41603</v>
      </c>
      <c r="D243" t="s">
        <v>2</v>
      </c>
      <c r="E243" s="1">
        <v>16.900600000000001</v>
      </c>
      <c r="F243" s="1">
        <v>6465.0420000000004</v>
      </c>
      <c r="G243" s="1">
        <v>0</v>
      </c>
      <c r="H243" s="2">
        <v>108744.3</v>
      </c>
      <c r="I243" s="2">
        <v>0</v>
      </c>
      <c r="J243" s="1">
        <v>30446686.899999999</v>
      </c>
      <c r="K243" s="1">
        <v>1801517.1580000001</v>
      </c>
    </row>
    <row r="244" spans="1:11">
      <c r="A244" t="s">
        <v>1</v>
      </c>
      <c r="B244" s="3">
        <v>41603</v>
      </c>
      <c r="C244" s="3">
        <v>41603</v>
      </c>
      <c r="D244" t="s">
        <v>9</v>
      </c>
      <c r="E244" s="1">
        <v>17.828099999999999</v>
      </c>
      <c r="F244" s="1">
        <v>0</v>
      </c>
      <c r="G244" s="1">
        <v>176.13900000000001</v>
      </c>
      <c r="H244" s="2">
        <v>0</v>
      </c>
      <c r="I244" s="2">
        <v>-3125.39</v>
      </c>
      <c r="J244" s="1">
        <v>1035928.09</v>
      </c>
      <c r="K244" s="1">
        <v>58106.514999999999</v>
      </c>
    </row>
    <row r="245" spans="1:11">
      <c r="A245" t="s">
        <v>1</v>
      </c>
      <c r="B245" s="3">
        <v>41604</v>
      </c>
      <c r="C245" s="3">
        <v>41604</v>
      </c>
      <c r="D245" t="s">
        <v>7</v>
      </c>
      <c r="E245" s="1">
        <v>21.943000000000001</v>
      </c>
      <c r="F245" s="1">
        <v>58983.224000000002</v>
      </c>
      <c r="G245" s="1">
        <v>6409.3010000000004</v>
      </c>
      <c r="H245" s="2">
        <v>1297772.54</v>
      </c>
      <c r="I245" s="2">
        <v>-141020.01</v>
      </c>
      <c r="J245" s="1">
        <v>221567290.61000001</v>
      </c>
      <c r="K245" s="1">
        <v>10097384.648</v>
      </c>
    </row>
    <row r="246" spans="1:11">
      <c r="A246" t="s">
        <v>1</v>
      </c>
      <c r="B246" s="3">
        <v>41604</v>
      </c>
      <c r="C246" s="3">
        <v>41604</v>
      </c>
      <c r="D246" t="s">
        <v>12</v>
      </c>
      <c r="E246" s="1">
        <v>17.617100000000001</v>
      </c>
      <c r="F246" s="1">
        <v>56315.341</v>
      </c>
      <c r="G246" s="1">
        <v>0</v>
      </c>
      <c r="H246" s="2">
        <v>994838.65</v>
      </c>
      <c r="I246" s="2">
        <v>0</v>
      </c>
      <c r="J246" s="1">
        <v>13765537.49</v>
      </c>
      <c r="K246" s="1">
        <v>781373.16899999999</v>
      </c>
    </row>
    <row r="247" spans="1:11">
      <c r="A247" t="s">
        <v>1</v>
      </c>
      <c r="B247" s="3">
        <v>41604</v>
      </c>
      <c r="C247" s="3">
        <v>41604</v>
      </c>
      <c r="D247" t="s">
        <v>6</v>
      </c>
      <c r="E247" s="1">
        <v>18.286000000000001</v>
      </c>
      <c r="F247" s="1">
        <v>27229.375</v>
      </c>
      <c r="G247" s="1">
        <v>12209.01</v>
      </c>
      <c r="H247" s="2">
        <v>499283.26</v>
      </c>
      <c r="I247" s="2">
        <v>-223866.85</v>
      </c>
      <c r="J247" s="1">
        <v>33142370.390000001</v>
      </c>
      <c r="K247" s="1">
        <v>1812446.35</v>
      </c>
    </row>
    <row r="248" spans="1:11">
      <c r="A248" t="s">
        <v>1</v>
      </c>
      <c r="B248" s="3">
        <v>41604</v>
      </c>
      <c r="C248" s="3">
        <v>41604</v>
      </c>
      <c r="D248" t="s">
        <v>10</v>
      </c>
      <c r="E248" s="1">
        <v>17.7121</v>
      </c>
      <c r="F248" s="1">
        <v>902.51099999999997</v>
      </c>
      <c r="G248" s="1">
        <v>0</v>
      </c>
      <c r="H248" s="2">
        <v>16005.46</v>
      </c>
      <c r="I248" s="2">
        <v>0</v>
      </c>
      <c r="J248" s="1">
        <v>100348664.56999999</v>
      </c>
      <c r="K248" s="1">
        <v>5665538.7130000005</v>
      </c>
    </row>
    <row r="249" spans="1:11">
      <c r="A249" t="s">
        <v>1</v>
      </c>
      <c r="B249" s="3">
        <v>41604</v>
      </c>
      <c r="C249" s="3">
        <v>41604</v>
      </c>
      <c r="D249" t="s">
        <v>5</v>
      </c>
      <c r="E249" s="1">
        <v>16.849799999999998</v>
      </c>
      <c r="F249" s="1">
        <v>0</v>
      </c>
      <c r="G249" s="1">
        <v>47466</v>
      </c>
      <c r="H249" s="2">
        <v>0</v>
      </c>
      <c r="I249" s="2">
        <v>-801942.82</v>
      </c>
      <c r="J249" s="1">
        <v>38506025.969999999</v>
      </c>
      <c r="K249" s="1">
        <v>2285253.1359999999</v>
      </c>
    </row>
    <row r="250" spans="1:11">
      <c r="A250" t="s">
        <v>1</v>
      </c>
      <c r="B250" s="3">
        <v>41604</v>
      </c>
      <c r="C250" s="3">
        <v>41604</v>
      </c>
      <c r="D250" t="s">
        <v>2</v>
      </c>
      <c r="E250" s="1">
        <v>16.8553</v>
      </c>
      <c r="F250" s="1">
        <v>630</v>
      </c>
      <c r="G250" s="1">
        <v>0</v>
      </c>
      <c r="H250" s="2">
        <v>10647.39</v>
      </c>
      <c r="I250" s="2">
        <v>0</v>
      </c>
      <c r="J250" s="1">
        <v>30375732.600000001</v>
      </c>
      <c r="K250" s="1">
        <v>1802147.1580000001</v>
      </c>
    </row>
    <row r="251" spans="1:11">
      <c r="A251" t="s">
        <v>1</v>
      </c>
      <c r="B251" s="3">
        <v>41604</v>
      </c>
      <c r="C251" s="3">
        <v>41604</v>
      </c>
      <c r="D251" t="s">
        <v>9</v>
      </c>
      <c r="E251" s="1">
        <v>17.780200000000001</v>
      </c>
      <c r="F251" s="1">
        <v>0</v>
      </c>
      <c r="G251" s="1">
        <v>10.978999999999999</v>
      </c>
      <c r="H251" s="2">
        <v>0</v>
      </c>
      <c r="I251" s="2">
        <v>-195.73</v>
      </c>
      <c r="J251" s="1">
        <v>1032950.31</v>
      </c>
      <c r="K251" s="1">
        <v>58095.536</v>
      </c>
    </row>
    <row r="252" spans="1:11">
      <c r="A252" t="s">
        <v>1</v>
      </c>
      <c r="B252" s="3">
        <v>41605</v>
      </c>
      <c r="C252" s="3">
        <v>41605</v>
      </c>
      <c r="D252" t="s">
        <v>8</v>
      </c>
      <c r="E252" s="1">
        <v>17.735900000000001</v>
      </c>
      <c r="F252" s="1">
        <v>22.891999999999999</v>
      </c>
      <c r="G252" s="1">
        <v>0</v>
      </c>
      <c r="H252" s="2">
        <v>406.43</v>
      </c>
      <c r="I252" s="2">
        <v>0</v>
      </c>
      <c r="J252" s="1">
        <v>7229476.4400000004</v>
      </c>
      <c r="K252" s="1">
        <v>407619.16899999999</v>
      </c>
    </row>
    <row r="253" spans="1:11">
      <c r="A253" t="s">
        <v>1</v>
      </c>
      <c r="B253" s="3">
        <v>41605</v>
      </c>
      <c r="C253" s="3">
        <v>41605</v>
      </c>
      <c r="D253" t="s">
        <v>7</v>
      </c>
      <c r="E253" s="1">
        <v>21.920400000000001</v>
      </c>
      <c r="F253" s="1">
        <v>12472.812</v>
      </c>
      <c r="G253" s="1">
        <v>75488.498999999996</v>
      </c>
      <c r="H253" s="2">
        <v>273690.88</v>
      </c>
      <c r="I253" s="2">
        <v>-1656444.13</v>
      </c>
      <c r="J253" s="1">
        <v>219957596.86000001</v>
      </c>
      <c r="K253" s="1">
        <v>10034368.960999999</v>
      </c>
    </row>
    <row r="254" spans="1:11">
      <c r="A254" t="s">
        <v>1</v>
      </c>
      <c r="B254" s="3">
        <v>41605</v>
      </c>
      <c r="C254" s="3">
        <v>41605</v>
      </c>
      <c r="D254" t="s">
        <v>12</v>
      </c>
      <c r="E254" s="1">
        <v>17.598199999999999</v>
      </c>
      <c r="F254" s="1">
        <v>0</v>
      </c>
      <c r="G254" s="1">
        <v>3006.75</v>
      </c>
      <c r="H254" s="2">
        <v>0</v>
      </c>
      <c r="I254" s="2">
        <v>-52970.21</v>
      </c>
      <c r="J254" s="1">
        <v>13697870.43</v>
      </c>
      <c r="K254" s="1">
        <v>778366.41899999999</v>
      </c>
    </row>
    <row r="255" spans="1:11">
      <c r="A255" t="s">
        <v>1</v>
      </c>
      <c r="B255" s="3">
        <v>41605</v>
      </c>
      <c r="C255" s="3">
        <v>41605</v>
      </c>
      <c r="D255" t="s">
        <v>6</v>
      </c>
      <c r="E255" s="1">
        <v>18.266400000000001</v>
      </c>
      <c r="F255" s="1">
        <v>3265.723</v>
      </c>
      <c r="G255" s="1">
        <v>987.7</v>
      </c>
      <c r="H255" s="2">
        <v>59717.02</v>
      </c>
      <c r="I255" s="2">
        <v>-18061.099999999999</v>
      </c>
      <c r="J255" s="1">
        <v>33148460.41</v>
      </c>
      <c r="K255" s="1">
        <v>1814724.3729999999</v>
      </c>
    </row>
    <row r="256" spans="1:11">
      <c r="A256" t="s">
        <v>1</v>
      </c>
      <c r="B256" s="3">
        <v>41605</v>
      </c>
      <c r="C256" s="3">
        <v>41605</v>
      </c>
      <c r="D256" t="s">
        <v>10</v>
      </c>
      <c r="E256" s="1">
        <v>17.7608</v>
      </c>
      <c r="F256" s="1">
        <v>0</v>
      </c>
      <c r="G256" s="1">
        <v>74643.198999999993</v>
      </c>
      <c r="H256" s="2">
        <v>0</v>
      </c>
      <c r="I256" s="2">
        <v>-1322090.57</v>
      </c>
      <c r="J256" s="1">
        <v>99298872.989999995</v>
      </c>
      <c r="K256" s="1">
        <v>5590895.5140000004</v>
      </c>
    </row>
    <row r="257" spans="1:11">
      <c r="A257" t="s">
        <v>1</v>
      </c>
      <c r="B257" s="3">
        <v>41605</v>
      </c>
      <c r="C257" s="3">
        <v>41605</v>
      </c>
      <c r="D257" t="s">
        <v>5</v>
      </c>
      <c r="E257" s="1">
        <v>16.832799999999999</v>
      </c>
      <c r="F257" s="1">
        <v>0</v>
      </c>
      <c r="G257" s="1">
        <v>89537</v>
      </c>
      <c r="H257" s="2">
        <v>0</v>
      </c>
      <c r="I257" s="2">
        <v>-1508680.54</v>
      </c>
      <c r="J257" s="1">
        <v>36959973.140000001</v>
      </c>
      <c r="K257" s="1">
        <v>2195716.1359999999</v>
      </c>
    </row>
    <row r="258" spans="1:11">
      <c r="A258" t="s">
        <v>1</v>
      </c>
      <c r="B258" s="3">
        <v>41605</v>
      </c>
      <c r="C258" s="3">
        <v>41605</v>
      </c>
      <c r="D258" t="s">
        <v>14</v>
      </c>
      <c r="E258" s="1">
        <v>10.943199999999999</v>
      </c>
      <c r="F258" s="1">
        <v>1856.6949999999999</v>
      </c>
      <c r="G258" s="1">
        <v>0</v>
      </c>
      <c r="H258" s="2">
        <v>20339.91</v>
      </c>
      <c r="I258" s="2">
        <v>0</v>
      </c>
      <c r="J258" s="1">
        <v>314709.51</v>
      </c>
      <c r="K258" s="1">
        <v>28758.544999999998</v>
      </c>
    </row>
    <row r="259" spans="1:11">
      <c r="A259" t="s">
        <v>1</v>
      </c>
      <c r="B259" s="3">
        <v>41605</v>
      </c>
      <c r="C259" s="3">
        <v>41605</v>
      </c>
      <c r="D259" t="s">
        <v>2</v>
      </c>
      <c r="E259" s="1">
        <v>16.8383</v>
      </c>
      <c r="F259" s="1">
        <v>6419.2120000000004</v>
      </c>
      <c r="G259" s="1">
        <v>0</v>
      </c>
      <c r="H259" s="2">
        <v>108198.19</v>
      </c>
      <c r="I259" s="2">
        <v>0</v>
      </c>
      <c r="J259" s="1">
        <v>30453137.91</v>
      </c>
      <c r="K259" s="1">
        <v>1808566.37</v>
      </c>
    </row>
    <row r="260" spans="1:11">
      <c r="A260" t="s">
        <v>1</v>
      </c>
      <c r="B260" s="3">
        <v>41607</v>
      </c>
      <c r="C260" s="3">
        <v>41607</v>
      </c>
      <c r="D260" t="s">
        <v>7</v>
      </c>
      <c r="E260" s="1">
        <v>21.934799999999999</v>
      </c>
      <c r="F260" s="1">
        <v>5206.3810000000003</v>
      </c>
      <c r="G260" s="1">
        <v>28803.202000000001</v>
      </c>
      <c r="H260" s="2">
        <v>114125.94</v>
      </c>
      <c r="I260" s="2">
        <v>-631377.72</v>
      </c>
      <c r="J260" s="1">
        <v>219583945.86000001</v>
      </c>
      <c r="K260" s="1">
        <v>10010772.140000001</v>
      </c>
    </row>
    <row r="261" spans="1:11">
      <c r="A261" t="s">
        <v>1</v>
      </c>
      <c r="B261" s="3">
        <v>41607</v>
      </c>
      <c r="C261" s="3">
        <v>41607</v>
      </c>
      <c r="D261" t="s">
        <v>12</v>
      </c>
      <c r="E261" s="1">
        <v>17.6083</v>
      </c>
      <c r="F261" s="1">
        <v>152168.182</v>
      </c>
      <c r="G261" s="1">
        <v>391.06700000000001</v>
      </c>
      <c r="H261" s="2">
        <v>2677886.11</v>
      </c>
      <c r="I261" s="2">
        <v>-6882.07</v>
      </c>
      <c r="J261" s="1">
        <v>16378240.800000001</v>
      </c>
      <c r="K261" s="1">
        <v>930143.53399999999</v>
      </c>
    </row>
    <row r="262" spans="1:11">
      <c r="A262" t="s">
        <v>1</v>
      </c>
      <c r="B262" s="3">
        <v>41607</v>
      </c>
      <c r="C262" s="3">
        <v>41607</v>
      </c>
      <c r="D262" t="s">
        <v>6</v>
      </c>
      <c r="E262" s="1">
        <v>18.276800000000001</v>
      </c>
      <c r="F262" s="1">
        <v>39807.337</v>
      </c>
      <c r="G262" s="1">
        <v>5108.1419999999998</v>
      </c>
      <c r="H262" s="2">
        <v>727136.71</v>
      </c>
      <c r="I262" s="2">
        <v>-93307.35</v>
      </c>
      <c r="J262" s="1">
        <v>33801620.109999999</v>
      </c>
      <c r="K262" s="1">
        <v>1849423.568</v>
      </c>
    </row>
    <row r="263" spans="1:11">
      <c r="A263" t="s">
        <v>1</v>
      </c>
      <c r="B263" s="3">
        <v>41607</v>
      </c>
      <c r="C263" s="3">
        <v>41607</v>
      </c>
      <c r="D263" t="s">
        <v>10</v>
      </c>
      <c r="E263" s="1">
        <v>17.786999999999999</v>
      </c>
      <c r="F263" s="1">
        <v>0</v>
      </c>
      <c r="G263" s="1">
        <v>329.22699999999998</v>
      </c>
      <c r="H263" s="2">
        <v>0</v>
      </c>
      <c r="I263" s="2">
        <v>-5847.36</v>
      </c>
      <c r="J263" s="1">
        <v>99439350.900000006</v>
      </c>
      <c r="K263" s="1">
        <v>5590566.2869999995</v>
      </c>
    </row>
    <row r="264" spans="1:11">
      <c r="A264" t="s">
        <v>1</v>
      </c>
      <c r="B264" s="3">
        <v>41607</v>
      </c>
      <c r="C264" s="3">
        <v>41607</v>
      </c>
      <c r="D264" t="s">
        <v>5</v>
      </c>
      <c r="E264" s="1">
        <v>16.8445</v>
      </c>
      <c r="F264" s="1">
        <v>0</v>
      </c>
      <c r="G264" s="1">
        <v>48821</v>
      </c>
      <c r="H264" s="2">
        <v>0</v>
      </c>
      <c r="I264" s="2">
        <v>-821794.13</v>
      </c>
      <c r="J264" s="1">
        <v>36163312.789999999</v>
      </c>
      <c r="K264" s="1">
        <v>2146895.1359999999</v>
      </c>
    </row>
    <row r="265" spans="1:11">
      <c r="A265" t="s">
        <v>1</v>
      </c>
      <c r="B265" s="3">
        <v>41607</v>
      </c>
      <c r="C265" s="3">
        <v>41607</v>
      </c>
      <c r="D265" t="s">
        <v>2</v>
      </c>
      <c r="E265" s="1">
        <v>16.850000000000001</v>
      </c>
      <c r="F265" s="1">
        <v>6377.4669999999996</v>
      </c>
      <c r="G265" s="1">
        <v>900</v>
      </c>
      <c r="H265" s="2">
        <v>107385.36</v>
      </c>
      <c r="I265" s="2">
        <v>-15154.42</v>
      </c>
      <c r="J265" s="1">
        <v>30566612.899999999</v>
      </c>
      <c r="K265" s="1">
        <v>1814043.8370000001</v>
      </c>
    </row>
    <row r="266" spans="1:11">
      <c r="A266" t="s">
        <v>1</v>
      </c>
      <c r="B266" s="3">
        <v>41607</v>
      </c>
      <c r="C266" s="3">
        <v>41607</v>
      </c>
      <c r="D266" t="s">
        <v>9</v>
      </c>
      <c r="E266" s="1">
        <v>17.7742</v>
      </c>
      <c r="F266" s="1">
        <v>0</v>
      </c>
      <c r="G266" s="1">
        <v>71.673000000000002</v>
      </c>
      <c r="H266" s="2">
        <v>0</v>
      </c>
      <c r="I266" s="2">
        <v>-1273.06</v>
      </c>
      <c r="J266" s="1">
        <v>1031329.43</v>
      </c>
      <c r="K266" s="1">
        <v>58023.862999999998</v>
      </c>
    </row>
    <row r="267" spans="1:11">
      <c r="A267" t="s">
        <v>1</v>
      </c>
      <c r="B267" s="3">
        <v>41610</v>
      </c>
      <c r="C267" s="3">
        <v>41610</v>
      </c>
      <c r="D267" t="s">
        <v>8</v>
      </c>
      <c r="E267" s="1">
        <v>17.698</v>
      </c>
      <c r="F267" s="1">
        <v>0</v>
      </c>
      <c r="G267" s="1">
        <v>115.06699999999999</v>
      </c>
      <c r="H267" s="2">
        <v>0</v>
      </c>
      <c r="I267" s="2">
        <v>-2042.16</v>
      </c>
      <c r="J267" s="1">
        <v>7212006.8099999996</v>
      </c>
      <c r="K267" s="1">
        <v>407504.10200000001</v>
      </c>
    </row>
    <row r="268" spans="1:11">
      <c r="A268" t="s">
        <v>1</v>
      </c>
      <c r="B268" s="3">
        <v>41610</v>
      </c>
      <c r="C268" s="3">
        <v>41610</v>
      </c>
      <c r="D268" t="s">
        <v>7</v>
      </c>
      <c r="E268" s="1">
        <v>21.8736</v>
      </c>
      <c r="F268" s="1">
        <v>28941.742999999999</v>
      </c>
      <c r="G268" s="1">
        <v>3571.9839999999999</v>
      </c>
      <c r="H268" s="2">
        <v>634831.35</v>
      </c>
      <c r="I268" s="2">
        <v>-78350.75</v>
      </c>
      <c r="J268" s="1">
        <v>219526823.12</v>
      </c>
      <c r="K268" s="1">
        <v>10036141.899</v>
      </c>
    </row>
    <row r="269" spans="1:11">
      <c r="A269" t="s">
        <v>1</v>
      </c>
      <c r="B269" s="3">
        <v>41610</v>
      </c>
      <c r="C269" s="3">
        <v>41610</v>
      </c>
      <c r="D269" t="s">
        <v>12</v>
      </c>
      <c r="E269" s="1">
        <v>17.556999999999999</v>
      </c>
      <c r="F269" s="1">
        <v>36978.521999999997</v>
      </c>
      <c r="G269" s="1">
        <v>1801.8019999999999</v>
      </c>
      <c r="H269" s="2">
        <v>651128.93999999994</v>
      </c>
      <c r="I269" s="2">
        <v>-31726.67</v>
      </c>
      <c r="J269" s="1">
        <v>16948169.489999998</v>
      </c>
      <c r="K269" s="1">
        <v>965320.25399999996</v>
      </c>
    </row>
    <row r="270" spans="1:11">
      <c r="A270" t="s">
        <v>1</v>
      </c>
      <c r="B270" s="3">
        <v>41610</v>
      </c>
      <c r="C270" s="3">
        <v>41610</v>
      </c>
      <c r="D270" t="s">
        <v>6</v>
      </c>
      <c r="E270" s="1">
        <v>18.223600000000001</v>
      </c>
      <c r="F270" s="1">
        <v>22087.13</v>
      </c>
      <c r="G270" s="1">
        <v>6028.6549999999997</v>
      </c>
      <c r="H270" s="2">
        <v>403682.09</v>
      </c>
      <c r="I270" s="2">
        <v>-110184.53</v>
      </c>
      <c r="J270" s="1">
        <v>33995879.920000002</v>
      </c>
      <c r="K270" s="1">
        <v>1865482.0430000001</v>
      </c>
    </row>
    <row r="271" spans="1:11">
      <c r="A271" t="s">
        <v>1</v>
      </c>
      <c r="B271" s="3">
        <v>41610</v>
      </c>
      <c r="C271" s="3">
        <v>41610</v>
      </c>
      <c r="D271" t="s">
        <v>10</v>
      </c>
      <c r="E271" s="1">
        <v>17.638000000000002</v>
      </c>
      <c r="F271" s="1">
        <v>260.86200000000002</v>
      </c>
      <c r="G271" s="1">
        <v>543.28700000000003</v>
      </c>
      <c r="H271" s="2">
        <v>4639.96</v>
      </c>
      <c r="I271" s="2">
        <v>-9663.4599999999991</v>
      </c>
      <c r="J271" s="1">
        <v>98601578.900000006</v>
      </c>
      <c r="K271" s="1">
        <v>5590283.8619999997</v>
      </c>
    </row>
    <row r="272" spans="1:11">
      <c r="A272" t="s">
        <v>1</v>
      </c>
      <c r="B272" s="3">
        <v>41610</v>
      </c>
      <c r="C272" s="3">
        <v>41610</v>
      </c>
      <c r="D272" t="s">
        <v>3</v>
      </c>
      <c r="E272" s="1">
        <v>10.7281</v>
      </c>
      <c r="F272" s="1">
        <v>884.87900000000002</v>
      </c>
      <c r="G272" s="1">
        <v>0</v>
      </c>
      <c r="H272" s="2">
        <v>9520.77</v>
      </c>
      <c r="I272" s="2">
        <v>0</v>
      </c>
      <c r="J272" s="1">
        <v>871205.02</v>
      </c>
      <c r="K272" s="1">
        <v>81207.657000000007</v>
      </c>
    </row>
    <row r="273" spans="1:11">
      <c r="A273" t="s">
        <v>1</v>
      </c>
      <c r="B273" s="3">
        <v>41610</v>
      </c>
      <c r="C273" s="3">
        <v>41610</v>
      </c>
      <c r="D273" t="s">
        <v>2</v>
      </c>
      <c r="E273" s="1">
        <v>16.804099999999998</v>
      </c>
      <c r="F273" s="1">
        <v>21119.931</v>
      </c>
      <c r="G273" s="1">
        <v>2850</v>
      </c>
      <c r="H273" s="2">
        <v>355869.69</v>
      </c>
      <c r="I273" s="2">
        <v>-48022.35</v>
      </c>
      <c r="J273" s="1">
        <v>30790306.25</v>
      </c>
      <c r="K273" s="1">
        <v>1832313.7679999999</v>
      </c>
    </row>
    <row r="274" spans="1:11">
      <c r="A274" t="s">
        <v>1</v>
      </c>
      <c r="B274" s="3">
        <v>41611</v>
      </c>
      <c r="C274" s="3">
        <v>41611</v>
      </c>
      <c r="D274" t="s">
        <v>7</v>
      </c>
      <c r="E274" s="1">
        <v>21.846299999999999</v>
      </c>
      <c r="F274" s="1">
        <v>28450.829000000002</v>
      </c>
      <c r="G274" s="1">
        <v>32035.278999999999</v>
      </c>
      <c r="H274" s="2">
        <v>622322.06000000006</v>
      </c>
      <c r="I274" s="2">
        <v>-700726.88</v>
      </c>
      <c r="J274" s="1">
        <v>219174668.91999999</v>
      </c>
      <c r="K274" s="1">
        <v>10032557.448999999</v>
      </c>
    </row>
    <row r="275" spans="1:11">
      <c r="A275" t="s">
        <v>1</v>
      </c>
      <c r="B275" s="3">
        <v>41611</v>
      </c>
      <c r="C275" s="3">
        <v>41611</v>
      </c>
      <c r="D275" t="s">
        <v>12</v>
      </c>
      <c r="E275" s="1">
        <v>17.534400000000002</v>
      </c>
      <c r="F275" s="1">
        <v>43147.114000000001</v>
      </c>
      <c r="G275" s="1">
        <v>3164.2330000000002</v>
      </c>
      <c r="H275" s="2">
        <v>757533.89</v>
      </c>
      <c r="I275" s="2">
        <v>-55554.44</v>
      </c>
      <c r="J275" s="1">
        <v>17627406.039999999</v>
      </c>
      <c r="K275" s="1">
        <v>1005303.135</v>
      </c>
    </row>
    <row r="276" spans="1:11">
      <c r="A276" t="s">
        <v>1</v>
      </c>
      <c r="B276" s="3">
        <v>41611</v>
      </c>
      <c r="C276" s="3">
        <v>41611</v>
      </c>
      <c r="D276" t="s">
        <v>6</v>
      </c>
      <c r="E276" s="1">
        <v>18.200199999999999</v>
      </c>
      <c r="F276" s="1">
        <v>20738.597000000002</v>
      </c>
      <c r="G276" s="1">
        <v>2917.8829999999998</v>
      </c>
      <c r="H276" s="2">
        <v>377931.85</v>
      </c>
      <c r="I276" s="2">
        <v>-53174.33</v>
      </c>
      <c r="J276" s="1">
        <v>34276413.950000003</v>
      </c>
      <c r="K276" s="1">
        <v>1883302.757</v>
      </c>
    </row>
    <row r="277" spans="1:11">
      <c r="A277" t="s">
        <v>1</v>
      </c>
      <c r="B277" s="3">
        <v>41611</v>
      </c>
      <c r="C277" s="3">
        <v>41611</v>
      </c>
      <c r="D277" t="s">
        <v>10</v>
      </c>
      <c r="E277" s="1">
        <v>17.667400000000001</v>
      </c>
      <c r="F277" s="1">
        <v>7480</v>
      </c>
      <c r="G277" s="1">
        <v>422.041</v>
      </c>
      <c r="H277" s="2">
        <v>131932.42000000001</v>
      </c>
      <c r="I277" s="2">
        <v>-7443.98</v>
      </c>
      <c r="J277" s="1">
        <v>98890553.650000006</v>
      </c>
      <c r="K277" s="1">
        <v>5597341.8210000005</v>
      </c>
    </row>
    <row r="278" spans="1:11">
      <c r="A278" t="s">
        <v>1</v>
      </c>
      <c r="B278" s="3">
        <v>41611</v>
      </c>
      <c r="C278" s="3">
        <v>41611</v>
      </c>
      <c r="D278" t="s">
        <v>5</v>
      </c>
      <c r="E278" s="1">
        <v>16.777899999999999</v>
      </c>
      <c r="F278" s="1">
        <v>30611</v>
      </c>
      <c r="G278" s="1">
        <v>0</v>
      </c>
      <c r="H278" s="2">
        <v>514221.94</v>
      </c>
      <c r="I278" s="2">
        <v>0</v>
      </c>
      <c r="J278" s="1">
        <v>36534086.450000003</v>
      </c>
      <c r="K278" s="1">
        <v>2177506.1359999999</v>
      </c>
    </row>
    <row r="279" spans="1:11">
      <c r="A279" t="s">
        <v>1</v>
      </c>
      <c r="B279" s="3">
        <v>41611</v>
      </c>
      <c r="C279" s="3">
        <v>41611</v>
      </c>
      <c r="D279" t="s">
        <v>2</v>
      </c>
      <c r="E279" s="1">
        <v>16.7834</v>
      </c>
      <c r="F279" s="1">
        <v>536.15099999999995</v>
      </c>
      <c r="G279" s="1">
        <v>0</v>
      </c>
      <c r="H279" s="2">
        <v>9009.5499999999993</v>
      </c>
      <c r="I279" s="2">
        <v>0</v>
      </c>
      <c r="J279" s="1">
        <v>30761528.27</v>
      </c>
      <c r="K279" s="1">
        <v>1832849.919</v>
      </c>
    </row>
    <row r="280" spans="1:11">
      <c r="A280" t="s">
        <v>1</v>
      </c>
      <c r="B280" s="3">
        <v>41611</v>
      </c>
      <c r="C280" s="3">
        <v>41611</v>
      </c>
      <c r="D280" t="s">
        <v>9</v>
      </c>
      <c r="E280" s="1">
        <v>17.703499999999998</v>
      </c>
      <c r="F280" s="1">
        <v>0</v>
      </c>
      <c r="G280" s="1">
        <v>3.2519999999999998</v>
      </c>
      <c r="H280" s="2">
        <v>0</v>
      </c>
      <c r="I280" s="2">
        <v>-57.64</v>
      </c>
      <c r="J280" s="1">
        <v>1027170.7</v>
      </c>
      <c r="K280" s="1">
        <v>58020.610999999997</v>
      </c>
    </row>
    <row r="281" spans="1:11">
      <c r="A281" t="s">
        <v>1</v>
      </c>
      <c r="B281" s="3">
        <v>41612</v>
      </c>
      <c r="C281" s="3">
        <v>41612</v>
      </c>
      <c r="D281" t="s">
        <v>7</v>
      </c>
      <c r="E281" s="1">
        <v>21.6996</v>
      </c>
      <c r="F281" s="1">
        <v>6832.0609999999997</v>
      </c>
      <c r="G281" s="1">
        <v>14716.455</v>
      </c>
      <c r="H281" s="2">
        <v>149255.26999999999</v>
      </c>
      <c r="I281" s="2">
        <v>-321500.09000000003</v>
      </c>
      <c r="J281" s="1">
        <v>217530954.66</v>
      </c>
      <c r="K281" s="1">
        <v>10024673.055</v>
      </c>
    </row>
    <row r="282" spans="1:11">
      <c r="A282" t="s">
        <v>1</v>
      </c>
      <c r="B282" s="3">
        <v>41612</v>
      </c>
      <c r="C282" s="3">
        <v>41612</v>
      </c>
      <c r="D282" t="s">
        <v>12</v>
      </c>
      <c r="E282" s="1">
        <v>17.415900000000001</v>
      </c>
      <c r="F282" s="1">
        <v>1950.97</v>
      </c>
      <c r="G282" s="1">
        <v>4577.71</v>
      </c>
      <c r="H282" s="2">
        <v>34209.08</v>
      </c>
      <c r="I282" s="2">
        <v>-80267.399999999994</v>
      </c>
      <c r="J282" s="1">
        <v>17462496.760000002</v>
      </c>
      <c r="K282" s="1">
        <v>1002676.395</v>
      </c>
    </row>
    <row r="283" spans="1:11">
      <c r="A283" t="s">
        <v>1</v>
      </c>
      <c r="B283" s="3">
        <v>41612</v>
      </c>
      <c r="C283" s="3">
        <v>41612</v>
      </c>
      <c r="D283" t="s">
        <v>6</v>
      </c>
      <c r="E283" s="1">
        <v>18.077100000000002</v>
      </c>
      <c r="F283" s="1">
        <v>884.53200000000004</v>
      </c>
      <c r="G283" s="1">
        <v>2313.1640000000002</v>
      </c>
      <c r="H283" s="2">
        <v>16098.66</v>
      </c>
      <c r="I283" s="2">
        <v>-42100.06</v>
      </c>
      <c r="J283" s="1">
        <v>34018877.719999999</v>
      </c>
      <c r="K283" s="1">
        <v>1881874.125</v>
      </c>
    </row>
    <row r="284" spans="1:11">
      <c r="A284" t="s">
        <v>1</v>
      </c>
      <c r="B284" s="3">
        <v>41612</v>
      </c>
      <c r="C284" s="3">
        <v>41612</v>
      </c>
      <c r="D284" t="s">
        <v>10</v>
      </c>
      <c r="E284" s="1">
        <v>17.568999999999999</v>
      </c>
      <c r="F284" s="1">
        <v>1</v>
      </c>
      <c r="G284" s="1">
        <v>7744.5529999999999</v>
      </c>
      <c r="H284" s="2">
        <v>17.670000000000002</v>
      </c>
      <c r="I284" s="2">
        <v>-136825.92000000001</v>
      </c>
      <c r="J284" s="1">
        <v>98203396.349999994</v>
      </c>
      <c r="K284" s="1">
        <v>5589598.2680000002</v>
      </c>
    </row>
    <row r="285" spans="1:11">
      <c r="A285" t="s">
        <v>1</v>
      </c>
      <c r="B285" s="3">
        <v>41612</v>
      </c>
      <c r="C285" s="3">
        <v>41612</v>
      </c>
      <c r="D285" t="s">
        <v>5</v>
      </c>
      <c r="E285" s="1">
        <v>16.665600000000001</v>
      </c>
      <c r="F285" s="1">
        <v>14747</v>
      </c>
      <c r="G285" s="1">
        <v>0</v>
      </c>
      <c r="H285" s="2">
        <v>247423.69</v>
      </c>
      <c r="I285" s="2">
        <v>0</v>
      </c>
      <c r="J285" s="1">
        <v>36535132.299999997</v>
      </c>
      <c r="K285" s="1">
        <v>2192253.1359999999</v>
      </c>
    </row>
    <row r="286" spans="1:11">
      <c r="A286" t="s">
        <v>1</v>
      </c>
      <c r="B286" s="3">
        <v>41612</v>
      </c>
      <c r="C286" s="3">
        <v>41612</v>
      </c>
      <c r="D286" t="s">
        <v>3</v>
      </c>
      <c r="E286" s="1">
        <v>10.6419</v>
      </c>
      <c r="F286" s="1">
        <v>393.27699999999999</v>
      </c>
      <c r="G286" s="1">
        <v>0</v>
      </c>
      <c r="H286" s="2">
        <v>4213.6899999999996</v>
      </c>
      <c r="I286" s="2">
        <v>0</v>
      </c>
      <c r="J286" s="1">
        <v>868385.84</v>
      </c>
      <c r="K286" s="1">
        <v>81600.933999999994</v>
      </c>
    </row>
    <row r="287" spans="1:11">
      <c r="A287" t="s">
        <v>1</v>
      </c>
      <c r="B287" s="3">
        <v>41612</v>
      </c>
      <c r="C287" s="3">
        <v>41612</v>
      </c>
      <c r="D287" t="s">
        <v>2</v>
      </c>
      <c r="E287" s="1">
        <v>16.670999999999999</v>
      </c>
      <c r="F287" s="1">
        <v>24960.58</v>
      </c>
      <c r="G287" s="1">
        <v>0</v>
      </c>
      <c r="H287" s="2">
        <v>418922.76</v>
      </c>
      <c r="I287" s="2">
        <v>0</v>
      </c>
      <c r="J287" s="1">
        <v>30971591.390000001</v>
      </c>
      <c r="K287" s="1">
        <v>1857810.4990000001</v>
      </c>
    </row>
    <row r="288" spans="1:11">
      <c r="A288" t="s">
        <v>1</v>
      </c>
      <c r="B288" s="3">
        <v>41613</v>
      </c>
      <c r="C288" s="3">
        <v>41613</v>
      </c>
      <c r="D288" t="s">
        <v>7</v>
      </c>
      <c r="E288" s="1">
        <v>21.601299999999998</v>
      </c>
      <c r="F288" s="1">
        <v>6215.7349999999997</v>
      </c>
      <c r="G288" s="1">
        <v>21890.882000000001</v>
      </c>
      <c r="H288" s="2">
        <v>134878.98000000001</v>
      </c>
      <c r="I288" s="2">
        <v>-475023.37</v>
      </c>
      <c r="J288" s="1">
        <v>216206999.71000001</v>
      </c>
      <c r="K288" s="1">
        <v>10008997.908</v>
      </c>
    </row>
    <row r="289" spans="1:11">
      <c r="A289" t="s">
        <v>1</v>
      </c>
      <c r="B289" s="3">
        <v>41613</v>
      </c>
      <c r="C289" s="3">
        <v>41613</v>
      </c>
      <c r="D289" t="s">
        <v>12</v>
      </c>
      <c r="E289" s="1">
        <v>17.336300000000001</v>
      </c>
      <c r="F289" s="1">
        <v>350.77100000000002</v>
      </c>
      <c r="G289" s="1">
        <v>10282.931</v>
      </c>
      <c r="H289" s="2">
        <v>6108.99</v>
      </c>
      <c r="I289" s="2">
        <v>-179086.5</v>
      </c>
      <c r="J289" s="1">
        <v>17210492.27</v>
      </c>
      <c r="K289" s="1">
        <v>992744.23499999999</v>
      </c>
    </row>
    <row r="290" spans="1:11">
      <c r="A290" t="s">
        <v>1</v>
      </c>
      <c r="B290" s="3">
        <v>41613</v>
      </c>
      <c r="C290" s="3">
        <v>41613</v>
      </c>
      <c r="D290" t="s">
        <v>6</v>
      </c>
      <c r="E290" s="1">
        <v>17.994499999999999</v>
      </c>
      <c r="F290" s="1">
        <v>8224.9339999999993</v>
      </c>
      <c r="G290" s="1">
        <v>2290.444</v>
      </c>
      <c r="H290" s="2">
        <v>148682.92000000001</v>
      </c>
      <c r="I290" s="2">
        <v>-41404.58</v>
      </c>
      <c r="J290" s="1">
        <v>33970172.149999999</v>
      </c>
      <c r="K290" s="1">
        <v>1887808.615</v>
      </c>
    </row>
    <row r="291" spans="1:11">
      <c r="A291" t="s">
        <v>1</v>
      </c>
      <c r="B291" s="3">
        <v>41613</v>
      </c>
      <c r="C291" s="3">
        <v>41613</v>
      </c>
      <c r="D291" t="s">
        <v>10</v>
      </c>
      <c r="E291" s="1">
        <v>17.485800000000001</v>
      </c>
      <c r="F291" s="1">
        <v>1</v>
      </c>
      <c r="G291" s="1">
        <v>618.79300000000001</v>
      </c>
      <c r="H291" s="2">
        <v>17.57</v>
      </c>
      <c r="I291" s="2">
        <v>-10871.6</v>
      </c>
      <c r="J291" s="1">
        <v>97727537.859999999</v>
      </c>
      <c r="K291" s="1">
        <v>5588980.4749999996</v>
      </c>
    </row>
    <row r="292" spans="1:11">
      <c r="A292" t="s">
        <v>1</v>
      </c>
      <c r="B292" s="3">
        <v>41613</v>
      </c>
      <c r="C292" s="3">
        <v>41613</v>
      </c>
      <c r="D292" t="s">
        <v>5</v>
      </c>
      <c r="E292" s="1">
        <v>16.590399999999999</v>
      </c>
      <c r="F292" s="1">
        <v>77421</v>
      </c>
      <c r="G292" s="1">
        <v>0</v>
      </c>
      <c r="H292" s="2">
        <v>1290267.42</v>
      </c>
      <c r="I292" s="2">
        <v>0</v>
      </c>
      <c r="J292" s="1">
        <v>37654838.990000002</v>
      </c>
      <c r="K292" s="1">
        <v>2269674.1359999999</v>
      </c>
    </row>
    <row r="293" spans="1:11">
      <c r="A293" t="s">
        <v>1</v>
      </c>
      <c r="B293" s="3">
        <v>41613</v>
      </c>
      <c r="C293" s="3">
        <v>41613</v>
      </c>
      <c r="D293" t="s">
        <v>3</v>
      </c>
      <c r="E293" s="1">
        <v>10.5932</v>
      </c>
      <c r="F293" s="1">
        <v>3960.1060000000002</v>
      </c>
      <c r="G293" s="1">
        <v>0</v>
      </c>
      <c r="H293" s="2">
        <v>42143.040000000001</v>
      </c>
      <c r="I293" s="2">
        <v>0</v>
      </c>
      <c r="J293" s="1">
        <v>906367.03</v>
      </c>
      <c r="K293" s="1">
        <v>85561.04</v>
      </c>
    </row>
    <row r="294" spans="1:11">
      <c r="A294" t="s">
        <v>1</v>
      </c>
      <c r="B294" s="3">
        <v>41613</v>
      </c>
      <c r="C294" s="3">
        <v>41613</v>
      </c>
      <c r="D294" t="s">
        <v>2</v>
      </c>
      <c r="E294" s="1">
        <v>16.595800000000001</v>
      </c>
      <c r="F294" s="1">
        <v>196.30600000000001</v>
      </c>
      <c r="G294" s="1">
        <v>0</v>
      </c>
      <c r="H294" s="2">
        <v>3272.6</v>
      </c>
      <c r="I294" s="2">
        <v>0</v>
      </c>
      <c r="J294" s="1">
        <v>30835193.41</v>
      </c>
      <c r="K294" s="1">
        <v>1858006.8049999999</v>
      </c>
    </row>
    <row r="295" spans="1:11">
      <c r="A295" t="s">
        <v>1</v>
      </c>
      <c r="B295" s="3">
        <v>41613</v>
      </c>
      <c r="C295" s="3">
        <v>41613</v>
      </c>
      <c r="D295" t="s">
        <v>9</v>
      </c>
      <c r="E295" s="1">
        <v>17.505400000000002</v>
      </c>
      <c r="F295" s="1">
        <v>0</v>
      </c>
      <c r="G295" s="1">
        <v>34.359000000000002</v>
      </c>
      <c r="H295" s="2">
        <v>0</v>
      </c>
      <c r="I295" s="2">
        <v>-604.20000000000005</v>
      </c>
      <c r="J295" s="1">
        <v>1015074.17</v>
      </c>
      <c r="K295" s="1">
        <v>57986.252</v>
      </c>
    </row>
    <row r="296" spans="1:11">
      <c r="A296" t="s">
        <v>1</v>
      </c>
      <c r="B296" s="3">
        <v>41614</v>
      </c>
      <c r="C296" s="3">
        <v>41614</v>
      </c>
      <c r="D296" t="s">
        <v>7</v>
      </c>
      <c r="E296" s="1">
        <v>21.457000000000001</v>
      </c>
      <c r="F296" s="1">
        <v>2664.46</v>
      </c>
      <c r="G296" s="1">
        <v>31671.902999999998</v>
      </c>
      <c r="H296" s="2">
        <v>57555.79</v>
      </c>
      <c r="I296" s="2">
        <v>-684154.28</v>
      </c>
      <c r="J296" s="1">
        <v>214141039.53</v>
      </c>
      <c r="K296" s="1">
        <v>9979990.4649999999</v>
      </c>
    </row>
    <row r="297" spans="1:11">
      <c r="A297" t="s">
        <v>1</v>
      </c>
      <c r="B297" s="3">
        <v>41614</v>
      </c>
      <c r="C297" s="3">
        <v>41614</v>
      </c>
      <c r="D297" t="s">
        <v>12</v>
      </c>
      <c r="E297" s="1">
        <v>17.219799999999999</v>
      </c>
      <c r="F297" s="1">
        <v>4079.415</v>
      </c>
      <c r="G297" s="1">
        <v>15004.788</v>
      </c>
      <c r="H297" s="2">
        <v>70721.98</v>
      </c>
      <c r="I297" s="2">
        <v>-260127.5</v>
      </c>
      <c r="J297" s="1">
        <v>16906742.879999999</v>
      </c>
      <c r="K297" s="1">
        <v>981818.86199999996</v>
      </c>
    </row>
    <row r="298" spans="1:11">
      <c r="A298" t="s">
        <v>1</v>
      </c>
      <c r="B298" s="3">
        <v>41614</v>
      </c>
      <c r="C298" s="3">
        <v>41614</v>
      </c>
      <c r="D298" t="s">
        <v>6</v>
      </c>
      <c r="E298" s="1">
        <v>17.8736</v>
      </c>
      <c r="F298" s="1">
        <v>2579.808</v>
      </c>
      <c r="G298" s="1">
        <v>386.99400000000003</v>
      </c>
      <c r="H298" s="2">
        <v>46422.36</v>
      </c>
      <c r="I298" s="2">
        <v>-6963.76</v>
      </c>
      <c r="J298" s="1">
        <v>33781161.630000003</v>
      </c>
      <c r="K298" s="1">
        <v>1890001.429</v>
      </c>
    </row>
    <row r="299" spans="1:11">
      <c r="A299" t="s">
        <v>1</v>
      </c>
      <c r="B299" s="3">
        <v>41614</v>
      </c>
      <c r="C299" s="3">
        <v>41614</v>
      </c>
      <c r="D299" t="s">
        <v>10</v>
      </c>
      <c r="E299" s="1">
        <v>17.477799999999998</v>
      </c>
      <c r="F299" s="1">
        <v>6348.3429999999998</v>
      </c>
      <c r="G299" s="1">
        <v>0</v>
      </c>
      <c r="H299" s="2">
        <v>111005.79</v>
      </c>
      <c r="I299" s="2">
        <v>0</v>
      </c>
      <c r="J299" s="1">
        <v>97794188.719999999</v>
      </c>
      <c r="K299" s="1">
        <v>5595328.818</v>
      </c>
    </row>
    <row r="300" spans="1:11">
      <c r="A300" t="s">
        <v>1</v>
      </c>
      <c r="B300" s="3">
        <v>41614</v>
      </c>
      <c r="C300" s="3">
        <v>41614</v>
      </c>
      <c r="D300" t="s">
        <v>5</v>
      </c>
      <c r="E300" s="1">
        <v>16.48</v>
      </c>
      <c r="F300" s="1">
        <v>0</v>
      </c>
      <c r="G300" s="1">
        <v>82625</v>
      </c>
      <c r="H300" s="2">
        <v>0</v>
      </c>
      <c r="I300" s="2">
        <v>-1370781.8</v>
      </c>
      <c r="J300" s="1">
        <v>36042545.659999996</v>
      </c>
      <c r="K300" s="1">
        <v>2187049.1359999999</v>
      </c>
    </row>
    <row r="301" spans="1:11">
      <c r="A301" t="s">
        <v>1</v>
      </c>
      <c r="B301" s="3">
        <v>41614</v>
      </c>
      <c r="C301" s="3">
        <v>41614</v>
      </c>
      <c r="D301" t="s">
        <v>3</v>
      </c>
      <c r="E301" s="1">
        <v>10.5221</v>
      </c>
      <c r="F301" s="1">
        <v>4787.482</v>
      </c>
      <c r="G301" s="1">
        <v>0</v>
      </c>
      <c r="H301" s="2">
        <v>50714.75</v>
      </c>
      <c r="I301" s="2">
        <v>0</v>
      </c>
      <c r="J301" s="1">
        <v>950652.31</v>
      </c>
      <c r="K301" s="1">
        <v>90348.521999999997</v>
      </c>
    </row>
    <row r="302" spans="1:11">
      <c r="A302" t="s">
        <v>1</v>
      </c>
      <c r="B302" s="3">
        <v>41614</v>
      </c>
      <c r="C302" s="3">
        <v>41614</v>
      </c>
      <c r="D302" t="s">
        <v>14</v>
      </c>
      <c r="E302" s="1">
        <v>10.7079</v>
      </c>
      <c r="F302" s="1">
        <v>0</v>
      </c>
      <c r="G302" s="1">
        <v>2091.4029999999998</v>
      </c>
      <c r="H302" s="2">
        <v>0</v>
      </c>
      <c r="I302" s="2">
        <v>-22545.96</v>
      </c>
      <c r="J302" s="1">
        <v>285548.03999999998</v>
      </c>
      <c r="K302" s="1">
        <v>26667.142</v>
      </c>
    </row>
    <row r="303" spans="1:11">
      <c r="A303" t="s">
        <v>1</v>
      </c>
      <c r="B303" s="3">
        <v>41614</v>
      </c>
      <c r="C303" s="3">
        <v>41614</v>
      </c>
      <c r="D303" t="s">
        <v>2</v>
      </c>
      <c r="E303" s="1">
        <v>16.485399999999998</v>
      </c>
      <c r="F303" s="1">
        <v>7094.9790000000003</v>
      </c>
      <c r="G303" s="1">
        <v>370</v>
      </c>
      <c r="H303" s="2">
        <v>117746.75</v>
      </c>
      <c r="I303" s="2">
        <v>-6140.45</v>
      </c>
      <c r="J303" s="1">
        <v>30740813.690000001</v>
      </c>
      <c r="K303" s="1">
        <v>1864731.784</v>
      </c>
    </row>
    <row r="304" spans="1:11">
      <c r="A304" t="s">
        <v>1</v>
      </c>
      <c r="B304" s="3">
        <v>41614</v>
      </c>
      <c r="C304" s="3">
        <v>41614</v>
      </c>
      <c r="D304" t="s">
        <v>9</v>
      </c>
      <c r="E304" s="1">
        <v>17.3888</v>
      </c>
      <c r="F304" s="1">
        <v>0</v>
      </c>
      <c r="G304" s="1">
        <v>3.82</v>
      </c>
      <c r="H304" s="2">
        <v>0</v>
      </c>
      <c r="I304" s="2">
        <v>-66.87</v>
      </c>
      <c r="J304" s="1">
        <v>1008244.32</v>
      </c>
      <c r="K304" s="1">
        <v>57982.432000000001</v>
      </c>
    </row>
    <row r="305" spans="1:11">
      <c r="A305" t="s">
        <v>1</v>
      </c>
      <c r="B305" s="3">
        <v>41617</v>
      </c>
      <c r="C305" s="3">
        <v>41617</v>
      </c>
      <c r="D305" t="s">
        <v>8</v>
      </c>
      <c r="E305" s="1">
        <v>17.566600000000001</v>
      </c>
      <c r="F305" s="1">
        <v>23.625</v>
      </c>
      <c r="G305" s="1">
        <v>0</v>
      </c>
      <c r="H305" s="2">
        <v>410.15</v>
      </c>
      <c r="I305" s="2">
        <v>0</v>
      </c>
      <c r="J305" s="1">
        <v>7158876.5800000001</v>
      </c>
      <c r="K305" s="1">
        <v>407527.72700000001</v>
      </c>
    </row>
    <row r="306" spans="1:11">
      <c r="A306" t="s">
        <v>1</v>
      </c>
      <c r="B306" s="3">
        <v>41617</v>
      </c>
      <c r="C306" s="3">
        <v>41617</v>
      </c>
      <c r="D306" t="s">
        <v>7</v>
      </c>
      <c r="E306" s="1">
        <v>21.711200000000002</v>
      </c>
      <c r="F306" s="1">
        <v>30614.048999999999</v>
      </c>
      <c r="G306" s="1">
        <v>41652.131999999998</v>
      </c>
      <c r="H306" s="2">
        <v>656885.67000000004</v>
      </c>
      <c r="I306" s="2">
        <v>-893729.81</v>
      </c>
      <c r="J306" s="1">
        <v>216438188.53</v>
      </c>
      <c r="K306" s="1">
        <v>9968952.3819999993</v>
      </c>
    </row>
    <row r="307" spans="1:11">
      <c r="A307" t="s">
        <v>1</v>
      </c>
      <c r="B307" s="3">
        <v>41617</v>
      </c>
      <c r="C307" s="3">
        <v>41617</v>
      </c>
      <c r="D307" t="s">
        <v>12</v>
      </c>
      <c r="E307" s="1">
        <v>17.421700000000001</v>
      </c>
      <c r="F307" s="1">
        <v>60222.358</v>
      </c>
      <c r="G307" s="1">
        <v>0</v>
      </c>
      <c r="H307" s="2">
        <v>1037016.99</v>
      </c>
      <c r="I307" s="2">
        <v>0</v>
      </c>
      <c r="J307" s="1">
        <v>18154116.469999999</v>
      </c>
      <c r="K307" s="1">
        <v>1042041.22</v>
      </c>
    </row>
    <row r="308" spans="1:11">
      <c r="A308" t="s">
        <v>1</v>
      </c>
      <c r="B308" s="3">
        <v>41617</v>
      </c>
      <c r="C308" s="3">
        <v>41617</v>
      </c>
      <c r="D308" t="s">
        <v>6</v>
      </c>
      <c r="E308" s="1">
        <v>18.083200000000001</v>
      </c>
      <c r="F308" s="1">
        <v>11933.987999999999</v>
      </c>
      <c r="G308" s="1">
        <v>6231.7860000000001</v>
      </c>
      <c r="H308" s="2">
        <v>213303.38</v>
      </c>
      <c r="I308" s="2">
        <v>-111384.45</v>
      </c>
      <c r="J308" s="1">
        <v>34280295.490000002</v>
      </c>
      <c r="K308" s="1">
        <v>1895703.6310000001</v>
      </c>
    </row>
    <row r="309" spans="1:11">
      <c r="A309" t="s">
        <v>1</v>
      </c>
      <c r="B309" s="3">
        <v>41617</v>
      </c>
      <c r="C309" s="3">
        <v>41617</v>
      </c>
      <c r="D309" t="s">
        <v>10</v>
      </c>
      <c r="E309" s="1">
        <v>17.7439</v>
      </c>
      <c r="F309" s="1">
        <v>0</v>
      </c>
      <c r="G309" s="1">
        <v>10557.466</v>
      </c>
      <c r="H309" s="2">
        <v>0</v>
      </c>
      <c r="I309" s="2">
        <v>-184521.09</v>
      </c>
      <c r="J309" s="1">
        <v>99095368.620000005</v>
      </c>
      <c r="K309" s="1">
        <v>5584771.352</v>
      </c>
    </row>
    <row r="310" spans="1:11">
      <c r="A310" t="s">
        <v>1</v>
      </c>
      <c r="B310" s="3">
        <v>41617</v>
      </c>
      <c r="C310" s="3">
        <v>41617</v>
      </c>
      <c r="D310" t="s">
        <v>5</v>
      </c>
      <c r="E310" s="1">
        <v>16.676200000000001</v>
      </c>
      <c r="F310" s="1">
        <v>0</v>
      </c>
      <c r="G310" s="1">
        <v>123758</v>
      </c>
      <c r="H310" s="2">
        <v>0</v>
      </c>
      <c r="I310" s="2">
        <v>-2039531.84</v>
      </c>
      <c r="J310" s="1">
        <v>34407922.969999999</v>
      </c>
      <c r="K310" s="1">
        <v>2063291.1359999999</v>
      </c>
    </row>
    <row r="311" spans="1:11">
      <c r="A311" t="s">
        <v>1</v>
      </c>
      <c r="B311" s="3">
        <v>41617</v>
      </c>
      <c r="C311" s="3">
        <v>41617</v>
      </c>
      <c r="D311" t="s">
        <v>4</v>
      </c>
      <c r="E311" s="1">
        <v>10.913</v>
      </c>
      <c r="F311" s="1">
        <v>12.510999999999999</v>
      </c>
      <c r="G311" s="1">
        <v>0</v>
      </c>
      <c r="H311" s="2">
        <v>134.93</v>
      </c>
      <c r="I311" s="2">
        <v>0</v>
      </c>
      <c r="J311" s="1">
        <v>230574.71</v>
      </c>
      <c r="K311" s="1">
        <v>21128.393</v>
      </c>
    </row>
    <row r="312" spans="1:11">
      <c r="A312" t="s">
        <v>1</v>
      </c>
      <c r="B312" s="3">
        <v>41617</v>
      </c>
      <c r="C312" s="3">
        <v>41617</v>
      </c>
      <c r="D312" t="s">
        <v>3</v>
      </c>
      <c r="E312" s="1">
        <v>10.6454</v>
      </c>
      <c r="F312" s="1">
        <v>7925.1639999999998</v>
      </c>
      <c r="G312" s="1">
        <v>0</v>
      </c>
      <c r="H312" s="2">
        <v>83389.37</v>
      </c>
      <c r="I312" s="2">
        <v>0</v>
      </c>
      <c r="J312" s="1">
        <v>1046163.87</v>
      </c>
      <c r="K312" s="1">
        <v>98273.686000000002</v>
      </c>
    </row>
    <row r="313" spans="1:11">
      <c r="A313" t="s">
        <v>1</v>
      </c>
      <c r="B313" s="3">
        <v>41617</v>
      </c>
      <c r="C313" s="3">
        <v>41617</v>
      </c>
      <c r="D313" t="s">
        <v>2</v>
      </c>
      <c r="E313" s="1">
        <v>16.681699999999999</v>
      </c>
      <c r="F313" s="1">
        <v>4832</v>
      </c>
      <c r="G313" s="1">
        <v>85</v>
      </c>
      <c r="H313" s="2">
        <v>79657.649999999994</v>
      </c>
      <c r="I313" s="2">
        <v>-1401.27</v>
      </c>
      <c r="J313" s="1">
        <v>31186064.739999998</v>
      </c>
      <c r="K313" s="1">
        <v>1869478.784</v>
      </c>
    </row>
    <row r="314" spans="1:11">
      <c r="A314" t="s">
        <v>1</v>
      </c>
      <c r="B314" s="3">
        <v>41617</v>
      </c>
      <c r="C314" s="3">
        <v>41617</v>
      </c>
      <c r="D314" t="s">
        <v>9</v>
      </c>
      <c r="E314" s="1">
        <v>17.595500000000001</v>
      </c>
      <c r="F314" s="1">
        <v>0</v>
      </c>
      <c r="G314" s="1">
        <v>2.9769999999999999</v>
      </c>
      <c r="H314" s="2">
        <v>0</v>
      </c>
      <c r="I314" s="2">
        <v>-51.77</v>
      </c>
      <c r="J314" s="1">
        <v>1020177.43</v>
      </c>
      <c r="K314" s="1">
        <v>57979.455000000002</v>
      </c>
    </row>
    <row r="315" spans="1:11">
      <c r="A315" t="s">
        <v>1</v>
      </c>
      <c r="B315" s="3">
        <v>41618</v>
      </c>
      <c r="C315" s="3">
        <v>41618</v>
      </c>
      <c r="D315" t="s">
        <v>8</v>
      </c>
      <c r="E315" s="1">
        <v>17.5791</v>
      </c>
      <c r="F315" s="1">
        <v>483.84</v>
      </c>
      <c r="G315" s="1">
        <v>5272.835</v>
      </c>
      <c r="H315" s="2">
        <v>8499.4500000000007</v>
      </c>
      <c r="I315" s="2">
        <v>-92625.94</v>
      </c>
      <c r="J315" s="1">
        <v>7079772.4900000002</v>
      </c>
      <c r="K315" s="1">
        <v>402738.73200000002</v>
      </c>
    </row>
    <row r="316" spans="1:11">
      <c r="A316" t="s">
        <v>1</v>
      </c>
      <c r="B316" s="3">
        <v>41618</v>
      </c>
      <c r="C316" s="3">
        <v>41618</v>
      </c>
      <c r="D316" t="s">
        <v>7</v>
      </c>
      <c r="E316" s="1">
        <v>21.726600000000001</v>
      </c>
      <c r="F316" s="1">
        <v>11202.527</v>
      </c>
      <c r="G316" s="1">
        <v>5654.9970000000003</v>
      </c>
      <c r="H316" s="2">
        <v>243220.33</v>
      </c>
      <c r="I316" s="2">
        <v>-122776.78</v>
      </c>
      <c r="J316" s="1">
        <v>216712368.36000001</v>
      </c>
      <c r="K316" s="1">
        <v>9974499.9120000005</v>
      </c>
    </row>
    <row r="317" spans="1:11">
      <c r="A317" t="s">
        <v>1</v>
      </c>
      <c r="B317" s="3">
        <v>41618</v>
      </c>
      <c r="C317" s="3">
        <v>41618</v>
      </c>
      <c r="D317" t="s">
        <v>12</v>
      </c>
      <c r="E317" s="1">
        <v>17.433299999999999</v>
      </c>
      <c r="F317" s="1">
        <v>16889.54</v>
      </c>
      <c r="G317" s="1">
        <v>1359.645</v>
      </c>
      <c r="H317" s="2">
        <v>294244.53999999998</v>
      </c>
      <c r="I317" s="2">
        <v>-23687.33</v>
      </c>
      <c r="J317" s="1">
        <v>18436996.289999999</v>
      </c>
      <c r="K317" s="1">
        <v>1057571.115</v>
      </c>
    </row>
    <row r="318" spans="1:11">
      <c r="A318" t="s">
        <v>1</v>
      </c>
      <c r="B318" s="3">
        <v>41618</v>
      </c>
      <c r="C318" s="3">
        <v>41618</v>
      </c>
      <c r="D318" t="s">
        <v>6</v>
      </c>
      <c r="E318" s="1">
        <v>18.095199999999998</v>
      </c>
      <c r="F318" s="1">
        <v>25835.062999999998</v>
      </c>
      <c r="G318" s="1">
        <v>16753.400000000001</v>
      </c>
      <c r="H318" s="2">
        <v>467180.69</v>
      </c>
      <c r="I318" s="2">
        <v>-302955.07</v>
      </c>
      <c r="J318" s="1">
        <v>34467557.939999998</v>
      </c>
      <c r="K318" s="1">
        <v>1904785.294</v>
      </c>
    </row>
    <row r="319" spans="1:11">
      <c r="A319" t="s">
        <v>1</v>
      </c>
      <c r="B319" s="3">
        <v>41618</v>
      </c>
      <c r="C319" s="3">
        <v>41618</v>
      </c>
      <c r="D319" t="s">
        <v>10</v>
      </c>
      <c r="E319" s="1">
        <v>17.7913</v>
      </c>
      <c r="F319" s="1">
        <v>0</v>
      </c>
      <c r="G319" s="1">
        <v>1608.0150000000001</v>
      </c>
      <c r="H319" s="2">
        <v>0</v>
      </c>
      <c r="I319" s="2">
        <v>-28532.400000000001</v>
      </c>
      <c r="J319" s="1">
        <v>99331803.75</v>
      </c>
      <c r="K319" s="1">
        <v>5583163.3370000003</v>
      </c>
    </row>
    <row r="320" spans="1:11">
      <c r="A320" t="s">
        <v>1</v>
      </c>
      <c r="B320" s="3">
        <v>41618</v>
      </c>
      <c r="C320" s="3">
        <v>41618</v>
      </c>
      <c r="D320" t="s">
        <v>5</v>
      </c>
      <c r="E320" s="1">
        <v>16.688400000000001</v>
      </c>
      <c r="F320" s="1">
        <v>0</v>
      </c>
      <c r="G320" s="1">
        <v>200143</v>
      </c>
      <c r="H320" s="2">
        <v>0</v>
      </c>
      <c r="I320" s="2">
        <v>-3337624.7</v>
      </c>
      <c r="J320" s="1">
        <v>31092993.68</v>
      </c>
      <c r="K320" s="1">
        <v>1863148.1359999999</v>
      </c>
    </row>
    <row r="321" spans="1:11">
      <c r="A321" t="s">
        <v>1</v>
      </c>
      <c r="B321" s="3">
        <v>41618</v>
      </c>
      <c r="C321" s="3">
        <v>41618</v>
      </c>
      <c r="D321" t="s">
        <v>2</v>
      </c>
      <c r="E321" s="1">
        <v>16.693899999999999</v>
      </c>
      <c r="F321" s="1">
        <v>4600.7120000000004</v>
      </c>
      <c r="G321" s="1">
        <v>0</v>
      </c>
      <c r="H321" s="2">
        <v>76747.789999999994</v>
      </c>
      <c r="I321" s="2">
        <v>0</v>
      </c>
      <c r="J321" s="1">
        <v>31285648.57</v>
      </c>
      <c r="K321" s="1">
        <v>1874079.496</v>
      </c>
    </row>
    <row r="322" spans="1:11">
      <c r="A322" t="s">
        <v>1</v>
      </c>
      <c r="B322" s="3">
        <v>41618</v>
      </c>
      <c r="C322" s="3">
        <v>41618</v>
      </c>
      <c r="D322" t="s">
        <v>9</v>
      </c>
      <c r="E322" s="1">
        <v>17.6082</v>
      </c>
      <c r="F322" s="1">
        <v>0.93100000000000005</v>
      </c>
      <c r="G322" s="1">
        <v>161.33099999999999</v>
      </c>
      <c r="H322" s="2">
        <v>16.38</v>
      </c>
      <c r="I322" s="2">
        <v>-2838.7</v>
      </c>
      <c r="J322" s="1">
        <v>1018091.26</v>
      </c>
      <c r="K322" s="1">
        <v>57819.055</v>
      </c>
    </row>
    <row r="323" spans="1:11">
      <c r="A323" t="s">
        <v>1</v>
      </c>
      <c r="B323" s="3">
        <v>41619</v>
      </c>
      <c r="C323" s="3">
        <v>41619</v>
      </c>
      <c r="D323" t="s">
        <v>8</v>
      </c>
      <c r="E323" s="1">
        <v>17.5625</v>
      </c>
      <c r="F323" s="1">
        <v>23.456</v>
      </c>
      <c r="G323" s="1">
        <v>5389.0540000000001</v>
      </c>
      <c r="H323" s="2">
        <v>412.34</v>
      </c>
      <c r="I323" s="2">
        <v>-94734.61</v>
      </c>
      <c r="J323" s="1">
        <v>6978863.2300000004</v>
      </c>
      <c r="K323" s="1">
        <v>397373.13400000002</v>
      </c>
    </row>
    <row r="324" spans="1:11">
      <c r="A324" t="s">
        <v>1</v>
      </c>
      <c r="B324" s="3">
        <v>41619</v>
      </c>
      <c r="C324" s="3">
        <v>41619</v>
      </c>
      <c r="D324" t="s">
        <v>7</v>
      </c>
      <c r="E324" s="1">
        <v>21.706199999999999</v>
      </c>
      <c r="F324" s="1">
        <v>1625.9659999999999</v>
      </c>
      <c r="G324" s="1">
        <v>25663.302</v>
      </c>
      <c r="H324" s="2">
        <v>35326.720000000001</v>
      </c>
      <c r="I324" s="2">
        <v>-557576.30000000005</v>
      </c>
      <c r="J324" s="1">
        <v>215986260.25999999</v>
      </c>
      <c r="K324" s="1">
        <v>9950462.5759999994</v>
      </c>
    </row>
    <row r="325" spans="1:11">
      <c r="A325" t="s">
        <v>1</v>
      </c>
      <c r="B325" s="3">
        <v>41619</v>
      </c>
      <c r="C325" s="3">
        <v>41619</v>
      </c>
      <c r="D325" t="s">
        <v>12</v>
      </c>
      <c r="E325" s="1">
        <v>17.4162</v>
      </c>
      <c r="F325" s="1">
        <v>2009.5239999999999</v>
      </c>
      <c r="G325" s="1">
        <v>655.86699999999996</v>
      </c>
      <c r="H325" s="2">
        <v>35032.639999999999</v>
      </c>
      <c r="I325" s="2">
        <v>-11433.93</v>
      </c>
      <c r="J325" s="1">
        <v>18442428.760000002</v>
      </c>
      <c r="K325" s="1">
        <v>1058924.7720000001</v>
      </c>
    </row>
    <row r="326" spans="1:11">
      <c r="A326" t="s">
        <v>1</v>
      </c>
      <c r="B326" s="3">
        <v>41619</v>
      </c>
      <c r="C326" s="3">
        <v>41619</v>
      </c>
      <c r="D326" t="s">
        <v>6</v>
      </c>
      <c r="E326" s="1">
        <v>18.077400000000001</v>
      </c>
      <c r="F326" s="1">
        <v>4.7759999999999998</v>
      </c>
      <c r="G326" s="1">
        <v>994.99300000000005</v>
      </c>
      <c r="H326" s="2">
        <v>86.42</v>
      </c>
      <c r="I326" s="2">
        <v>-18004.61</v>
      </c>
      <c r="J326" s="1">
        <v>34415739.390000001</v>
      </c>
      <c r="K326" s="1">
        <v>1903795.077</v>
      </c>
    </row>
    <row r="327" spans="1:11">
      <c r="A327" t="s">
        <v>1</v>
      </c>
      <c r="B327" s="3">
        <v>41619</v>
      </c>
      <c r="C327" s="3">
        <v>41619</v>
      </c>
      <c r="D327" t="s">
        <v>10</v>
      </c>
      <c r="E327" s="1">
        <v>17.8017</v>
      </c>
      <c r="F327" s="1">
        <v>8940</v>
      </c>
      <c r="G327" s="1">
        <v>1250567.061</v>
      </c>
      <c r="H327" s="2">
        <v>159054.16</v>
      </c>
      <c r="I327" s="2">
        <v>-22249205.170000002</v>
      </c>
      <c r="J327" s="1">
        <v>77286939.670000002</v>
      </c>
      <c r="K327" s="1">
        <v>4341536.2759999996</v>
      </c>
    </row>
    <row r="328" spans="1:11">
      <c r="A328" t="s">
        <v>1</v>
      </c>
      <c r="B328" s="3">
        <v>41619</v>
      </c>
      <c r="C328" s="3">
        <v>41619</v>
      </c>
      <c r="D328" t="s">
        <v>5</v>
      </c>
      <c r="E328" s="1">
        <v>16.672999999999998</v>
      </c>
      <c r="F328" s="1">
        <v>0</v>
      </c>
      <c r="G328" s="1">
        <v>377217</v>
      </c>
      <c r="H328" s="2">
        <v>0</v>
      </c>
      <c r="I328" s="2">
        <v>-6295148.1799999997</v>
      </c>
      <c r="J328" s="1">
        <v>24774971.670000002</v>
      </c>
      <c r="K328" s="1">
        <v>1485931.1359999999</v>
      </c>
    </row>
    <row r="329" spans="1:11">
      <c r="A329" t="s">
        <v>1</v>
      </c>
      <c r="B329" s="3">
        <v>41619</v>
      </c>
      <c r="C329" s="3">
        <v>41619</v>
      </c>
      <c r="D329" t="s">
        <v>3</v>
      </c>
      <c r="E329" s="1">
        <v>10.641999999999999</v>
      </c>
      <c r="F329" s="1">
        <v>1028.174</v>
      </c>
      <c r="G329" s="1">
        <v>0</v>
      </c>
      <c r="H329" s="2">
        <v>10952.62</v>
      </c>
      <c r="I329" s="2">
        <v>0</v>
      </c>
      <c r="J329" s="1">
        <v>1056775.23</v>
      </c>
      <c r="K329" s="1">
        <v>99301.86</v>
      </c>
    </row>
    <row r="330" spans="1:11">
      <c r="A330" t="s">
        <v>1</v>
      </c>
      <c r="B330" s="3">
        <v>41619</v>
      </c>
      <c r="C330" s="3">
        <v>41619</v>
      </c>
      <c r="D330" t="s">
        <v>14</v>
      </c>
      <c r="E330" s="1">
        <v>10.83</v>
      </c>
      <c r="F330" s="1">
        <v>423.12900000000002</v>
      </c>
      <c r="G330" s="1">
        <v>0</v>
      </c>
      <c r="H330" s="2">
        <v>4586.97</v>
      </c>
      <c r="I330" s="2">
        <v>0</v>
      </c>
      <c r="J330" s="1">
        <v>293386.73</v>
      </c>
      <c r="K330" s="1">
        <v>27090.271000000001</v>
      </c>
    </row>
    <row r="331" spans="1:11">
      <c r="A331" t="s">
        <v>1</v>
      </c>
      <c r="B331" s="3">
        <v>41619</v>
      </c>
      <c r="C331" s="3">
        <v>41619</v>
      </c>
      <c r="D331" t="s">
        <v>2</v>
      </c>
      <c r="E331" s="1">
        <v>16.6785</v>
      </c>
      <c r="F331" s="1">
        <v>15622.412</v>
      </c>
      <c r="G331" s="1">
        <v>0</v>
      </c>
      <c r="H331" s="2">
        <v>260798.17</v>
      </c>
      <c r="I331" s="2">
        <v>0</v>
      </c>
      <c r="J331" s="1">
        <v>31517347.93</v>
      </c>
      <c r="K331" s="1">
        <v>1889701.9080000001</v>
      </c>
    </row>
    <row r="332" spans="1:11">
      <c r="A332" t="s">
        <v>1</v>
      </c>
      <c r="B332" s="3">
        <v>41619</v>
      </c>
      <c r="C332" s="3">
        <v>41619</v>
      </c>
      <c r="D332" t="s">
        <v>9</v>
      </c>
      <c r="E332" s="1">
        <v>17.591899999999999</v>
      </c>
      <c r="F332" s="1">
        <v>27.565000000000001</v>
      </c>
      <c r="G332" s="1">
        <v>0</v>
      </c>
      <c r="H332" s="2">
        <v>485.37</v>
      </c>
      <c r="I332" s="2">
        <v>0</v>
      </c>
      <c r="J332" s="1">
        <v>1017630.11</v>
      </c>
      <c r="K332" s="1">
        <v>57846.62</v>
      </c>
    </row>
    <row r="333" spans="1:11">
      <c r="A333" t="s">
        <v>1</v>
      </c>
      <c r="B333" s="3">
        <v>41620</v>
      </c>
      <c r="C333" s="3">
        <v>41620</v>
      </c>
      <c r="D333" t="s">
        <v>7</v>
      </c>
      <c r="E333" s="1">
        <v>21.425999999999998</v>
      </c>
      <c r="F333" s="1">
        <v>24602.170999999998</v>
      </c>
      <c r="G333" s="1">
        <v>14594.536</v>
      </c>
      <c r="H333" s="2">
        <v>534019.62</v>
      </c>
      <c r="I333" s="2">
        <v>-316791.90999999997</v>
      </c>
      <c r="J333" s="1">
        <v>213413116.53999999</v>
      </c>
      <c r="K333" s="1">
        <v>9960470.2109999992</v>
      </c>
    </row>
    <row r="334" spans="1:11">
      <c r="A334" t="s">
        <v>1</v>
      </c>
      <c r="B334" s="3">
        <v>41620</v>
      </c>
      <c r="C334" s="3">
        <v>41620</v>
      </c>
      <c r="D334" t="s">
        <v>12</v>
      </c>
      <c r="E334" s="1">
        <v>17.1907</v>
      </c>
      <c r="F334" s="1">
        <v>1359.4639999999999</v>
      </c>
      <c r="G334" s="1">
        <v>11108.728999999999</v>
      </c>
      <c r="H334" s="2">
        <v>23676.7</v>
      </c>
      <c r="I334" s="2">
        <v>-193471.84</v>
      </c>
      <c r="J334" s="1">
        <v>18036051.93</v>
      </c>
      <c r="K334" s="1">
        <v>1049175.507</v>
      </c>
    </row>
    <row r="335" spans="1:11">
      <c r="A335" t="s">
        <v>1</v>
      </c>
      <c r="B335" s="3">
        <v>41620</v>
      </c>
      <c r="C335" s="3">
        <v>41620</v>
      </c>
      <c r="D335" t="s">
        <v>6</v>
      </c>
      <c r="E335" s="1">
        <v>17.843399999999999</v>
      </c>
      <c r="F335" s="1">
        <v>8859.2690000000002</v>
      </c>
      <c r="G335" s="1">
        <v>31404.046999999999</v>
      </c>
      <c r="H335" s="2">
        <v>160152.53</v>
      </c>
      <c r="I335" s="2">
        <v>-567703.5</v>
      </c>
      <c r="J335" s="1">
        <v>33567873.399999999</v>
      </c>
      <c r="K335" s="1">
        <v>1881250.2990000001</v>
      </c>
    </row>
    <row r="336" spans="1:11">
      <c r="A336" t="s">
        <v>1</v>
      </c>
      <c r="B336" s="3">
        <v>41620</v>
      </c>
      <c r="C336" s="3">
        <v>41620</v>
      </c>
      <c r="D336" t="s">
        <v>10</v>
      </c>
      <c r="E336" s="1">
        <v>17.599799999999998</v>
      </c>
      <c r="F336" s="1">
        <v>60680</v>
      </c>
      <c r="G336" s="1">
        <v>24441.469000000001</v>
      </c>
      <c r="H336" s="2">
        <v>1080209.3799999999</v>
      </c>
      <c r="I336" s="2">
        <v>-435100.58</v>
      </c>
      <c r="J336" s="1">
        <v>77047874.030000001</v>
      </c>
      <c r="K336" s="1">
        <v>4377774.807</v>
      </c>
    </row>
    <row r="337" spans="1:11">
      <c r="A337" t="s">
        <v>1</v>
      </c>
      <c r="B337" s="3">
        <v>41620</v>
      </c>
      <c r="C337" s="3">
        <v>41620</v>
      </c>
      <c r="D337" t="s">
        <v>3</v>
      </c>
      <c r="E337" s="1">
        <v>10.504300000000001</v>
      </c>
      <c r="F337" s="1">
        <v>6896.442</v>
      </c>
      <c r="G337" s="1">
        <v>0</v>
      </c>
      <c r="H337" s="2">
        <v>73391.92</v>
      </c>
      <c r="I337" s="2">
        <v>0</v>
      </c>
      <c r="J337" s="1">
        <v>1115534.49</v>
      </c>
      <c r="K337" s="1">
        <v>106198.302</v>
      </c>
    </row>
    <row r="338" spans="1:11">
      <c r="A338" t="s">
        <v>1</v>
      </c>
      <c r="B338" s="3">
        <v>41620</v>
      </c>
      <c r="C338" s="3">
        <v>41620</v>
      </c>
      <c r="D338" t="s">
        <v>2</v>
      </c>
      <c r="E338" s="1">
        <v>16.4636</v>
      </c>
      <c r="F338" s="1">
        <v>9480.3250000000007</v>
      </c>
      <c r="G338" s="1">
        <v>0</v>
      </c>
      <c r="H338" s="2">
        <v>158117.60999999999</v>
      </c>
      <c r="I338" s="2">
        <v>0</v>
      </c>
      <c r="J338" s="1">
        <v>31267305.640000001</v>
      </c>
      <c r="K338" s="1">
        <v>1899182.233</v>
      </c>
    </row>
    <row r="339" spans="1:11">
      <c r="A339" t="s">
        <v>1</v>
      </c>
      <c r="B339" s="3">
        <v>41621</v>
      </c>
      <c r="C339" s="3">
        <v>41621</v>
      </c>
      <c r="D339" t="s">
        <v>7</v>
      </c>
      <c r="E339" s="1">
        <v>21.381799999999998</v>
      </c>
      <c r="F339" s="1">
        <v>449.16</v>
      </c>
      <c r="G339" s="1">
        <v>104764.644</v>
      </c>
      <c r="H339" s="2">
        <v>9623.7000000000007</v>
      </c>
      <c r="I339" s="2">
        <v>-2244687.2599999998</v>
      </c>
      <c r="J339" s="1">
        <v>210742186.88999999</v>
      </c>
      <c r="K339" s="1">
        <v>9856154.727</v>
      </c>
    </row>
    <row r="340" spans="1:11">
      <c r="A340" t="s">
        <v>1</v>
      </c>
      <c r="B340" s="3">
        <v>41621</v>
      </c>
      <c r="C340" s="3">
        <v>41621</v>
      </c>
      <c r="D340" t="s">
        <v>12</v>
      </c>
      <c r="E340" s="1">
        <v>17.146899999999999</v>
      </c>
      <c r="F340" s="1">
        <v>8111.4539999999997</v>
      </c>
      <c r="G340" s="1">
        <v>34966.949999999997</v>
      </c>
      <c r="H340" s="2">
        <v>139441.57999999999</v>
      </c>
      <c r="I340" s="2">
        <v>-601106.34</v>
      </c>
      <c r="J340" s="1">
        <v>17529666.399999999</v>
      </c>
      <c r="K340" s="1">
        <v>1022320.0110000001</v>
      </c>
    </row>
    <row r="341" spans="1:11">
      <c r="A341" t="s">
        <v>1</v>
      </c>
      <c r="B341" s="3">
        <v>41621</v>
      </c>
      <c r="C341" s="3">
        <v>41621</v>
      </c>
      <c r="D341" t="s">
        <v>6</v>
      </c>
      <c r="E341" s="1">
        <v>17.806699999999999</v>
      </c>
      <c r="F341" s="1">
        <v>855.97699999999998</v>
      </c>
      <c r="G341" s="1">
        <v>1173.6859999999999</v>
      </c>
      <c r="H341" s="2">
        <v>15273.54</v>
      </c>
      <c r="I341" s="2">
        <v>-20942.55</v>
      </c>
      <c r="J341" s="1">
        <v>33493295.879999999</v>
      </c>
      <c r="K341" s="1">
        <v>1880932.59</v>
      </c>
    </row>
    <row r="342" spans="1:11">
      <c r="A342" t="s">
        <v>1</v>
      </c>
      <c r="B342" s="3">
        <v>41621</v>
      </c>
      <c r="C342" s="3">
        <v>41621</v>
      </c>
      <c r="D342" t="s">
        <v>10</v>
      </c>
      <c r="E342" s="1">
        <v>17.480899999999998</v>
      </c>
      <c r="F342" s="1">
        <v>0</v>
      </c>
      <c r="G342" s="1">
        <v>1128.1199999999999</v>
      </c>
      <c r="H342" s="2">
        <v>0</v>
      </c>
      <c r="I342" s="2">
        <v>-19854.72</v>
      </c>
      <c r="J342" s="1">
        <v>76507787.390000001</v>
      </c>
      <c r="K342" s="1">
        <v>4376646.6869999999</v>
      </c>
    </row>
    <row r="343" spans="1:11">
      <c r="A343" t="s">
        <v>1</v>
      </c>
      <c r="B343" s="3">
        <v>41621</v>
      </c>
      <c r="C343" s="3">
        <v>41621</v>
      </c>
      <c r="D343" t="s">
        <v>5</v>
      </c>
      <c r="E343" s="1">
        <v>16.424499999999998</v>
      </c>
      <c r="F343" s="1">
        <v>0</v>
      </c>
      <c r="G343" s="1">
        <v>10138</v>
      </c>
      <c r="H343" s="2">
        <v>0</v>
      </c>
      <c r="I343" s="2">
        <v>-166853.23000000001</v>
      </c>
      <c r="J343" s="1">
        <v>24239184.18</v>
      </c>
      <c r="K343" s="1">
        <v>1475793.1359999999</v>
      </c>
    </row>
    <row r="344" spans="1:11">
      <c r="A344" t="s">
        <v>1</v>
      </c>
      <c r="B344" s="3">
        <v>41621</v>
      </c>
      <c r="C344" s="3">
        <v>41621</v>
      </c>
      <c r="D344" t="s">
        <v>3</v>
      </c>
      <c r="E344" s="1">
        <v>10.472099999999999</v>
      </c>
      <c r="F344" s="1">
        <v>812.73299999999995</v>
      </c>
      <c r="G344" s="1">
        <v>0</v>
      </c>
      <c r="H344" s="2">
        <v>8537.19</v>
      </c>
      <c r="I344" s="2">
        <v>0</v>
      </c>
      <c r="J344" s="1">
        <v>1120631.3799999999</v>
      </c>
      <c r="K344" s="1">
        <v>107011.035</v>
      </c>
    </row>
    <row r="345" spans="1:11">
      <c r="A345" t="s">
        <v>1</v>
      </c>
      <c r="B345" s="3">
        <v>41621</v>
      </c>
      <c r="C345" s="3">
        <v>41621</v>
      </c>
      <c r="D345" t="s">
        <v>2</v>
      </c>
      <c r="E345" s="1">
        <v>16.427700000000002</v>
      </c>
      <c r="F345" s="1">
        <v>9562.1139999999996</v>
      </c>
      <c r="G345" s="1">
        <v>1500</v>
      </c>
      <c r="H345" s="2">
        <v>157427.53</v>
      </c>
      <c r="I345" s="2">
        <v>-24695.51</v>
      </c>
      <c r="J345" s="1">
        <v>31331560.93</v>
      </c>
      <c r="K345" s="1">
        <v>1907244.3470000001</v>
      </c>
    </row>
    <row r="346" spans="1:11">
      <c r="A346" t="s">
        <v>1</v>
      </c>
      <c r="B346" s="3">
        <v>41624</v>
      </c>
      <c r="C346" s="3">
        <v>41624</v>
      </c>
      <c r="D346" t="s">
        <v>7</v>
      </c>
      <c r="E346" s="1">
        <v>21.363800000000001</v>
      </c>
      <c r="F346" s="1">
        <v>12409.61</v>
      </c>
      <c r="G346" s="1">
        <v>6737.9740000000002</v>
      </c>
      <c r="H346" s="2">
        <v>265339.78999999998</v>
      </c>
      <c r="I346" s="2">
        <v>-144070.01999999999</v>
      </c>
      <c r="J346" s="1">
        <v>210685955.88999999</v>
      </c>
      <c r="K346" s="1">
        <v>9861826.3629999999</v>
      </c>
    </row>
    <row r="347" spans="1:11">
      <c r="A347" t="s">
        <v>1</v>
      </c>
      <c r="B347" s="3">
        <v>41624</v>
      </c>
      <c r="C347" s="3">
        <v>41624</v>
      </c>
      <c r="D347" t="s">
        <v>12</v>
      </c>
      <c r="E347" s="1">
        <v>17.130400000000002</v>
      </c>
      <c r="F347" s="1">
        <v>12868.348</v>
      </c>
      <c r="G347" s="1">
        <v>1478.578</v>
      </c>
      <c r="H347" s="2">
        <v>220652.25</v>
      </c>
      <c r="I347" s="2">
        <v>-25353.03</v>
      </c>
      <c r="J347" s="1">
        <v>17707859.809999999</v>
      </c>
      <c r="K347" s="1">
        <v>1033709.781</v>
      </c>
    </row>
    <row r="348" spans="1:11">
      <c r="A348" t="s">
        <v>1</v>
      </c>
      <c r="B348" s="3">
        <v>41624</v>
      </c>
      <c r="C348" s="3">
        <v>41624</v>
      </c>
      <c r="D348" t="s">
        <v>6</v>
      </c>
      <c r="E348" s="1">
        <v>17.7896</v>
      </c>
      <c r="F348" s="1">
        <v>7404.3869999999997</v>
      </c>
      <c r="G348" s="1">
        <v>4912.8010000000004</v>
      </c>
      <c r="H348" s="2">
        <v>131847.69</v>
      </c>
      <c r="I348" s="2">
        <v>-87480.78</v>
      </c>
      <c r="J348" s="1">
        <v>33505296.670000002</v>
      </c>
      <c r="K348" s="1">
        <v>1883424.176</v>
      </c>
    </row>
    <row r="349" spans="1:11">
      <c r="A349" t="s">
        <v>1</v>
      </c>
      <c r="B349" s="3">
        <v>41624</v>
      </c>
      <c r="C349" s="3">
        <v>41624</v>
      </c>
      <c r="D349" t="s">
        <v>10</v>
      </c>
      <c r="E349" s="1">
        <v>17.544799999999999</v>
      </c>
      <c r="F349" s="1">
        <v>9045</v>
      </c>
      <c r="G349" s="1">
        <v>2521.6709999999998</v>
      </c>
      <c r="H349" s="2">
        <v>158114.35999999999</v>
      </c>
      <c r="I349" s="2">
        <v>-44080.97</v>
      </c>
      <c r="J349" s="1">
        <v>76901865.099999994</v>
      </c>
      <c r="K349" s="1">
        <v>4383170.0159999998</v>
      </c>
    </row>
    <row r="350" spans="1:11">
      <c r="A350" t="s">
        <v>1</v>
      </c>
      <c r="B350" s="3">
        <v>41624</v>
      </c>
      <c r="C350" s="3">
        <v>41624</v>
      </c>
      <c r="D350" t="s">
        <v>5</v>
      </c>
      <c r="E350" s="1">
        <v>16.4117</v>
      </c>
      <c r="F350" s="1">
        <v>0</v>
      </c>
      <c r="G350" s="1">
        <v>77788</v>
      </c>
      <c r="H350" s="2">
        <v>0</v>
      </c>
      <c r="I350" s="2">
        <v>-1277629.01</v>
      </c>
      <c r="J350" s="1">
        <v>22943642</v>
      </c>
      <c r="K350" s="1">
        <v>1398005.1359999999</v>
      </c>
    </row>
    <row r="351" spans="1:11">
      <c r="A351" t="s">
        <v>1</v>
      </c>
      <c r="B351" s="3">
        <v>41624</v>
      </c>
      <c r="C351" s="3">
        <v>41624</v>
      </c>
      <c r="D351" t="s">
        <v>4</v>
      </c>
      <c r="E351" s="1">
        <v>10.7174</v>
      </c>
      <c r="F351" s="1">
        <v>188.79599999999999</v>
      </c>
      <c r="G351" s="1">
        <v>0</v>
      </c>
      <c r="H351" s="2">
        <v>2025.12</v>
      </c>
      <c r="I351" s="2">
        <v>0</v>
      </c>
      <c r="J351" s="1">
        <v>228465.44</v>
      </c>
      <c r="K351" s="1">
        <v>21317.188999999998</v>
      </c>
    </row>
    <row r="352" spans="1:11">
      <c r="A352" t="s">
        <v>1</v>
      </c>
      <c r="B352" s="3">
        <v>41624</v>
      </c>
      <c r="C352" s="3">
        <v>41624</v>
      </c>
      <c r="D352" t="s">
        <v>3</v>
      </c>
      <c r="E352" s="1">
        <v>10.462</v>
      </c>
      <c r="F352" s="1">
        <v>2484.739</v>
      </c>
      <c r="G352" s="1">
        <v>0</v>
      </c>
      <c r="H352" s="2">
        <v>26020.44</v>
      </c>
      <c r="I352" s="2">
        <v>0</v>
      </c>
      <c r="J352" s="1">
        <v>1145545.23</v>
      </c>
      <c r="K352" s="1">
        <v>109495.774</v>
      </c>
    </row>
    <row r="353" spans="1:11">
      <c r="A353" t="s">
        <v>1</v>
      </c>
      <c r="B353" s="3">
        <v>41624</v>
      </c>
      <c r="C353" s="3">
        <v>41624</v>
      </c>
      <c r="D353" t="s">
        <v>14</v>
      </c>
      <c r="E353" s="1">
        <v>10.636100000000001</v>
      </c>
      <c r="F353" s="1">
        <v>7092.8180000000002</v>
      </c>
      <c r="G353" s="1">
        <v>0</v>
      </c>
      <c r="H353" s="2">
        <v>75512.98</v>
      </c>
      <c r="I353" s="2">
        <v>0</v>
      </c>
      <c r="J353" s="1">
        <v>363576.17</v>
      </c>
      <c r="K353" s="1">
        <v>34183.089</v>
      </c>
    </row>
    <row r="354" spans="1:11">
      <c r="A354" t="s">
        <v>1</v>
      </c>
      <c r="B354" s="3">
        <v>41624</v>
      </c>
      <c r="C354" s="3">
        <v>41624</v>
      </c>
      <c r="D354" t="s">
        <v>2</v>
      </c>
      <c r="E354" s="1">
        <v>16.4148</v>
      </c>
      <c r="F354" s="1">
        <v>4675</v>
      </c>
      <c r="G354" s="1">
        <v>0</v>
      </c>
      <c r="H354" s="2">
        <v>76799.69</v>
      </c>
      <c r="I354" s="2">
        <v>0</v>
      </c>
      <c r="J354" s="1">
        <v>31383857.809999999</v>
      </c>
      <c r="K354" s="1">
        <v>1911919.3470000001</v>
      </c>
    </row>
    <row r="355" spans="1:11">
      <c r="A355" t="s">
        <v>1</v>
      </c>
      <c r="B355" s="3">
        <v>41625</v>
      </c>
      <c r="C355" s="3">
        <v>41625</v>
      </c>
      <c r="D355" t="s">
        <v>8</v>
      </c>
      <c r="E355" s="1">
        <v>17.364999999999998</v>
      </c>
      <c r="F355" s="1">
        <v>23.928999999999998</v>
      </c>
      <c r="G355" s="1">
        <v>0</v>
      </c>
      <c r="H355" s="2">
        <v>413.57</v>
      </c>
      <c r="I355" s="2">
        <v>0</v>
      </c>
      <c r="J355" s="1">
        <v>6900799.5300000003</v>
      </c>
      <c r="K355" s="1">
        <v>397397.06300000002</v>
      </c>
    </row>
    <row r="356" spans="1:11">
      <c r="A356" t="s">
        <v>1</v>
      </c>
      <c r="B356" s="3">
        <v>41625</v>
      </c>
      <c r="C356" s="3">
        <v>41625</v>
      </c>
      <c r="D356" t="s">
        <v>7</v>
      </c>
      <c r="E356" s="1">
        <v>21.4648</v>
      </c>
      <c r="F356" s="1">
        <v>2999.6950000000002</v>
      </c>
      <c r="G356" s="1">
        <v>38872.483</v>
      </c>
      <c r="H356" s="2">
        <v>64084.88</v>
      </c>
      <c r="I356" s="2">
        <v>-830463.94</v>
      </c>
      <c r="J356" s="1">
        <v>210911651.69</v>
      </c>
      <c r="K356" s="1">
        <v>9825953.5749999993</v>
      </c>
    </row>
    <row r="357" spans="1:11">
      <c r="A357" t="s">
        <v>1</v>
      </c>
      <c r="B357" s="3">
        <v>41625</v>
      </c>
      <c r="C357" s="3">
        <v>41625</v>
      </c>
      <c r="D357" t="s">
        <v>12</v>
      </c>
      <c r="E357" s="1">
        <v>17.210699999999999</v>
      </c>
      <c r="F357" s="1">
        <v>2644.1509999999998</v>
      </c>
      <c r="G357" s="1">
        <v>208250.19200000001</v>
      </c>
      <c r="H357" s="2">
        <v>45295.360000000001</v>
      </c>
      <c r="I357" s="2">
        <v>-3567409.13</v>
      </c>
      <c r="J357" s="1">
        <v>14252204.57</v>
      </c>
      <c r="K357" s="1">
        <v>828103.74</v>
      </c>
    </row>
    <row r="358" spans="1:11">
      <c r="A358" t="s">
        <v>1</v>
      </c>
      <c r="B358" s="3">
        <v>41625</v>
      </c>
      <c r="C358" s="3">
        <v>41625</v>
      </c>
      <c r="D358" t="s">
        <v>6</v>
      </c>
      <c r="E358" s="1">
        <v>17.872900000000001</v>
      </c>
      <c r="F358" s="1">
        <v>473.58499999999998</v>
      </c>
      <c r="G358" s="1">
        <v>29755.871999999999</v>
      </c>
      <c r="H358" s="2">
        <v>8424.8799999999992</v>
      </c>
      <c r="I358" s="2">
        <v>-529345.07999999996</v>
      </c>
      <c r="J358" s="1">
        <v>33138904.32</v>
      </c>
      <c r="K358" s="1">
        <v>1854141.889</v>
      </c>
    </row>
    <row r="359" spans="1:11">
      <c r="A359" t="s">
        <v>1</v>
      </c>
      <c r="B359" s="3">
        <v>41625</v>
      </c>
      <c r="C359" s="3">
        <v>41625</v>
      </c>
      <c r="D359" t="s">
        <v>10</v>
      </c>
      <c r="E359" s="1">
        <v>17.589700000000001</v>
      </c>
      <c r="F359" s="1">
        <v>361.43599999999998</v>
      </c>
      <c r="G359" s="1">
        <v>12459</v>
      </c>
      <c r="H359" s="2">
        <v>6341.33</v>
      </c>
      <c r="I359" s="2">
        <v>-218590.73</v>
      </c>
      <c r="J359" s="1">
        <v>76885833.790000007</v>
      </c>
      <c r="K359" s="1">
        <v>4371072.4519999996</v>
      </c>
    </row>
    <row r="360" spans="1:11">
      <c r="A360" t="s">
        <v>1</v>
      </c>
      <c r="B360" s="3">
        <v>41625</v>
      </c>
      <c r="C360" s="3">
        <v>41625</v>
      </c>
      <c r="D360" t="s">
        <v>5</v>
      </c>
      <c r="E360" s="1">
        <v>16.489599999999999</v>
      </c>
      <c r="F360" s="1">
        <v>0</v>
      </c>
      <c r="G360" s="1">
        <v>39316</v>
      </c>
      <c r="H360" s="2">
        <v>0</v>
      </c>
      <c r="I360" s="2">
        <v>-645242.4</v>
      </c>
      <c r="J360" s="1">
        <v>22404239.5</v>
      </c>
      <c r="K360" s="1">
        <v>1358689.1359999999</v>
      </c>
    </row>
    <row r="361" spans="1:11">
      <c r="A361" t="s">
        <v>1</v>
      </c>
      <c r="B361" s="3">
        <v>41625</v>
      </c>
      <c r="C361" s="3">
        <v>41625</v>
      </c>
      <c r="D361" t="s">
        <v>4</v>
      </c>
      <c r="E361" s="1">
        <v>10.7681</v>
      </c>
      <c r="F361" s="1">
        <v>12.568</v>
      </c>
      <c r="G361" s="1">
        <v>0</v>
      </c>
      <c r="H361" s="2">
        <v>134.69999999999999</v>
      </c>
      <c r="I361" s="2">
        <v>0</v>
      </c>
      <c r="J361" s="1">
        <v>229680.48</v>
      </c>
      <c r="K361" s="1">
        <v>21329.757000000001</v>
      </c>
    </row>
    <row r="362" spans="1:11">
      <c r="A362" t="s">
        <v>1</v>
      </c>
      <c r="B362" s="3">
        <v>41625</v>
      </c>
      <c r="C362" s="3">
        <v>41625</v>
      </c>
      <c r="D362" t="s">
        <v>3</v>
      </c>
      <c r="E362" s="1">
        <v>10.510999999999999</v>
      </c>
      <c r="F362" s="1">
        <v>2361.3270000000002</v>
      </c>
      <c r="G362" s="1">
        <v>0</v>
      </c>
      <c r="H362" s="2">
        <v>24704.2</v>
      </c>
      <c r="I362" s="2">
        <v>0</v>
      </c>
      <c r="J362" s="1">
        <v>1175731.92</v>
      </c>
      <c r="K362" s="1">
        <v>111857.101</v>
      </c>
    </row>
    <row r="363" spans="1:11">
      <c r="A363" t="s">
        <v>1</v>
      </c>
      <c r="B363" s="3">
        <v>41625</v>
      </c>
      <c r="C363" s="3">
        <v>41625</v>
      </c>
      <c r="D363" t="s">
        <v>2</v>
      </c>
      <c r="E363" s="1">
        <v>16.492799999999999</v>
      </c>
      <c r="F363" s="1">
        <v>3238.8820000000001</v>
      </c>
      <c r="G363" s="1">
        <v>0</v>
      </c>
      <c r="H363" s="2">
        <v>53165.440000000002</v>
      </c>
      <c r="I363" s="2">
        <v>0</v>
      </c>
      <c r="J363" s="1">
        <v>31586239.829999998</v>
      </c>
      <c r="K363" s="1">
        <v>1915158.2290000001</v>
      </c>
    </row>
    <row r="364" spans="1:11">
      <c r="A364" t="s">
        <v>1</v>
      </c>
      <c r="B364" s="3">
        <v>41625</v>
      </c>
      <c r="C364" s="3">
        <v>41625</v>
      </c>
      <c r="D364" t="s">
        <v>9</v>
      </c>
      <c r="E364" s="1">
        <v>17.3949</v>
      </c>
      <c r="F364" s="1">
        <v>0</v>
      </c>
      <c r="G364" s="1">
        <v>1700</v>
      </c>
      <c r="H364" s="2">
        <v>0</v>
      </c>
      <c r="I364" s="2">
        <v>-29431.87</v>
      </c>
      <c r="J364" s="1">
        <v>976666.21</v>
      </c>
      <c r="K364" s="1">
        <v>56146.62</v>
      </c>
    </row>
    <row r="365" spans="1:11">
      <c r="A365" t="s">
        <v>1</v>
      </c>
      <c r="B365" s="3">
        <v>41626</v>
      </c>
      <c r="C365" s="3">
        <v>41626</v>
      </c>
      <c r="D365" t="s">
        <v>8</v>
      </c>
      <c r="E365" s="1">
        <v>17.263200000000001</v>
      </c>
      <c r="F365" s="1">
        <v>1587.9480000000001</v>
      </c>
      <c r="G365" s="1">
        <v>2828.9430000000002</v>
      </c>
      <c r="H365" s="2">
        <v>27574.63</v>
      </c>
      <c r="I365" s="2">
        <v>-49124.44</v>
      </c>
      <c r="J365" s="1">
        <v>6838908.0499999998</v>
      </c>
      <c r="K365" s="1">
        <v>396156.06800000003</v>
      </c>
    </row>
    <row r="366" spans="1:11">
      <c r="A366" t="s">
        <v>1</v>
      </c>
      <c r="B366" s="3">
        <v>41626</v>
      </c>
      <c r="C366" s="3">
        <v>41626</v>
      </c>
      <c r="D366" t="s">
        <v>7</v>
      </c>
      <c r="E366" s="1">
        <v>21.338899999999999</v>
      </c>
      <c r="F366" s="1">
        <v>113149.586</v>
      </c>
      <c r="G366" s="1">
        <v>139760.73699999999</v>
      </c>
      <c r="H366" s="2">
        <v>2428733.2200000002</v>
      </c>
      <c r="I366" s="2">
        <v>-2999936.27</v>
      </c>
      <c r="J366" s="1">
        <v>209106958.36000001</v>
      </c>
      <c r="K366" s="1">
        <v>9799342.4240000006</v>
      </c>
    </row>
    <row r="367" spans="1:11">
      <c r="A367" t="s">
        <v>1</v>
      </c>
      <c r="B367" s="3">
        <v>41626</v>
      </c>
      <c r="C367" s="3">
        <v>41626</v>
      </c>
      <c r="D367" t="s">
        <v>12</v>
      </c>
      <c r="E367" s="1">
        <v>17.109000000000002</v>
      </c>
      <c r="F367" s="1">
        <v>6711.857</v>
      </c>
      <c r="G367" s="1">
        <v>0</v>
      </c>
      <c r="H367" s="2">
        <v>115515.75</v>
      </c>
      <c r="I367" s="2">
        <v>0</v>
      </c>
      <c r="J367" s="1">
        <v>14282873.890000001</v>
      </c>
      <c r="K367" s="1">
        <v>834815.59699999995</v>
      </c>
    </row>
    <row r="368" spans="1:11">
      <c r="A368" t="s">
        <v>1</v>
      </c>
      <c r="B368" s="3">
        <v>41626</v>
      </c>
      <c r="C368" s="3">
        <v>41626</v>
      </c>
      <c r="D368" t="s">
        <v>6</v>
      </c>
      <c r="E368" s="1">
        <v>17.767399999999999</v>
      </c>
      <c r="F368" s="1">
        <v>32223.245999999999</v>
      </c>
      <c r="G368" s="1">
        <v>1383.8330000000001</v>
      </c>
      <c r="H368" s="2">
        <v>575922.87</v>
      </c>
      <c r="I368" s="2">
        <v>-24733.11</v>
      </c>
      <c r="J368" s="1">
        <v>33491142.23</v>
      </c>
      <c r="K368" s="1">
        <v>1884981.3019999999</v>
      </c>
    </row>
    <row r="369" spans="1:11">
      <c r="A369" t="s">
        <v>1</v>
      </c>
      <c r="B369" s="3">
        <v>41626</v>
      </c>
      <c r="C369" s="3">
        <v>41626</v>
      </c>
      <c r="D369" t="s">
        <v>10</v>
      </c>
      <c r="E369" s="1">
        <v>17.479800000000001</v>
      </c>
      <c r="F369" s="1">
        <v>0</v>
      </c>
      <c r="G369" s="1">
        <v>2111.453</v>
      </c>
      <c r="H369" s="2">
        <v>0</v>
      </c>
      <c r="I369" s="2">
        <v>-37139.85</v>
      </c>
      <c r="J369" s="1">
        <v>76368370.980000004</v>
      </c>
      <c r="K369" s="1">
        <v>4368960.9989999998</v>
      </c>
    </row>
    <row r="370" spans="1:11">
      <c r="A370" t="s">
        <v>1</v>
      </c>
      <c r="B370" s="3">
        <v>41626</v>
      </c>
      <c r="C370" s="3">
        <v>41626</v>
      </c>
      <c r="D370" t="s">
        <v>5</v>
      </c>
      <c r="E370" s="1">
        <v>16.3932</v>
      </c>
      <c r="F370" s="1">
        <v>0</v>
      </c>
      <c r="G370" s="1">
        <v>105154</v>
      </c>
      <c r="H370" s="2">
        <v>0</v>
      </c>
      <c r="I370" s="2">
        <v>-1733947.4</v>
      </c>
      <c r="J370" s="1">
        <v>20549500.940000001</v>
      </c>
      <c r="K370" s="1">
        <v>1253535.1359999999</v>
      </c>
    </row>
    <row r="371" spans="1:11">
      <c r="A371" t="s">
        <v>1</v>
      </c>
      <c r="B371" s="3">
        <v>41626</v>
      </c>
      <c r="C371" s="3">
        <v>41626</v>
      </c>
      <c r="D371" t="s">
        <v>2</v>
      </c>
      <c r="E371" s="1">
        <v>16.3964</v>
      </c>
      <c r="F371" s="1">
        <v>10926.471</v>
      </c>
      <c r="G371" s="1">
        <v>1300</v>
      </c>
      <c r="H371" s="2">
        <v>180208.57</v>
      </c>
      <c r="I371" s="2">
        <v>-21440.7</v>
      </c>
      <c r="J371" s="1">
        <v>31559499.140000001</v>
      </c>
      <c r="K371" s="1">
        <v>1924784.7</v>
      </c>
    </row>
    <row r="372" spans="1:11">
      <c r="A372" t="s">
        <v>1</v>
      </c>
      <c r="B372" s="3">
        <v>41626</v>
      </c>
      <c r="C372" s="3">
        <v>41626</v>
      </c>
      <c r="D372" t="s">
        <v>9</v>
      </c>
      <c r="E372" s="1">
        <v>17.293199999999999</v>
      </c>
      <c r="F372" s="1">
        <v>0</v>
      </c>
      <c r="G372" s="1">
        <v>113.705</v>
      </c>
      <c r="H372" s="2">
        <v>0</v>
      </c>
      <c r="I372" s="2">
        <v>-1977.9</v>
      </c>
      <c r="J372" s="1">
        <v>968985.8</v>
      </c>
      <c r="K372" s="1">
        <v>56032.915000000001</v>
      </c>
    </row>
    <row r="373" spans="1:11">
      <c r="A373" t="s">
        <v>1</v>
      </c>
      <c r="B373" s="3">
        <v>41627</v>
      </c>
      <c r="C373" s="3">
        <v>41627</v>
      </c>
      <c r="D373" t="s">
        <v>7</v>
      </c>
      <c r="E373" s="1">
        <v>21.744499999999999</v>
      </c>
      <c r="F373" s="1">
        <v>5205.8590000000004</v>
      </c>
      <c r="G373" s="1">
        <v>10773.098</v>
      </c>
      <c r="H373" s="2">
        <v>111087.29</v>
      </c>
      <c r="I373" s="2">
        <v>-229886.05</v>
      </c>
      <c r="J373" s="1">
        <v>212960309.63</v>
      </c>
      <c r="K373" s="1">
        <v>9793775.1850000005</v>
      </c>
    </row>
    <row r="374" spans="1:11">
      <c r="A374" t="s">
        <v>1</v>
      </c>
      <c r="B374" s="3">
        <v>41627</v>
      </c>
      <c r="C374" s="3">
        <v>41627</v>
      </c>
      <c r="D374" t="s">
        <v>12</v>
      </c>
      <c r="E374" s="1">
        <v>17.433499999999999</v>
      </c>
      <c r="F374" s="1">
        <v>12830.186</v>
      </c>
      <c r="G374" s="1">
        <v>0</v>
      </c>
      <c r="H374" s="2">
        <v>219511.65</v>
      </c>
      <c r="I374" s="2">
        <v>0</v>
      </c>
      <c r="J374" s="1">
        <v>14777430.279999999</v>
      </c>
      <c r="K374" s="1">
        <v>847645.78300000005</v>
      </c>
    </row>
    <row r="375" spans="1:11">
      <c r="A375" t="s">
        <v>1</v>
      </c>
      <c r="B375" s="3">
        <v>41627</v>
      </c>
      <c r="C375" s="3">
        <v>41627</v>
      </c>
      <c r="D375" t="s">
        <v>6</v>
      </c>
      <c r="E375" s="1">
        <v>18.104299999999999</v>
      </c>
      <c r="F375" s="1">
        <v>18275.887999999999</v>
      </c>
      <c r="G375" s="1">
        <v>2679.3789999999999</v>
      </c>
      <c r="H375" s="2">
        <v>324714.96999999997</v>
      </c>
      <c r="I375" s="2">
        <v>-47605.61</v>
      </c>
      <c r="J375" s="1">
        <v>34408682.810000002</v>
      </c>
      <c r="K375" s="1">
        <v>1900577.811</v>
      </c>
    </row>
    <row r="376" spans="1:11">
      <c r="A376" t="s">
        <v>1</v>
      </c>
      <c r="B376" s="3">
        <v>41627</v>
      </c>
      <c r="C376" s="3">
        <v>41627</v>
      </c>
      <c r="D376" t="s">
        <v>10</v>
      </c>
      <c r="E376" s="1">
        <v>17.7331</v>
      </c>
      <c r="F376" s="1">
        <v>0</v>
      </c>
      <c r="G376" s="1">
        <v>22191.846000000001</v>
      </c>
      <c r="H376" s="2">
        <v>0</v>
      </c>
      <c r="I376" s="2">
        <v>-387909.58</v>
      </c>
      <c r="J376" s="1">
        <v>77081566.319999993</v>
      </c>
      <c r="K376" s="1">
        <v>4346769.1529999999</v>
      </c>
    </row>
    <row r="377" spans="1:11">
      <c r="A377" t="s">
        <v>1</v>
      </c>
      <c r="B377" s="3">
        <v>41627</v>
      </c>
      <c r="C377" s="3">
        <v>41627</v>
      </c>
      <c r="D377" t="s">
        <v>5</v>
      </c>
      <c r="E377" s="1">
        <v>16.705200000000001</v>
      </c>
      <c r="F377" s="1">
        <v>0</v>
      </c>
      <c r="G377" s="1">
        <v>86468</v>
      </c>
      <c r="H377" s="2">
        <v>0</v>
      </c>
      <c r="I377" s="2">
        <v>-1417487.22</v>
      </c>
      <c r="J377" s="1">
        <v>19496040.960000001</v>
      </c>
      <c r="K377" s="1">
        <v>1167067.1359999999</v>
      </c>
    </row>
    <row r="378" spans="1:11">
      <c r="A378" t="s">
        <v>1</v>
      </c>
      <c r="B378" s="3">
        <v>41627</v>
      </c>
      <c r="C378" s="3">
        <v>41627</v>
      </c>
      <c r="D378" t="s">
        <v>3</v>
      </c>
      <c r="E378" s="1">
        <v>10.6471</v>
      </c>
      <c r="F378" s="1">
        <v>5694.3540000000003</v>
      </c>
      <c r="G378" s="1">
        <v>0</v>
      </c>
      <c r="H378" s="2">
        <v>59499.72</v>
      </c>
      <c r="I378" s="2">
        <v>0</v>
      </c>
      <c r="J378" s="1">
        <v>1251583.6000000001</v>
      </c>
      <c r="K378" s="1">
        <v>117551.455</v>
      </c>
    </row>
    <row r="379" spans="1:11">
      <c r="A379" t="s">
        <v>1</v>
      </c>
      <c r="B379" s="3">
        <v>41627</v>
      </c>
      <c r="C379" s="3">
        <v>41627</v>
      </c>
      <c r="D379" t="s">
        <v>2</v>
      </c>
      <c r="E379" s="1">
        <v>16.708400000000001</v>
      </c>
      <c r="F379" s="1">
        <v>15486.941000000001</v>
      </c>
      <c r="G379" s="1">
        <v>0</v>
      </c>
      <c r="H379" s="2">
        <v>253930.07</v>
      </c>
      <c r="I379" s="2">
        <v>0</v>
      </c>
      <c r="J379" s="1">
        <v>32418747.390000001</v>
      </c>
      <c r="K379" s="1">
        <v>1940271.6410000001</v>
      </c>
    </row>
    <row r="380" spans="1:11">
      <c r="A380" t="s">
        <v>1</v>
      </c>
      <c r="B380" s="3">
        <v>41628</v>
      </c>
      <c r="C380" s="3">
        <v>41628</v>
      </c>
      <c r="D380" t="s">
        <v>8</v>
      </c>
      <c r="E380" s="1">
        <v>17.565200000000001</v>
      </c>
      <c r="F380" s="1">
        <v>685.44200000000001</v>
      </c>
      <c r="G380" s="1">
        <v>5541.24</v>
      </c>
      <c r="H380" s="2">
        <v>12057.83</v>
      </c>
      <c r="I380" s="2">
        <v>-97477.68</v>
      </c>
      <c r="J380" s="1">
        <v>6873251.8600000003</v>
      </c>
      <c r="K380" s="1">
        <v>391300.27</v>
      </c>
    </row>
    <row r="381" spans="1:11">
      <c r="A381" t="s">
        <v>1</v>
      </c>
      <c r="B381" s="3">
        <v>41628</v>
      </c>
      <c r="C381" s="3">
        <v>41628</v>
      </c>
      <c r="D381" t="s">
        <v>7</v>
      </c>
      <c r="E381" s="1">
        <v>21.712199999999999</v>
      </c>
      <c r="F381" s="1">
        <v>6245.2070000000003</v>
      </c>
      <c r="G381" s="1">
        <v>29364.719000000001</v>
      </c>
      <c r="H381" s="2">
        <v>135798.89000000001</v>
      </c>
      <c r="I381" s="2">
        <v>-638521.12</v>
      </c>
      <c r="J381" s="1">
        <v>212142129.91</v>
      </c>
      <c r="K381" s="1">
        <v>9770655.6730000004</v>
      </c>
    </row>
    <row r="382" spans="1:11">
      <c r="A382" t="s">
        <v>1</v>
      </c>
      <c r="B382" s="3">
        <v>41628</v>
      </c>
      <c r="C382" s="3">
        <v>41628</v>
      </c>
      <c r="D382" t="s">
        <v>12</v>
      </c>
      <c r="E382" s="1">
        <v>17.4069</v>
      </c>
      <c r="F382" s="1">
        <v>4290.37</v>
      </c>
      <c r="G382" s="1">
        <v>35059.527000000002</v>
      </c>
      <c r="H382" s="2">
        <v>74796.160000000003</v>
      </c>
      <c r="I382" s="2">
        <v>-611210.26</v>
      </c>
      <c r="J382" s="1">
        <v>14219285.85</v>
      </c>
      <c r="K382" s="1">
        <v>816876.62600000005</v>
      </c>
    </row>
    <row r="383" spans="1:11">
      <c r="A383" t="s">
        <v>1</v>
      </c>
      <c r="B383" s="3">
        <v>41628</v>
      </c>
      <c r="C383" s="3">
        <v>41628</v>
      </c>
      <c r="D383" t="s">
        <v>6</v>
      </c>
      <c r="E383" s="1">
        <v>18.076699999999999</v>
      </c>
      <c r="F383" s="1">
        <v>2527.4879999999998</v>
      </c>
      <c r="G383" s="1">
        <v>11033.387000000001</v>
      </c>
      <c r="H383" s="2">
        <v>45758.42</v>
      </c>
      <c r="I383" s="2">
        <v>-199751.78</v>
      </c>
      <c r="J383" s="1">
        <v>34202420.270000003</v>
      </c>
      <c r="K383" s="1">
        <v>1892071.912</v>
      </c>
    </row>
    <row r="384" spans="1:11">
      <c r="A384" t="s">
        <v>1</v>
      </c>
      <c r="B384" s="3">
        <v>41628</v>
      </c>
      <c r="C384" s="3">
        <v>41628</v>
      </c>
      <c r="D384" t="s">
        <v>10</v>
      </c>
      <c r="E384" s="1">
        <v>17.6617</v>
      </c>
      <c r="F384" s="1">
        <v>0</v>
      </c>
      <c r="G384" s="1">
        <v>9601.3680000000004</v>
      </c>
      <c r="H384" s="2">
        <v>0</v>
      </c>
      <c r="I384" s="2">
        <v>-170262.15</v>
      </c>
      <c r="J384" s="1">
        <v>76601540.230000004</v>
      </c>
      <c r="K384" s="1">
        <v>4337167.7850000001</v>
      </c>
    </row>
    <row r="385" spans="1:11">
      <c r="A385" t="s">
        <v>1</v>
      </c>
      <c r="B385" s="3">
        <v>41628</v>
      </c>
      <c r="C385" s="3">
        <v>41628</v>
      </c>
      <c r="D385" t="s">
        <v>5</v>
      </c>
      <c r="E385" s="1">
        <v>16.680700000000002</v>
      </c>
      <c r="F385" s="1">
        <v>29912</v>
      </c>
      <c r="G385" s="1">
        <v>0</v>
      </c>
      <c r="H385" s="2">
        <v>499685.94</v>
      </c>
      <c r="I385" s="2">
        <v>0</v>
      </c>
      <c r="J385" s="1">
        <v>19966448.059999999</v>
      </c>
      <c r="K385" s="1">
        <v>1196979.1359999999</v>
      </c>
    </row>
    <row r="386" spans="1:11">
      <c r="A386" t="s">
        <v>1</v>
      </c>
      <c r="B386" s="3">
        <v>41628</v>
      </c>
      <c r="C386" s="3">
        <v>41628</v>
      </c>
      <c r="D386" t="s">
        <v>3</v>
      </c>
      <c r="E386" s="1">
        <v>10.6309</v>
      </c>
      <c r="F386" s="1">
        <v>810.42700000000002</v>
      </c>
      <c r="G386" s="1">
        <v>0</v>
      </c>
      <c r="H386" s="2">
        <v>8628.7000000000007</v>
      </c>
      <c r="I386" s="2">
        <v>0</v>
      </c>
      <c r="J386" s="1">
        <v>1258289.3400000001</v>
      </c>
      <c r="K386" s="1">
        <v>118361.882</v>
      </c>
    </row>
    <row r="387" spans="1:11">
      <c r="A387" t="s">
        <v>1</v>
      </c>
      <c r="B387" s="3">
        <v>41628</v>
      </c>
      <c r="C387" s="3">
        <v>41628</v>
      </c>
      <c r="D387" t="s">
        <v>2</v>
      </c>
      <c r="E387" s="1">
        <v>16.683900000000001</v>
      </c>
      <c r="F387" s="1">
        <v>19979.8</v>
      </c>
      <c r="G387" s="1">
        <v>0</v>
      </c>
      <c r="H387" s="2">
        <v>333831.01</v>
      </c>
      <c r="I387" s="2">
        <v>0</v>
      </c>
      <c r="J387" s="1">
        <v>32704620.300000001</v>
      </c>
      <c r="K387" s="1">
        <v>1960251.4410000001</v>
      </c>
    </row>
    <row r="388" spans="1:11">
      <c r="A388" t="s">
        <v>1</v>
      </c>
      <c r="B388" s="3">
        <v>41628</v>
      </c>
      <c r="C388" s="3">
        <v>41628</v>
      </c>
      <c r="D388" t="s">
        <v>9</v>
      </c>
      <c r="E388" s="1">
        <v>17.5962</v>
      </c>
      <c r="F388" s="1">
        <v>0</v>
      </c>
      <c r="G388" s="1">
        <v>9.3420000000000005</v>
      </c>
      <c r="H388" s="2">
        <v>0</v>
      </c>
      <c r="I388" s="2">
        <v>-164.63</v>
      </c>
      <c r="J388" s="1">
        <v>985799.2</v>
      </c>
      <c r="K388" s="1">
        <v>56023.572999999997</v>
      </c>
    </row>
    <row r="389" spans="1:11">
      <c r="A389" t="s">
        <v>1</v>
      </c>
      <c r="B389" s="3">
        <v>41631</v>
      </c>
      <c r="C389" s="3">
        <v>41631</v>
      </c>
      <c r="D389" t="s">
        <v>8</v>
      </c>
      <c r="E389" s="1">
        <v>17.626300000000001</v>
      </c>
      <c r="F389" s="1">
        <v>23.317</v>
      </c>
      <c r="G389" s="1">
        <v>0</v>
      </c>
      <c r="H389" s="2">
        <v>409.58</v>
      </c>
      <c r="I389" s="2">
        <v>0</v>
      </c>
      <c r="J389" s="1">
        <v>6897588.0300000003</v>
      </c>
      <c r="K389" s="1">
        <v>391323.587</v>
      </c>
    </row>
    <row r="390" spans="1:11">
      <c r="A390" t="s">
        <v>1</v>
      </c>
      <c r="B390" s="3">
        <v>41631</v>
      </c>
      <c r="C390" s="3">
        <v>41631</v>
      </c>
      <c r="D390" t="s">
        <v>7</v>
      </c>
      <c r="E390" s="1">
        <v>21.787700000000001</v>
      </c>
      <c r="F390" s="1">
        <v>22792.962</v>
      </c>
      <c r="G390" s="1">
        <v>6068.9539999999997</v>
      </c>
      <c r="H390" s="2">
        <v>494885.38</v>
      </c>
      <c r="I390" s="2">
        <v>-131770.35999999999</v>
      </c>
      <c r="J390" s="1">
        <v>213244956.84999999</v>
      </c>
      <c r="K390" s="1">
        <v>9787379.6809999999</v>
      </c>
    </row>
    <row r="391" spans="1:11">
      <c r="A391" t="s">
        <v>1</v>
      </c>
      <c r="B391" s="3">
        <v>41631</v>
      </c>
      <c r="C391" s="3">
        <v>41631</v>
      </c>
      <c r="D391" t="s">
        <v>12</v>
      </c>
      <c r="E391" s="1">
        <v>17.465299999999999</v>
      </c>
      <c r="F391" s="1">
        <v>31337.488000000001</v>
      </c>
      <c r="G391" s="1">
        <v>2783.4650000000001</v>
      </c>
      <c r="H391" s="2">
        <v>545488.5</v>
      </c>
      <c r="I391" s="2">
        <v>-48451.5</v>
      </c>
      <c r="J391" s="1">
        <v>14765734.75</v>
      </c>
      <c r="K391" s="1">
        <v>845430.64899999998</v>
      </c>
    </row>
    <row r="392" spans="1:11">
      <c r="A392" t="s">
        <v>1</v>
      </c>
      <c r="B392" s="3">
        <v>41631</v>
      </c>
      <c r="C392" s="3">
        <v>41631</v>
      </c>
      <c r="D392" t="s">
        <v>6</v>
      </c>
      <c r="E392" s="1">
        <v>18.1374</v>
      </c>
      <c r="F392" s="1">
        <v>32781.368000000002</v>
      </c>
      <c r="G392" s="1">
        <v>701.125</v>
      </c>
      <c r="H392" s="2">
        <v>592578.97</v>
      </c>
      <c r="I392" s="2">
        <v>-12674.02</v>
      </c>
      <c r="J392" s="1">
        <v>34899111.210000001</v>
      </c>
      <c r="K392" s="1">
        <v>1924152.155</v>
      </c>
    </row>
    <row r="393" spans="1:11">
      <c r="A393" t="s">
        <v>1</v>
      </c>
      <c r="B393" s="3">
        <v>41631</v>
      </c>
      <c r="C393" s="3">
        <v>41631</v>
      </c>
      <c r="D393" t="s">
        <v>10</v>
      </c>
      <c r="E393" s="1">
        <v>17.760100000000001</v>
      </c>
      <c r="F393" s="1">
        <v>8940</v>
      </c>
      <c r="G393" s="1">
        <v>541.1</v>
      </c>
      <c r="H393" s="2">
        <v>157895.53</v>
      </c>
      <c r="I393" s="2">
        <v>-9556.75</v>
      </c>
      <c r="J393" s="1">
        <v>77177498.019999996</v>
      </c>
      <c r="K393" s="1">
        <v>4345566.6849999996</v>
      </c>
    </row>
    <row r="394" spans="1:11">
      <c r="A394" t="s">
        <v>1</v>
      </c>
      <c r="B394" s="3">
        <v>41631</v>
      </c>
      <c r="C394" s="3">
        <v>41631</v>
      </c>
      <c r="D394" t="s">
        <v>5</v>
      </c>
      <c r="E394" s="1">
        <v>16.739799999999999</v>
      </c>
      <c r="F394" s="1">
        <v>84060</v>
      </c>
      <c r="G394" s="1">
        <v>0</v>
      </c>
      <c r="H394" s="2">
        <v>1402179.64</v>
      </c>
      <c r="I394" s="2">
        <v>0</v>
      </c>
      <c r="J394" s="1">
        <v>21444327.25</v>
      </c>
      <c r="K394" s="1">
        <v>1281039.1359999999</v>
      </c>
    </row>
    <row r="395" spans="1:11">
      <c r="A395" t="s">
        <v>1</v>
      </c>
      <c r="B395" s="3">
        <v>41631</v>
      </c>
      <c r="C395" s="3">
        <v>41631</v>
      </c>
      <c r="D395" t="s">
        <v>2</v>
      </c>
      <c r="E395" s="1">
        <v>16.742999999999999</v>
      </c>
      <c r="F395" s="1">
        <v>22320</v>
      </c>
      <c r="G395" s="1">
        <v>0</v>
      </c>
      <c r="H395" s="2">
        <v>372383.64</v>
      </c>
      <c r="I395" s="2">
        <v>0</v>
      </c>
      <c r="J395" s="1">
        <v>33194181.059999999</v>
      </c>
      <c r="K395" s="1">
        <v>1982571.4410000001</v>
      </c>
    </row>
    <row r="396" spans="1:11">
      <c r="A396" t="s">
        <v>1</v>
      </c>
      <c r="B396" s="3">
        <v>41631</v>
      </c>
      <c r="C396" s="3">
        <v>41631</v>
      </c>
      <c r="D396" t="s">
        <v>9</v>
      </c>
      <c r="E396" s="1">
        <v>17.658100000000001</v>
      </c>
      <c r="F396" s="1">
        <v>29.686</v>
      </c>
      <c r="G396" s="1">
        <v>0</v>
      </c>
      <c r="H396" s="2">
        <v>522.34</v>
      </c>
      <c r="I396" s="2">
        <v>0</v>
      </c>
      <c r="J396" s="1">
        <v>989795.37</v>
      </c>
      <c r="K396" s="1">
        <v>56053.258999999998</v>
      </c>
    </row>
    <row r="397" spans="1:11">
      <c r="A397" t="s">
        <v>1</v>
      </c>
      <c r="B397" s="3">
        <v>41632</v>
      </c>
      <c r="C397" s="3">
        <v>41632</v>
      </c>
      <c r="D397" t="s">
        <v>7</v>
      </c>
      <c r="E397" s="1">
        <v>21.869</v>
      </c>
      <c r="F397" s="1">
        <v>93439.89</v>
      </c>
      <c r="G397" s="1">
        <v>20275.442999999999</v>
      </c>
      <c r="H397" s="2">
        <v>2035840.28</v>
      </c>
      <c r="I397" s="2">
        <v>-441755.27</v>
      </c>
      <c r="J397" s="1">
        <v>215640458.97</v>
      </c>
      <c r="K397" s="1">
        <v>9860544.1280000005</v>
      </c>
    </row>
    <row r="398" spans="1:11">
      <c r="A398" t="s">
        <v>1</v>
      </c>
      <c r="B398" s="3">
        <v>41632</v>
      </c>
      <c r="C398" s="3">
        <v>41632</v>
      </c>
      <c r="D398" t="s">
        <v>12</v>
      </c>
      <c r="E398" s="1">
        <v>17.529800000000002</v>
      </c>
      <c r="F398" s="1">
        <v>22473.02</v>
      </c>
      <c r="G398" s="1">
        <v>0</v>
      </c>
      <c r="H398" s="2">
        <v>392498.06</v>
      </c>
      <c r="I398" s="2">
        <v>0</v>
      </c>
      <c r="J398" s="1">
        <v>15214154.810000001</v>
      </c>
      <c r="K398" s="1">
        <v>867903.66899999999</v>
      </c>
    </row>
    <row r="399" spans="1:11">
      <c r="A399" t="s">
        <v>1</v>
      </c>
      <c r="B399" s="3">
        <v>41632</v>
      </c>
      <c r="C399" s="3">
        <v>41632</v>
      </c>
      <c r="D399" t="s">
        <v>6</v>
      </c>
      <c r="E399" s="1">
        <v>18.2043</v>
      </c>
      <c r="F399" s="1">
        <v>24186.68</v>
      </c>
      <c r="G399" s="1">
        <v>10975.771000000001</v>
      </c>
      <c r="H399" s="2">
        <v>438683.49</v>
      </c>
      <c r="I399" s="2">
        <v>-199071.96</v>
      </c>
      <c r="J399" s="1">
        <v>35268357.130000003</v>
      </c>
      <c r="K399" s="1">
        <v>1937363.064</v>
      </c>
    </row>
    <row r="400" spans="1:11">
      <c r="A400" t="s">
        <v>1</v>
      </c>
      <c r="B400" s="3">
        <v>41632</v>
      </c>
      <c r="C400" s="3">
        <v>41632</v>
      </c>
      <c r="D400" t="s">
        <v>10</v>
      </c>
      <c r="E400" s="1">
        <v>17.821300000000001</v>
      </c>
      <c r="F400" s="1">
        <v>9721.4639999999999</v>
      </c>
      <c r="G400" s="1">
        <v>1417.653</v>
      </c>
      <c r="H400" s="2">
        <v>172654.05</v>
      </c>
      <c r="I400" s="2">
        <v>-25177.64</v>
      </c>
      <c r="J400" s="1">
        <v>77591457.209999993</v>
      </c>
      <c r="K400" s="1">
        <v>4353870.4960000003</v>
      </c>
    </row>
    <row r="401" spans="1:11">
      <c r="A401" t="s">
        <v>1</v>
      </c>
      <c r="B401" s="3">
        <v>41632</v>
      </c>
      <c r="C401" s="3">
        <v>41632</v>
      </c>
      <c r="D401" t="s">
        <v>5</v>
      </c>
      <c r="E401" s="1">
        <v>16.802600000000002</v>
      </c>
      <c r="F401" s="1">
        <v>35929.135999999999</v>
      </c>
      <c r="G401" s="1">
        <v>0</v>
      </c>
      <c r="H401" s="2">
        <v>601446.55000000005</v>
      </c>
      <c r="I401" s="2">
        <v>0</v>
      </c>
      <c r="J401" s="1">
        <v>22128464.43</v>
      </c>
      <c r="K401" s="1">
        <v>1316968.2720000001</v>
      </c>
    </row>
    <row r="402" spans="1:11">
      <c r="A402" t="s">
        <v>1</v>
      </c>
      <c r="B402" s="3">
        <v>41632</v>
      </c>
      <c r="C402" s="3">
        <v>41632</v>
      </c>
      <c r="D402" t="s">
        <v>4</v>
      </c>
      <c r="E402" s="1">
        <v>10.9709</v>
      </c>
      <c r="F402" s="1">
        <v>305.274</v>
      </c>
      <c r="G402" s="1">
        <v>0</v>
      </c>
      <c r="H402" s="2">
        <v>3336.67</v>
      </c>
      <c r="I402" s="2">
        <v>0</v>
      </c>
      <c r="J402" s="1">
        <v>237355.49</v>
      </c>
      <c r="K402" s="1">
        <v>21635.030999999999</v>
      </c>
    </row>
    <row r="403" spans="1:11">
      <c r="A403" t="s">
        <v>1</v>
      </c>
      <c r="B403" s="3">
        <v>41632</v>
      </c>
      <c r="C403" s="3">
        <v>41632</v>
      </c>
      <c r="D403" t="s">
        <v>3</v>
      </c>
      <c r="E403" s="1">
        <v>10.7059</v>
      </c>
      <c r="F403" s="1">
        <v>1692.296</v>
      </c>
      <c r="G403" s="1">
        <v>0</v>
      </c>
      <c r="H403" s="2">
        <v>18051.04</v>
      </c>
      <c r="I403" s="2">
        <v>0</v>
      </c>
      <c r="J403" s="1">
        <v>1285289.51</v>
      </c>
      <c r="K403" s="1">
        <v>120054.178</v>
      </c>
    </row>
    <row r="404" spans="1:11">
      <c r="A404" t="s">
        <v>1</v>
      </c>
      <c r="B404" s="3">
        <v>41632</v>
      </c>
      <c r="C404" s="3">
        <v>41632</v>
      </c>
      <c r="D404" t="s">
        <v>2</v>
      </c>
      <c r="E404" s="1">
        <v>16.805800000000001</v>
      </c>
      <c r="F404" s="1">
        <v>3030</v>
      </c>
      <c r="G404" s="1">
        <v>0</v>
      </c>
      <c r="H404" s="2">
        <v>50731.43</v>
      </c>
      <c r="I404" s="2">
        <v>0</v>
      </c>
      <c r="J404" s="1">
        <v>33369609.559999999</v>
      </c>
      <c r="K404" s="1">
        <v>1985601.4410000001</v>
      </c>
    </row>
    <row r="405" spans="1:11">
      <c r="A405" t="s">
        <v>1</v>
      </c>
      <c r="B405" s="3">
        <v>41638</v>
      </c>
      <c r="C405" s="3">
        <v>41638</v>
      </c>
      <c r="D405" t="s">
        <v>8</v>
      </c>
      <c r="E405" s="1">
        <v>17.8567</v>
      </c>
      <c r="F405" s="1">
        <v>0</v>
      </c>
      <c r="G405" s="1">
        <v>1244.8789999999999</v>
      </c>
      <c r="H405" s="2">
        <v>0</v>
      </c>
      <c r="I405" s="2">
        <v>-22024.49</v>
      </c>
      <c r="J405" s="1">
        <v>6965527.96</v>
      </c>
      <c r="K405" s="1">
        <v>390078.70799999998</v>
      </c>
    </row>
    <row r="406" spans="1:11">
      <c r="A406" t="s">
        <v>1</v>
      </c>
      <c r="B406" s="3">
        <v>41638</v>
      </c>
      <c r="C406" s="3">
        <v>41638</v>
      </c>
      <c r="D406" t="s">
        <v>7</v>
      </c>
      <c r="E406" s="1">
        <v>22.072600000000001</v>
      </c>
      <c r="F406" s="1">
        <v>26352.113000000001</v>
      </c>
      <c r="G406" s="1">
        <v>9570.8420000000006</v>
      </c>
      <c r="H406" s="2">
        <v>576294.37</v>
      </c>
      <c r="I406" s="2">
        <v>-209304.76</v>
      </c>
      <c r="J406" s="1">
        <v>218017952.87</v>
      </c>
      <c r="K406" s="1">
        <v>9877325.3990000002</v>
      </c>
    </row>
    <row r="407" spans="1:11">
      <c r="A407" t="s">
        <v>1</v>
      </c>
      <c r="B407" s="3">
        <v>41638</v>
      </c>
      <c r="C407" s="3">
        <v>41638</v>
      </c>
      <c r="D407" t="s">
        <v>12</v>
      </c>
      <c r="E407" s="1">
        <v>17.688600000000001</v>
      </c>
      <c r="F407" s="1">
        <v>432.36399999999998</v>
      </c>
      <c r="G407" s="1">
        <v>1491.1389999999999</v>
      </c>
      <c r="H407" s="2">
        <v>7579.26</v>
      </c>
      <c r="I407" s="2">
        <v>-26139.37</v>
      </c>
      <c r="J407" s="1">
        <v>15333281.869999999</v>
      </c>
      <c r="K407" s="1">
        <v>866844.89399999997</v>
      </c>
    </row>
    <row r="408" spans="1:11">
      <c r="A408" t="s">
        <v>1</v>
      </c>
      <c r="B408" s="3">
        <v>41638</v>
      </c>
      <c r="C408" s="3">
        <v>41638</v>
      </c>
      <c r="D408" t="s">
        <v>6</v>
      </c>
      <c r="E408" s="1">
        <v>18.369299999999999</v>
      </c>
      <c r="F408" s="1">
        <v>28921.708999999999</v>
      </c>
      <c r="G408" s="1">
        <v>13089.97</v>
      </c>
      <c r="H408" s="2">
        <v>526499.46</v>
      </c>
      <c r="I408" s="2">
        <v>-238293.73</v>
      </c>
      <c r="J408" s="1">
        <v>35878740.659999996</v>
      </c>
      <c r="K408" s="1">
        <v>1953194.8030000001</v>
      </c>
    </row>
    <row r="409" spans="1:11">
      <c r="A409" t="s">
        <v>1</v>
      </c>
      <c r="B409" s="3">
        <v>41638</v>
      </c>
      <c r="C409" s="3">
        <v>41638</v>
      </c>
      <c r="D409" t="s">
        <v>4</v>
      </c>
      <c r="E409" s="1">
        <v>11.073</v>
      </c>
      <c r="F409" s="1">
        <v>91.088999999999999</v>
      </c>
      <c r="G409" s="1">
        <v>94.397999999999996</v>
      </c>
      <c r="H409" s="2">
        <v>999.33</v>
      </c>
      <c r="I409" s="2">
        <v>-1035.6300000000001</v>
      </c>
      <c r="J409" s="1">
        <v>239528.05</v>
      </c>
      <c r="K409" s="1">
        <v>21631.722000000002</v>
      </c>
    </row>
    <row r="410" spans="1:11">
      <c r="A410" t="s">
        <v>1</v>
      </c>
      <c r="B410" s="3">
        <v>41638</v>
      </c>
      <c r="C410" s="3">
        <v>41638</v>
      </c>
      <c r="D410" t="s">
        <v>3</v>
      </c>
      <c r="E410" s="1">
        <v>10.802899999999999</v>
      </c>
      <c r="F410" s="1">
        <v>668.71699999999998</v>
      </c>
      <c r="G410" s="1">
        <v>0</v>
      </c>
      <c r="H410" s="2">
        <v>7159.22</v>
      </c>
      <c r="I410" s="2">
        <v>0</v>
      </c>
      <c r="J410" s="1">
        <v>1304159.5900000001</v>
      </c>
      <c r="K410" s="1">
        <v>120722.895</v>
      </c>
    </row>
    <row r="411" spans="1:11">
      <c r="A411" t="s">
        <v>1</v>
      </c>
      <c r="B411" s="3">
        <v>41638</v>
      </c>
      <c r="C411" s="3">
        <v>41638</v>
      </c>
      <c r="D411" t="s">
        <v>14</v>
      </c>
      <c r="E411" s="1">
        <v>10.982699999999999</v>
      </c>
      <c r="F411" s="1">
        <v>2214.239</v>
      </c>
      <c r="G411" s="1">
        <v>0</v>
      </c>
      <c r="H411" s="2">
        <v>24100</v>
      </c>
      <c r="I411" s="2">
        <v>0</v>
      </c>
      <c r="J411" s="1">
        <v>399742.15</v>
      </c>
      <c r="K411" s="1">
        <v>36397.328000000001</v>
      </c>
    </row>
    <row r="412" spans="1:11">
      <c r="A412" t="s">
        <v>1</v>
      </c>
      <c r="B412" s="3">
        <v>41638</v>
      </c>
      <c r="C412" s="3">
        <v>41638</v>
      </c>
      <c r="D412" t="s">
        <v>2</v>
      </c>
      <c r="E412" s="1">
        <v>16.964300000000001</v>
      </c>
      <c r="F412" s="1">
        <v>389.41199999999998</v>
      </c>
      <c r="G412" s="1">
        <v>0</v>
      </c>
      <c r="H412" s="2">
        <v>6544.4</v>
      </c>
      <c r="I412" s="2">
        <v>0</v>
      </c>
      <c r="J412" s="1">
        <v>33690919.700000003</v>
      </c>
      <c r="K412" s="1">
        <v>1985990.8529999999</v>
      </c>
    </row>
    <row r="413" spans="1:11">
      <c r="A413" t="s">
        <v>1</v>
      </c>
      <c r="B413" s="3">
        <v>41638</v>
      </c>
      <c r="C413" s="3">
        <v>41638</v>
      </c>
      <c r="D413" t="s">
        <v>9</v>
      </c>
      <c r="E413" s="1">
        <v>17.890699999999999</v>
      </c>
      <c r="F413" s="1">
        <v>0</v>
      </c>
      <c r="G413" s="1">
        <v>3.536</v>
      </c>
      <c r="H413" s="2">
        <v>0</v>
      </c>
      <c r="I413" s="2">
        <v>-62.68</v>
      </c>
      <c r="J413" s="1">
        <v>1002766.66</v>
      </c>
      <c r="K413" s="1">
        <v>56049.722999999998</v>
      </c>
    </row>
    <row r="414" spans="1:11">
      <c r="A414" t="s">
        <v>1</v>
      </c>
      <c r="B414" s="3">
        <v>41639</v>
      </c>
      <c r="C414" s="3">
        <v>41639</v>
      </c>
      <c r="D414" t="s">
        <v>8</v>
      </c>
      <c r="E414" s="1">
        <v>17.838000000000001</v>
      </c>
      <c r="F414" s="1">
        <v>23.122</v>
      </c>
      <c r="G414" s="1">
        <v>0</v>
      </c>
      <c r="H414" s="2">
        <v>412.89</v>
      </c>
      <c r="I414" s="2">
        <v>0</v>
      </c>
      <c r="J414" s="1">
        <v>6958631.4000000004</v>
      </c>
      <c r="K414" s="1">
        <v>390101.83</v>
      </c>
    </row>
    <row r="415" spans="1:11">
      <c r="A415" t="s">
        <v>1</v>
      </c>
      <c r="B415" s="3">
        <v>41639</v>
      </c>
      <c r="C415" s="3">
        <v>41639</v>
      </c>
      <c r="D415" t="s">
        <v>7</v>
      </c>
      <c r="E415" s="1">
        <v>22.049399999999999</v>
      </c>
      <c r="F415" s="1">
        <v>16428.921999999999</v>
      </c>
      <c r="G415" s="1">
        <v>18565.833999999999</v>
      </c>
      <c r="H415" s="2">
        <v>362629</v>
      </c>
      <c r="I415" s="2">
        <v>-409796.25</v>
      </c>
      <c r="J415" s="1">
        <v>217742065.18000001</v>
      </c>
      <c r="K415" s="1">
        <v>9875188.4869999997</v>
      </c>
    </row>
    <row r="416" spans="1:11">
      <c r="A416" t="s">
        <v>1</v>
      </c>
      <c r="B416" s="3">
        <v>41639</v>
      </c>
      <c r="C416" s="3">
        <v>41639</v>
      </c>
      <c r="D416" t="s">
        <v>12</v>
      </c>
      <c r="E416" s="1">
        <v>17.6693</v>
      </c>
      <c r="F416" s="1">
        <v>19059.557000000001</v>
      </c>
      <c r="G416" s="1">
        <v>28943.816999999999</v>
      </c>
      <c r="H416" s="2">
        <v>337136.88</v>
      </c>
      <c r="I416" s="2">
        <v>-511975.61</v>
      </c>
      <c r="J416" s="1">
        <v>15141914.18</v>
      </c>
      <c r="K416" s="1">
        <v>856960.63399999996</v>
      </c>
    </row>
    <row r="417" spans="1:11">
      <c r="A417" t="s">
        <v>1</v>
      </c>
      <c r="B417" s="3">
        <v>41639</v>
      </c>
      <c r="C417" s="3">
        <v>41639</v>
      </c>
      <c r="D417" t="s">
        <v>6</v>
      </c>
      <c r="E417" s="1">
        <v>18.3492</v>
      </c>
      <c r="F417" s="1">
        <v>29324.120999999999</v>
      </c>
      <c r="G417" s="1">
        <v>32873.012000000002</v>
      </c>
      <c r="H417" s="2">
        <v>538663.56999999995</v>
      </c>
      <c r="I417" s="2">
        <v>-603854.05000000005</v>
      </c>
      <c r="J417" s="1">
        <v>35774498.640000001</v>
      </c>
      <c r="K417" s="1">
        <v>1949645.912</v>
      </c>
    </row>
    <row r="418" spans="1:11">
      <c r="A418" t="s">
        <v>1</v>
      </c>
      <c r="B418" s="3">
        <v>41639</v>
      </c>
      <c r="C418" s="3">
        <v>41639</v>
      </c>
      <c r="D418" t="s">
        <v>10</v>
      </c>
      <c r="E418" s="1">
        <v>18.082100000000001</v>
      </c>
      <c r="F418" s="1">
        <v>21113</v>
      </c>
      <c r="G418" s="1">
        <v>1135.04</v>
      </c>
      <c r="H418" s="2">
        <v>382069.67</v>
      </c>
      <c r="I418" s="2">
        <v>-20540.150000000001</v>
      </c>
      <c r="J418" s="1">
        <v>79088210.709999993</v>
      </c>
      <c r="K418" s="1">
        <v>4373848.4560000002</v>
      </c>
    </row>
    <row r="419" spans="1:11">
      <c r="A419" t="s">
        <v>1</v>
      </c>
      <c r="B419" s="3">
        <v>41639</v>
      </c>
      <c r="C419" s="3">
        <v>41639</v>
      </c>
      <c r="D419" t="s">
        <v>5</v>
      </c>
      <c r="E419" s="1">
        <v>16.9436</v>
      </c>
      <c r="F419" s="1">
        <v>0</v>
      </c>
      <c r="G419" s="1">
        <v>31468</v>
      </c>
      <c r="H419" s="2">
        <v>0</v>
      </c>
      <c r="I419" s="2">
        <v>-533728.75</v>
      </c>
      <c r="J419" s="1">
        <v>21780995.420000002</v>
      </c>
      <c r="K419" s="1">
        <v>1285500.2720000001</v>
      </c>
    </row>
    <row r="420" spans="1:11">
      <c r="A420" t="s">
        <v>1</v>
      </c>
      <c r="B420" s="3">
        <v>41639</v>
      </c>
      <c r="C420" s="3">
        <v>41639</v>
      </c>
      <c r="D420" t="s">
        <v>4</v>
      </c>
      <c r="E420" s="1">
        <v>11.061400000000001</v>
      </c>
      <c r="F420" s="1">
        <v>441.048</v>
      </c>
      <c r="G420" s="1">
        <v>94.397999999999996</v>
      </c>
      <c r="H420" s="2">
        <v>4883.72</v>
      </c>
      <c r="I420" s="2">
        <v>-1045.27</v>
      </c>
      <c r="J420" s="1">
        <v>243111.15</v>
      </c>
      <c r="K420" s="1">
        <v>21978.371999999999</v>
      </c>
    </row>
    <row r="421" spans="1:11">
      <c r="A421" t="s">
        <v>1</v>
      </c>
      <c r="B421" s="3">
        <v>41639</v>
      </c>
      <c r="C421" s="3">
        <v>41639</v>
      </c>
      <c r="D421" t="s">
        <v>3</v>
      </c>
      <c r="E421" s="1">
        <v>10.7911</v>
      </c>
      <c r="F421" s="1">
        <v>10238.878000000001</v>
      </c>
      <c r="G421" s="1">
        <v>693.23599999999999</v>
      </c>
      <c r="H421" s="2">
        <v>110609.58</v>
      </c>
      <c r="I421" s="2">
        <v>-7488.96</v>
      </c>
      <c r="J421" s="1">
        <v>1405745.69</v>
      </c>
      <c r="K421" s="1">
        <v>130268.537</v>
      </c>
    </row>
    <row r="422" spans="1:11">
      <c r="A422" t="s">
        <v>1</v>
      </c>
      <c r="B422" s="3">
        <v>41639</v>
      </c>
      <c r="C422" s="3">
        <v>41639</v>
      </c>
      <c r="D422" t="s">
        <v>2</v>
      </c>
      <c r="E422" s="1">
        <v>16.9468</v>
      </c>
      <c r="F422" s="1">
        <v>14541.616</v>
      </c>
      <c r="G422" s="1">
        <v>0</v>
      </c>
      <c r="H422" s="2">
        <v>246687.21</v>
      </c>
      <c r="I422" s="2">
        <v>0</v>
      </c>
      <c r="J422" s="1">
        <v>33902692.960000001</v>
      </c>
      <c r="K422" s="1">
        <v>2000532.469</v>
      </c>
    </row>
    <row r="423" spans="1:11">
      <c r="A423" t="s">
        <v>1</v>
      </c>
      <c r="B423" s="3">
        <v>41641</v>
      </c>
      <c r="C423" s="3">
        <v>41641</v>
      </c>
      <c r="D423" t="s">
        <v>7</v>
      </c>
      <c r="E423" s="1">
        <v>22.150600000000001</v>
      </c>
      <c r="F423" s="1">
        <v>512.95899999999995</v>
      </c>
      <c r="G423" s="1">
        <v>5609.6850000000004</v>
      </c>
      <c r="H423" s="2">
        <v>11310.43</v>
      </c>
      <c r="I423" s="2">
        <v>-123690.19</v>
      </c>
      <c r="J423" s="1">
        <v>218628098.43000001</v>
      </c>
      <c r="K423" s="1">
        <v>9870091.7609999999</v>
      </c>
    </row>
    <row r="424" spans="1:11">
      <c r="A424" t="s">
        <v>1</v>
      </c>
      <c r="B424" s="3">
        <v>41641</v>
      </c>
      <c r="C424" s="3">
        <v>41641</v>
      </c>
      <c r="D424" t="s">
        <v>12</v>
      </c>
      <c r="E424" s="1">
        <v>17.748899999999999</v>
      </c>
      <c r="F424" s="1">
        <v>829.04</v>
      </c>
      <c r="G424" s="1">
        <v>1454.393</v>
      </c>
      <c r="H424" s="2">
        <v>14648.55</v>
      </c>
      <c r="I424" s="2">
        <v>-25698.11</v>
      </c>
      <c r="J424" s="1">
        <v>15199036.380000001</v>
      </c>
      <c r="K424" s="1">
        <v>856335.28099999996</v>
      </c>
    </row>
    <row r="425" spans="1:11">
      <c r="A425" t="s">
        <v>1</v>
      </c>
      <c r="B425" s="3">
        <v>41641</v>
      </c>
      <c r="C425" s="3">
        <v>41641</v>
      </c>
      <c r="D425" t="s">
        <v>3</v>
      </c>
      <c r="E425" s="1">
        <v>10.7464</v>
      </c>
      <c r="F425" s="1">
        <v>12983.511</v>
      </c>
      <c r="G425" s="1">
        <v>0</v>
      </c>
      <c r="H425" s="2">
        <v>140106.37</v>
      </c>
      <c r="I425" s="2">
        <v>0</v>
      </c>
      <c r="J425" s="1">
        <v>1539449.8</v>
      </c>
      <c r="K425" s="1">
        <v>143252.04800000001</v>
      </c>
    </row>
    <row r="426" spans="1:11">
      <c r="A426" t="s">
        <v>1</v>
      </c>
      <c r="B426" s="3">
        <v>41641</v>
      </c>
      <c r="C426" s="3">
        <v>41641</v>
      </c>
      <c r="D426" t="s">
        <v>2</v>
      </c>
      <c r="E426" s="1">
        <v>16.899000000000001</v>
      </c>
      <c r="F426" s="1">
        <v>4111.6440000000002</v>
      </c>
      <c r="G426" s="1">
        <v>0</v>
      </c>
      <c r="H426" s="2">
        <v>69678.960000000006</v>
      </c>
      <c r="I426" s="2">
        <v>0</v>
      </c>
      <c r="J426" s="1">
        <v>33876384.299999997</v>
      </c>
      <c r="K426" s="1">
        <v>2004644.1129999999</v>
      </c>
    </row>
    <row r="427" spans="1:11">
      <c r="A427" t="s">
        <v>1</v>
      </c>
      <c r="B427" s="3">
        <v>41642</v>
      </c>
      <c r="C427" s="3">
        <v>41642</v>
      </c>
      <c r="D427" t="s">
        <v>7</v>
      </c>
      <c r="E427" s="1">
        <v>21.996400000000001</v>
      </c>
      <c r="F427" s="1">
        <v>15214.907999999999</v>
      </c>
      <c r="G427" s="1">
        <v>5612.134</v>
      </c>
      <c r="H427" s="2">
        <v>337019.34</v>
      </c>
      <c r="I427" s="2">
        <v>-124312.15</v>
      </c>
      <c r="J427" s="1">
        <v>217317470.84</v>
      </c>
      <c r="K427" s="1">
        <v>9879694.5350000001</v>
      </c>
    </row>
    <row r="428" spans="1:11">
      <c r="A428" t="s">
        <v>1</v>
      </c>
      <c r="B428" s="3">
        <v>41642</v>
      </c>
      <c r="C428" s="3">
        <v>41642</v>
      </c>
      <c r="D428" t="s">
        <v>12</v>
      </c>
      <c r="E428" s="1">
        <v>17.624700000000001</v>
      </c>
      <c r="F428" s="1">
        <v>11888.451999999999</v>
      </c>
      <c r="G428" s="1">
        <v>4692.2740000000003</v>
      </c>
      <c r="H428" s="2">
        <v>211006.96</v>
      </c>
      <c r="I428" s="2">
        <v>-83282.7</v>
      </c>
      <c r="J428" s="1">
        <v>15219442.300000001</v>
      </c>
      <c r="K428" s="1">
        <v>863531.45900000003</v>
      </c>
    </row>
    <row r="429" spans="1:11">
      <c r="A429" t="s">
        <v>1</v>
      </c>
      <c r="B429" s="3">
        <v>41642</v>
      </c>
      <c r="C429" s="3">
        <v>41642</v>
      </c>
      <c r="D429" t="s">
        <v>6</v>
      </c>
      <c r="E429" s="1">
        <v>18.302800000000001</v>
      </c>
      <c r="F429" s="1">
        <v>914.86500000000001</v>
      </c>
      <c r="G429" s="1">
        <v>16905.304</v>
      </c>
      <c r="H429" s="2">
        <v>16862.7</v>
      </c>
      <c r="I429" s="2">
        <v>-311596.87</v>
      </c>
      <c r="J429" s="1">
        <v>35391386.990000002</v>
      </c>
      <c r="K429" s="1">
        <v>1933655.473</v>
      </c>
    </row>
    <row r="430" spans="1:11">
      <c r="A430" t="s">
        <v>1</v>
      </c>
      <c r="B430" s="3">
        <v>41642</v>
      </c>
      <c r="C430" s="3">
        <v>41642</v>
      </c>
      <c r="D430" t="s">
        <v>10</v>
      </c>
      <c r="E430" s="1">
        <v>17.872299999999999</v>
      </c>
      <c r="F430" s="1">
        <v>0</v>
      </c>
      <c r="G430" s="1">
        <v>11422.225</v>
      </c>
      <c r="H430" s="2">
        <v>0</v>
      </c>
      <c r="I430" s="2">
        <v>-206306.39</v>
      </c>
      <c r="J430" s="1">
        <v>77966496.379999995</v>
      </c>
      <c r="K430" s="1">
        <v>4362426.2309999997</v>
      </c>
    </row>
    <row r="431" spans="1:11">
      <c r="A431" t="s">
        <v>1</v>
      </c>
      <c r="B431" s="3">
        <v>41642</v>
      </c>
      <c r="C431" s="3">
        <v>41642</v>
      </c>
      <c r="D431" t="s">
        <v>4</v>
      </c>
      <c r="E431" s="1">
        <v>10.941599999999999</v>
      </c>
      <c r="F431" s="1">
        <v>190.02199999999999</v>
      </c>
      <c r="G431" s="1">
        <v>0</v>
      </c>
      <c r="H431" s="2">
        <v>2093.7199999999998</v>
      </c>
      <c r="I431" s="2">
        <v>0</v>
      </c>
      <c r="J431" s="1">
        <v>242557.52</v>
      </c>
      <c r="K431" s="1">
        <v>22168.394</v>
      </c>
    </row>
    <row r="432" spans="1:11">
      <c r="A432" t="s">
        <v>1</v>
      </c>
      <c r="B432" s="3">
        <v>41642</v>
      </c>
      <c r="C432" s="3">
        <v>41642</v>
      </c>
      <c r="D432" t="s">
        <v>3</v>
      </c>
      <c r="E432" s="1">
        <v>10.671200000000001</v>
      </c>
      <c r="F432" s="1">
        <v>782.351</v>
      </c>
      <c r="G432" s="1">
        <v>0</v>
      </c>
      <c r="H432" s="2">
        <v>8407.4599999999991</v>
      </c>
      <c r="I432" s="2">
        <v>0</v>
      </c>
      <c r="J432" s="1">
        <v>1537019.14</v>
      </c>
      <c r="K432" s="1">
        <v>144034.399</v>
      </c>
    </row>
    <row r="433" spans="1:11">
      <c r="A433" t="s">
        <v>1</v>
      </c>
      <c r="B433" s="3">
        <v>41642</v>
      </c>
      <c r="C433" s="3">
        <v>41642</v>
      </c>
      <c r="D433" t="s">
        <v>2</v>
      </c>
      <c r="E433" s="1">
        <v>16.781700000000001</v>
      </c>
      <c r="F433" s="1">
        <v>1400</v>
      </c>
      <c r="G433" s="1">
        <v>0</v>
      </c>
      <c r="H433" s="2">
        <v>23658.63</v>
      </c>
      <c r="I433" s="2">
        <v>0</v>
      </c>
      <c r="J433" s="1">
        <v>33664763.799999997</v>
      </c>
      <c r="K433" s="1">
        <v>2006044.1129999999</v>
      </c>
    </row>
    <row r="434" spans="1:11">
      <c r="A434" t="s">
        <v>1</v>
      </c>
      <c r="B434" s="3">
        <v>41645</v>
      </c>
      <c r="C434" s="3">
        <v>41645</v>
      </c>
      <c r="D434" t="s">
        <v>7</v>
      </c>
      <c r="E434" s="1">
        <v>22.0762</v>
      </c>
      <c r="F434" s="1">
        <v>1518.376</v>
      </c>
      <c r="G434" s="1">
        <v>28160.186000000002</v>
      </c>
      <c r="H434" s="2">
        <v>33398.81</v>
      </c>
      <c r="I434" s="2">
        <v>-619422.71</v>
      </c>
      <c r="J434" s="1">
        <v>217517503.88</v>
      </c>
      <c r="K434" s="1">
        <v>9853052.7249999996</v>
      </c>
    </row>
    <row r="435" spans="1:11">
      <c r="A435" t="s">
        <v>1</v>
      </c>
      <c r="B435" s="3">
        <v>41645</v>
      </c>
      <c r="C435" s="3">
        <v>41645</v>
      </c>
      <c r="D435" t="s">
        <v>12</v>
      </c>
      <c r="E435" s="1">
        <v>17.686399999999999</v>
      </c>
      <c r="F435" s="1">
        <v>1024.0899999999999</v>
      </c>
      <c r="G435" s="1">
        <v>45380.588000000003</v>
      </c>
      <c r="H435" s="2">
        <v>18049.27</v>
      </c>
      <c r="I435" s="2">
        <v>-799819.24</v>
      </c>
      <c r="J435" s="1">
        <v>14488255.91</v>
      </c>
      <c r="K435" s="1">
        <v>819174.96100000001</v>
      </c>
    </row>
    <row r="436" spans="1:11">
      <c r="A436" t="s">
        <v>1</v>
      </c>
      <c r="B436" s="3">
        <v>41645</v>
      </c>
      <c r="C436" s="3">
        <v>41645</v>
      </c>
      <c r="D436" t="s">
        <v>6</v>
      </c>
      <c r="E436" s="1">
        <v>18.367000000000001</v>
      </c>
      <c r="F436" s="1">
        <v>2399.84</v>
      </c>
      <c r="G436" s="1">
        <v>7603.0050000000001</v>
      </c>
      <c r="H436" s="2">
        <v>43923.81</v>
      </c>
      <c r="I436" s="2">
        <v>-139156.29</v>
      </c>
      <c r="J436" s="1">
        <v>35419817.490000002</v>
      </c>
      <c r="K436" s="1">
        <v>1928452.308</v>
      </c>
    </row>
    <row r="437" spans="1:11">
      <c r="A437" t="s">
        <v>1</v>
      </c>
      <c r="B437" s="3">
        <v>41645</v>
      </c>
      <c r="C437" s="3">
        <v>41645</v>
      </c>
      <c r="D437" t="s">
        <v>10</v>
      </c>
      <c r="E437" s="1">
        <v>17.8918</v>
      </c>
      <c r="F437" s="1">
        <v>7630</v>
      </c>
      <c r="G437" s="1">
        <v>11724.588</v>
      </c>
      <c r="H437" s="2">
        <v>136366.07999999999</v>
      </c>
      <c r="I437" s="2">
        <v>-209546</v>
      </c>
      <c r="J437" s="1">
        <v>77978217.299999997</v>
      </c>
      <c r="K437" s="1">
        <v>4358331.6430000002</v>
      </c>
    </row>
    <row r="438" spans="1:11">
      <c r="A438" t="s">
        <v>1</v>
      </c>
      <c r="B438" s="3">
        <v>41645</v>
      </c>
      <c r="C438" s="3">
        <v>41645</v>
      </c>
      <c r="D438" t="s">
        <v>5</v>
      </c>
      <c r="E438" s="1">
        <v>16.966200000000001</v>
      </c>
      <c r="F438" s="1">
        <v>0</v>
      </c>
      <c r="G438" s="1">
        <v>43460</v>
      </c>
      <c r="H438" s="2">
        <v>0</v>
      </c>
      <c r="I438" s="2">
        <v>-734643.49</v>
      </c>
      <c r="J438" s="1">
        <v>21072744.449999999</v>
      </c>
      <c r="K438" s="1">
        <v>1242040.2720000001</v>
      </c>
    </row>
    <row r="439" spans="1:11">
      <c r="A439" t="s">
        <v>1</v>
      </c>
      <c r="B439" s="3">
        <v>41645</v>
      </c>
      <c r="C439" s="3">
        <v>41645</v>
      </c>
      <c r="D439" t="s">
        <v>4</v>
      </c>
      <c r="E439" s="1">
        <v>10.981299999999999</v>
      </c>
      <c r="F439" s="1">
        <v>195.459</v>
      </c>
      <c r="G439" s="1">
        <v>0</v>
      </c>
      <c r="H439" s="2">
        <v>2138.63</v>
      </c>
      <c r="I439" s="2">
        <v>0</v>
      </c>
      <c r="J439" s="1">
        <v>245583.61</v>
      </c>
      <c r="K439" s="1">
        <v>22363.852999999999</v>
      </c>
    </row>
    <row r="440" spans="1:11">
      <c r="A440" t="s">
        <v>1</v>
      </c>
      <c r="B440" s="3">
        <v>41645</v>
      </c>
      <c r="C440" s="3">
        <v>41645</v>
      </c>
      <c r="D440" t="s">
        <v>2</v>
      </c>
      <c r="E440" s="1">
        <v>16.843599999999999</v>
      </c>
      <c r="F440" s="1">
        <v>14117.093999999999</v>
      </c>
      <c r="G440" s="1">
        <v>0</v>
      </c>
      <c r="H440" s="2">
        <v>236909.63</v>
      </c>
      <c r="I440" s="2">
        <v>0</v>
      </c>
      <c r="J440" s="1">
        <v>34026720.25</v>
      </c>
      <c r="K440" s="1">
        <v>2020161.2069999999</v>
      </c>
    </row>
    <row r="441" spans="1:11">
      <c r="A441" t="s">
        <v>1</v>
      </c>
      <c r="B441" s="3">
        <v>41646</v>
      </c>
      <c r="C441" s="3">
        <v>41646</v>
      </c>
      <c r="D441" t="s">
        <v>8</v>
      </c>
      <c r="E441" s="1">
        <v>17.882400000000001</v>
      </c>
      <c r="F441" s="1">
        <v>22.853999999999999</v>
      </c>
      <c r="G441" s="1">
        <v>0</v>
      </c>
      <c r="H441" s="2">
        <v>408.17</v>
      </c>
      <c r="I441" s="2">
        <v>0</v>
      </c>
      <c r="J441" s="1">
        <v>6976356.04</v>
      </c>
      <c r="K441" s="1">
        <v>390124.68400000001</v>
      </c>
    </row>
    <row r="442" spans="1:11">
      <c r="A442" t="s">
        <v>1</v>
      </c>
      <c r="B442" s="3">
        <v>41646</v>
      </c>
      <c r="C442" s="3">
        <v>41646</v>
      </c>
      <c r="D442" t="s">
        <v>7</v>
      </c>
      <c r="E442" s="1">
        <v>22.104299999999999</v>
      </c>
      <c r="F442" s="1">
        <v>1025.0889999999999</v>
      </c>
      <c r="G442" s="1">
        <v>3972.68</v>
      </c>
      <c r="H442" s="2">
        <v>22630.06</v>
      </c>
      <c r="I442" s="2">
        <v>-87701.68</v>
      </c>
      <c r="J442" s="1">
        <v>217729447.31</v>
      </c>
      <c r="K442" s="1">
        <v>9850105.1339999996</v>
      </c>
    </row>
    <row r="443" spans="1:11">
      <c r="A443" t="s">
        <v>1</v>
      </c>
      <c r="B443" s="3">
        <v>41646</v>
      </c>
      <c r="C443" s="3">
        <v>41646</v>
      </c>
      <c r="D443" t="s">
        <v>12</v>
      </c>
      <c r="E443" s="1">
        <v>17.708200000000001</v>
      </c>
      <c r="F443" s="1">
        <v>0</v>
      </c>
      <c r="G443" s="1">
        <v>53940.091</v>
      </c>
      <c r="H443" s="2">
        <v>0</v>
      </c>
      <c r="I443" s="2">
        <v>-954006.01</v>
      </c>
      <c r="J443" s="1">
        <v>13550935.15</v>
      </c>
      <c r="K443" s="1">
        <v>765234.87</v>
      </c>
    </row>
    <row r="444" spans="1:11">
      <c r="A444" t="s">
        <v>1</v>
      </c>
      <c r="B444" s="3">
        <v>41646</v>
      </c>
      <c r="C444" s="3">
        <v>41646</v>
      </c>
      <c r="D444" t="s">
        <v>6</v>
      </c>
      <c r="E444" s="1">
        <v>18.389600000000002</v>
      </c>
      <c r="F444" s="1">
        <v>5593.4250000000002</v>
      </c>
      <c r="G444" s="1">
        <v>9305.3179999999993</v>
      </c>
      <c r="H444" s="2">
        <v>102734.42</v>
      </c>
      <c r="I444" s="2">
        <v>-170910.76</v>
      </c>
      <c r="J444" s="1">
        <v>35395223.18</v>
      </c>
      <c r="K444" s="1">
        <v>1924740.415</v>
      </c>
    </row>
    <row r="445" spans="1:11">
      <c r="A445" t="s">
        <v>1</v>
      </c>
      <c r="B445" s="3">
        <v>41646</v>
      </c>
      <c r="C445" s="3">
        <v>41646</v>
      </c>
      <c r="D445" t="s">
        <v>10</v>
      </c>
      <c r="E445" s="1">
        <v>17.954699999999999</v>
      </c>
      <c r="F445" s="1">
        <v>0</v>
      </c>
      <c r="G445" s="1">
        <v>1</v>
      </c>
      <c r="H445" s="2">
        <v>0</v>
      </c>
      <c r="I445" s="2">
        <v>-17.89</v>
      </c>
      <c r="J445" s="1">
        <v>78252434.040000007</v>
      </c>
      <c r="K445" s="1">
        <v>4358330.6430000002</v>
      </c>
    </row>
    <row r="446" spans="1:11">
      <c r="A446" t="s">
        <v>1</v>
      </c>
      <c r="B446" s="3">
        <v>41646</v>
      </c>
      <c r="C446" s="3">
        <v>41646</v>
      </c>
      <c r="D446" t="s">
        <v>5</v>
      </c>
      <c r="E446" s="1">
        <v>16.988199999999999</v>
      </c>
      <c r="F446" s="1">
        <v>0</v>
      </c>
      <c r="G446" s="1">
        <v>22716</v>
      </c>
      <c r="H446" s="2">
        <v>0</v>
      </c>
      <c r="I446" s="2">
        <v>-385404.2</v>
      </c>
      <c r="J446" s="1">
        <v>20714119.140000001</v>
      </c>
      <c r="K446" s="1">
        <v>1219324.2720000001</v>
      </c>
    </row>
    <row r="447" spans="1:11">
      <c r="A447" t="s">
        <v>1</v>
      </c>
      <c r="B447" s="3">
        <v>41646</v>
      </c>
      <c r="C447" s="3">
        <v>41646</v>
      </c>
      <c r="D447" t="s">
        <v>4</v>
      </c>
      <c r="E447" s="1">
        <v>10.9953</v>
      </c>
      <c r="F447" s="1">
        <v>27.169</v>
      </c>
      <c r="G447" s="1">
        <v>0</v>
      </c>
      <c r="H447" s="2">
        <v>298.35000000000002</v>
      </c>
      <c r="I447" s="2">
        <v>0</v>
      </c>
      <c r="J447" s="1">
        <v>246195.19</v>
      </c>
      <c r="K447" s="1">
        <v>22391.022000000001</v>
      </c>
    </row>
    <row r="448" spans="1:11">
      <c r="A448" t="s">
        <v>1</v>
      </c>
      <c r="B448" s="3">
        <v>41646</v>
      </c>
      <c r="C448" s="3">
        <v>41646</v>
      </c>
      <c r="D448" t="s">
        <v>3</v>
      </c>
      <c r="E448" s="1">
        <v>10.7218</v>
      </c>
      <c r="F448" s="1">
        <v>1984.6559999999999</v>
      </c>
      <c r="G448" s="1">
        <v>0</v>
      </c>
      <c r="H448" s="2">
        <v>21252.89</v>
      </c>
      <c r="I448" s="2">
        <v>0</v>
      </c>
      <c r="J448" s="1">
        <v>1565584.79</v>
      </c>
      <c r="K448" s="1">
        <v>146019.05499999999</v>
      </c>
    </row>
    <row r="449" spans="1:11">
      <c r="A449" t="s">
        <v>1</v>
      </c>
      <c r="B449" s="3">
        <v>41646</v>
      </c>
      <c r="C449" s="3">
        <v>41646</v>
      </c>
      <c r="D449" t="s">
        <v>2</v>
      </c>
      <c r="E449" s="1">
        <v>16.865400000000001</v>
      </c>
      <c r="F449" s="1">
        <v>3916.8980000000001</v>
      </c>
      <c r="G449" s="1">
        <v>0</v>
      </c>
      <c r="H449" s="2">
        <v>65974.58</v>
      </c>
      <c r="I449" s="2">
        <v>0</v>
      </c>
      <c r="J449" s="1">
        <v>34136826.420000002</v>
      </c>
      <c r="K449" s="1">
        <v>2024078.105</v>
      </c>
    </row>
    <row r="450" spans="1:11">
      <c r="A450" t="s">
        <v>1</v>
      </c>
      <c r="B450" s="3">
        <v>41647</v>
      </c>
      <c r="C450" s="3">
        <v>41647</v>
      </c>
      <c r="D450" t="s">
        <v>7</v>
      </c>
      <c r="E450" s="1">
        <v>22.197399999999998</v>
      </c>
      <c r="F450" s="1">
        <v>51856.017</v>
      </c>
      <c r="G450" s="1">
        <v>5979.5919999999996</v>
      </c>
      <c r="H450" s="2">
        <v>1146240.96</v>
      </c>
      <c r="I450" s="2">
        <v>-132174.71</v>
      </c>
      <c r="J450" s="1">
        <v>219665278.13</v>
      </c>
      <c r="K450" s="1">
        <v>9895981.5590000004</v>
      </c>
    </row>
    <row r="451" spans="1:11">
      <c r="A451" t="s">
        <v>1</v>
      </c>
      <c r="B451" s="3">
        <v>41647</v>
      </c>
      <c r="C451" s="3">
        <v>41647</v>
      </c>
      <c r="D451" t="s">
        <v>12</v>
      </c>
      <c r="E451" s="1">
        <v>17.7821</v>
      </c>
      <c r="F451" s="1">
        <v>2597.6280000000002</v>
      </c>
      <c r="G451" s="1">
        <v>429.27</v>
      </c>
      <c r="H451" s="2">
        <v>45999.32</v>
      </c>
      <c r="I451" s="2">
        <v>-7601.6</v>
      </c>
      <c r="J451" s="1">
        <v>13646038.550000001</v>
      </c>
      <c r="K451" s="1">
        <v>767403.228</v>
      </c>
    </row>
    <row r="452" spans="1:11">
      <c r="A452" t="s">
        <v>1</v>
      </c>
      <c r="B452" s="3">
        <v>41647</v>
      </c>
      <c r="C452" s="3">
        <v>41647</v>
      </c>
      <c r="D452" t="s">
        <v>6</v>
      </c>
      <c r="E452" s="1">
        <v>18.4663</v>
      </c>
      <c r="F452" s="1">
        <v>39436.928</v>
      </c>
      <c r="G452" s="1">
        <v>1200.385</v>
      </c>
      <c r="H452" s="2">
        <v>725229.29</v>
      </c>
      <c r="I452" s="2">
        <v>-22074.6</v>
      </c>
      <c r="J452" s="1">
        <v>36249009.549999997</v>
      </c>
      <c r="K452" s="1">
        <v>1962976.9580000001</v>
      </c>
    </row>
    <row r="453" spans="1:11">
      <c r="A453" t="s">
        <v>1</v>
      </c>
      <c r="B453" s="3">
        <v>41647</v>
      </c>
      <c r="C453" s="3">
        <v>41647</v>
      </c>
      <c r="D453" t="s">
        <v>10</v>
      </c>
      <c r="E453" s="1">
        <v>17.959900000000001</v>
      </c>
      <c r="F453" s="1">
        <v>2</v>
      </c>
      <c r="G453" s="1">
        <v>675.95299999999997</v>
      </c>
      <c r="H453" s="2">
        <v>35.9</v>
      </c>
      <c r="I453" s="2">
        <v>-12136.49</v>
      </c>
      <c r="J453" s="1">
        <v>78263102.209999993</v>
      </c>
      <c r="K453" s="1">
        <v>4357656.6900000004</v>
      </c>
    </row>
    <row r="454" spans="1:11">
      <c r="A454" t="s">
        <v>1</v>
      </c>
      <c r="B454" s="3">
        <v>41647</v>
      </c>
      <c r="C454" s="3">
        <v>41647</v>
      </c>
      <c r="D454" t="s">
        <v>5</v>
      </c>
      <c r="E454" s="1">
        <v>17.060099999999998</v>
      </c>
      <c r="F454" s="1">
        <v>0</v>
      </c>
      <c r="G454" s="1">
        <v>13315</v>
      </c>
      <c r="H454" s="2">
        <v>0</v>
      </c>
      <c r="I454" s="2">
        <v>-226197.88</v>
      </c>
      <c r="J454" s="1">
        <v>20574676.420000002</v>
      </c>
      <c r="K454" s="1">
        <v>1206009.2720000001</v>
      </c>
    </row>
    <row r="455" spans="1:11">
      <c r="A455" t="s">
        <v>1</v>
      </c>
      <c r="B455" s="3">
        <v>41647</v>
      </c>
      <c r="C455" s="3">
        <v>41647</v>
      </c>
      <c r="D455" t="s">
        <v>4</v>
      </c>
      <c r="E455" s="1">
        <v>11.041600000000001</v>
      </c>
      <c r="F455" s="1">
        <v>114.711</v>
      </c>
      <c r="G455" s="1">
        <v>0</v>
      </c>
      <c r="H455" s="2">
        <v>1261.28</v>
      </c>
      <c r="I455" s="2">
        <v>0</v>
      </c>
      <c r="J455" s="1">
        <v>248499.21</v>
      </c>
      <c r="K455" s="1">
        <v>22505.733</v>
      </c>
    </row>
    <row r="456" spans="1:11">
      <c r="A456" t="s">
        <v>1</v>
      </c>
      <c r="B456" s="3">
        <v>41647</v>
      </c>
      <c r="C456" s="3">
        <v>41647</v>
      </c>
      <c r="D456" t="s">
        <v>3</v>
      </c>
      <c r="E456" s="1">
        <v>10.766500000000001</v>
      </c>
      <c r="F456" s="1">
        <v>6005.125</v>
      </c>
      <c r="G456" s="1">
        <v>0</v>
      </c>
      <c r="H456" s="2">
        <v>64385.75</v>
      </c>
      <c r="I456" s="2">
        <v>0</v>
      </c>
      <c r="J456" s="1">
        <v>1636772.09</v>
      </c>
      <c r="K456" s="1">
        <v>152024.18</v>
      </c>
    </row>
    <row r="457" spans="1:11">
      <c r="A457" t="s">
        <v>1</v>
      </c>
      <c r="B457" s="3">
        <v>41647</v>
      </c>
      <c r="C457" s="3">
        <v>41647</v>
      </c>
      <c r="D457" t="s">
        <v>14</v>
      </c>
      <c r="E457" s="1">
        <v>10.9549</v>
      </c>
      <c r="F457" s="1">
        <v>0</v>
      </c>
      <c r="G457" s="1">
        <v>2214.239</v>
      </c>
      <c r="H457" s="2">
        <v>0</v>
      </c>
      <c r="I457" s="2">
        <v>-24156.02</v>
      </c>
      <c r="J457" s="1">
        <v>374473.61</v>
      </c>
      <c r="K457" s="1">
        <v>34183.089</v>
      </c>
    </row>
    <row r="458" spans="1:11">
      <c r="A458" t="s">
        <v>1</v>
      </c>
      <c r="B458" s="3">
        <v>41647</v>
      </c>
      <c r="C458" s="3">
        <v>41647</v>
      </c>
      <c r="D458" t="s">
        <v>2</v>
      </c>
      <c r="E458" s="1">
        <v>16.936800000000002</v>
      </c>
      <c r="F458" s="1">
        <v>5920.7969999999996</v>
      </c>
      <c r="G458" s="1">
        <v>0</v>
      </c>
      <c r="H458" s="2">
        <v>99856.47</v>
      </c>
      <c r="I458" s="2">
        <v>0</v>
      </c>
      <c r="J458" s="1">
        <v>34381656.539999999</v>
      </c>
      <c r="K458" s="1">
        <v>2029998.902</v>
      </c>
    </row>
    <row r="459" spans="1:11">
      <c r="A459" t="s">
        <v>1</v>
      </c>
      <c r="B459" s="3">
        <v>41647</v>
      </c>
      <c r="C459" s="3">
        <v>41647</v>
      </c>
      <c r="D459" t="s">
        <v>9</v>
      </c>
      <c r="E459" s="1">
        <v>17.9941</v>
      </c>
      <c r="F459" s="1">
        <v>0</v>
      </c>
      <c r="G459" s="1">
        <v>0.92400000000000004</v>
      </c>
      <c r="H459" s="2">
        <v>0</v>
      </c>
      <c r="I459" s="2">
        <v>-16.559999999999999</v>
      </c>
      <c r="J459" s="1">
        <v>1008546.21</v>
      </c>
      <c r="K459" s="1">
        <v>56048.798999999999</v>
      </c>
    </row>
    <row r="460" spans="1:11">
      <c r="A460" t="s">
        <v>1</v>
      </c>
      <c r="B460" s="3">
        <v>41648</v>
      </c>
      <c r="C460" s="3">
        <v>41648</v>
      </c>
      <c r="D460" t="s">
        <v>7</v>
      </c>
      <c r="E460" s="1">
        <v>22.213699999999999</v>
      </c>
      <c r="F460" s="1">
        <v>66766.163</v>
      </c>
      <c r="G460" s="1">
        <v>22498.256000000001</v>
      </c>
      <c r="H460" s="2">
        <v>1482035.24</v>
      </c>
      <c r="I460" s="2">
        <v>-499402.79</v>
      </c>
      <c r="J460" s="1">
        <v>220810070.78999999</v>
      </c>
      <c r="K460" s="1">
        <v>9940249.466</v>
      </c>
    </row>
    <row r="461" spans="1:11">
      <c r="A461" t="s">
        <v>1</v>
      </c>
      <c r="B461" s="3">
        <v>41648</v>
      </c>
      <c r="C461" s="3">
        <v>41648</v>
      </c>
      <c r="D461" t="s">
        <v>12</v>
      </c>
      <c r="E461" s="1">
        <v>17.7944</v>
      </c>
      <c r="F461" s="1">
        <v>28909.69</v>
      </c>
      <c r="G461" s="1">
        <v>0</v>
      </c>
      <c r="H461" s="2">
        <v>514075.03</v>
      </c>
      <c r="I461" s="2">
        <v>0</v>
      </c>
      <c r="J461" s="1">
        <v>14169938.310000001</v>
      </c>
      <c r="K461" s="1">
        <v>796312.91799999995</v>
      </c>
    </row>
    <row r="462" spans="1:11">
      <c r="A462" t="s">
        <v>1</v>
      </c>
      <c r="B462" s="3">
        <v>41648</v>
      </c>
      <c r="C462" s="3">
        <v>41648</v>
      </c>
      <c r="D462" t="s">
        <v>6</v>
      </c>
      <c r="E462" s="1">
        <v>18.479199999999999</v>
      </c>
      <c r="F462" s="1">
        <v>27683.759999999998</v>
      </c>
      <c r="G462" s="1">
        <v>52.79</v>
      </c>
      <c r="H462" s="2">
        <v>511216.71</v>
      </c>
      <c r="I462" s="2">
        <v>-974.84</v>
      </c>
      <c r="J462" s="1">
        <v>36784756.130000003</v>
      </c>
      <c r="K462" s="1">
        <v>1990607.9280000001</v>
      </c>
    </row>
    <row r="463" spans="1:11">
      <c r="A463" t="s">
        <v>1</v>
      </c>
      <c r="B463" s="3">
        <v>41648</v>
      </c>
      <c r="C463" s="3">
        <v>41648</v>
      </c>
      <c r="D463" t="s">
        <v>10</v>
      </c>
      <c r="E463" s="1">
        <v>17.997599999999998</v>
      </c>
      <c r="F463" s="1">
        <v>3123.511</v>
      </c>
      <c r="G463" s="1">
        <v>2798</v>
      </c>
      <c r="H463" s="2">
        <v>56097.79</v>
      </c>
      <c r="I463" s="2">
        <v>-50251.67</v>
      </c>
      <c r="J463" s="1">
        <v>78433257.180000007</v>
      </c>
      <c r="K463" s="1">
        <v>4357982.2010000004</v>
      </c>
    </row>
    <row r="464" spans="1:11">
      <c r="A464" t="s">
        <v>1</v>
      </c>
      <c r="B464" s="3">
        <v>41648</v>
      </c>
      <c r="C464" s="3">
        <v>41648</v>
      </c>
      <c r="D464" t="s">
        <v>5</v>
      </c>
      <c r="E464" s="1">
        <v>17.073</v>
      </c>
      <c r="F464" s="1">
        <v>0</v>
      </c>
      <c r="G464" s="1">
        <v>632</v>
      </c>
      <c r="H464" s="2">
        <v>0</v>
      </c>
      <c r="I464" s="2">
        <v>-10781.98</v>
      </c>
      <c r="J464" s="1">
        <v>20579429.949999999</v>
      </c>
      <c r="K464" s="1">
        <v>1205377.2720000001</v>
      </c>
    </row>
    <row r="465" spans="1:11">
      <c r="A465" t="s">
        <v>1</v>
      </c>
      <c r="B465" s="3">
        <v>41648</v>
      </c>
      <c r="C465" s="3">
        <v>41648</v>
      </c>
      <c r="D465" t="s">
        <v>3</v>
      </c>
      <c r="E465" s="1">
        <v>10.773999999999999</v>
      </c>
      <c r="F465" s="1">
        <v>5781.1049999999996</v>
      </c>
      <c r="G465" s="1">
        <v>0</v>
      </c>
      <c r="H465" s="2">
        <v>62242.27</v>
      </c>
      <c r="I465" s="2">
        <v>0</v>
      </c>
      <c r="J465" s="1">
        <v>1700193.2</v>
      </c>
      <c r="K465" s="1">
        <v>157805.285</v>
      </c>
    </row>
    <row r="466" spans="1:11">
      <c r="A466" t="s">
        <v>1</v>
      </c>
      <c r="B466" s="3">
        <v>41648</v>
      </c>
      <c r="C466" s="3">
        <v>41648</v>
      </c>
      <c r="D466" t="s">
        <v>2</v>
      </c>
      <c r="E466" s="1">
        <v>16.9496</v>
      </c>
      <c r="F466" s="1">
        <v>10524.199000000001</v>
      </c>
      <c r="G466" s="1">
        <v>475</v>
      </c>
      <c r="H466" s="2">
        <v>178246.05</v>
      </c>
      <c r="I466" s="2">
        <v>-8044.97</v>
      </c>
      <c r="J466" s="1">
        <v>34577960.68</v>
      </c>
      <c r="K466" s="1">
        <v>2040048.101</v>
      </c>
    </row>
    <row r="467" spans="1:11">
      <c r="A467" t="s">
        <v>1</v>
      </c>
      <c r="B467" s="3">
        <v>41648</v>
      </c>
      <c r="C467" s="3">
        <v>41648</v>
      </c>
      <c r="D467" t="s">
        <v>9</v>
      </c>
      <c r="E467" s="1">
        <v>18.0075</v>
      </c>
      <c r="F467" s="1">
        <v>2806.3649999999998</v>
      </c>
      <c r="G467" s="1">
        <v>134.989</v>
      </c>
      <c r="H467" s="2">
        <v>50497.82</v>
      </c>
      <c r="I467" s="2">
        <v>-2428.9899999999998</v>
      </c>
      <c r="J467" s="1">
        <v>1057406.02</v>
      </c>
      <c r="K467" s="1">
        <v>58720.175000000003</v>
      </c>
    </row>
    <row r="468" spans="1:11">
      <c r="A468" t="s">
        <v>1</v>
      </c>
      <c r="B468" s="3">
        <v>41649</v>
      </c>
      <c r="C468" s="3">
        <v>41649</v>
      </c>
      <c r="D468" t="s">
        <v>7</v>
      </c>
      <c r="E468" s="1">
        <v>22.2759</v>
      </c>
      <c r="F468" s="1">
        <v>52799.987999999998</v>
      </c>
      <c r="G468" s="1">
        <v>13960.134</v>
      </c>
      <c r="H468" s="2">
        <v>1172883.1100000001</v>
      </c>
      <c r="I468" s="2">
        <v>-310106.23999999999</v>
      </c>
      <c r="J468" s="1">
        <v>222293647.81999999</v>
      </c>
      <c r="K468" s="1">
        <v>9979089.3200000003</v>
      </c>
    </row>
    <row r="469" spans="1:11">
      <c r="A469" t="s">
        <v>1</v>
      </c>
      <c r="B469" s="3">
        <v>41649</v>
      </c>
      <c r="C469" s="3">
        <v>41649</v>
      </c>
      <c r="D469" t="s">
        <v>12</v>
      </c>
      <c r="E469" s="1">
        <v>17.843499999999999</v>
      </c>
      <c r="F469" s="1">
        <v>3243.4960000000001</v>
      </c>
      <c r="G469" s="1">
        <v>8588.6470000000008</v>
      </c>
      <c r="H469" s="2">
        <v>57716.07</v>
      </c>
      <c r="I469" s="2">
        <v>-152829.81</v>
      </c>
      <c r="J469" s="1">
        <v>14113663.029999999</v>
      </c>
      <c r="K469" s="1">
        <v>790967.76699999999</v>
      </c>
    </row>
    <row r="470" spans="1:11">
      <c r="A470" t="s">
        <v>1</v>
      </c>
      <c r="B470" s="3">
        <v>41649</v>
      </c>
      <c r="C470" s="3">
        <v>41649</v>
      </c>
      <c r="D470" t="s">
        <v>6</v>
      </c>
      <c r="E470" s="1">
        <v>18.530100000000001</v>
      </c>
      <c r="F470" s="1">
        <v>6155.9179999999997</v>
      </c>
      <c r="G470" s="1">
        <v>1375.732</v>
      </c>
      <c r="H470" s="2">
        <v>113756.44</v>
      </c>
      <c r="I470" s="2">
        <v>-25422.44</v>
      </c>
      <c r="J470" s="1">
        <v>36974838.770000003</v>
      </c>
      <c r="K470" s="1">
        <v>1995388.1140000001</v>
      </c>
    </row>
    <row r="471" spans="1:11">
      <c r="A471" t="s">
        <v>1</v>
      </c>
      <c r="B471" s="3">
        <v>41649</v>
      </c>
      <c r="C471" s="3">
        <v>41649</v>
      </c>
      <c r="D471" t="s">
        <v>10</v>
      </c>
      <c r="E471" s="1">
        <v>18.040800000000001</v>
      </c>
      <c r="F471" s="1">
        <v>0</v>
      </c>
      <c r="G471" s="1">
        <v>816.197</v>
      </c>
      <c r="H471" s="2">
        <v>0</v>
      </c>
      <c r="I471" s="2">
        <v>-14689.62</v>
      </c>
      <c r="J471" s="1">
        <v>78606779.310000002</v>
      </c>
      <c r="K471" s="1">
        <v>4357166.0039999997</v>
      </c>
    </row>
    <row r="472" spans="1:11">
      <c r="A472" t="s">
        <v>1</v>
      </c>
      <c r="B472" s="3">
        <v>41649</v>
      </c>
      <c r="C472" s="3">
        <v>41649</v>
      </c>
      <c r="D472" t="s">
        <v>3</v>
      </c>
      <c r="E472" s="1">
        <v>10.803699999999999</v>
      </c>
      <c r="F472" s="1">
        <v>2369.9589999999998</v>
      </c>
      <c r="G472" s="1">
        <v>2924.8339999999998</v>
      </c>
      <c r="H472" s="2">
        <v>25533.94</v>
      </c>
      <c r="I472" s="2">
        <v>-31512.16</v>
      </c>
      <c r="J472" s="1">
        <v>1698890.02</v>
      </c>
      <c r="K472" s="1">
        <v>157250.41</v>
      </c>
    </row>
    <row r="473" spans="1:11">
      <c r="A473" t="s">
        <v>1</v>
      </c>
      <c r="B473" s="3">
        <v>41649</v>
      </c>
      <c r="C473" s="3">
        <v>41649</v>
      </c>
      <c r="D473" t="s">
        <v>14</v>
      </c>
      <c r="E473" s="1">
        <v>10.992800000000001</v>
      </c>
      <c r="F473" s="1">
        <v>137.273</v>
      </c>
      <c r="G473" s="1">
        <v>0</v>
      </c>
      <c r="H473" s="2">
        <v>1504.85</v>
      </c>
      <c r="I473" s="2">
        <v>0</v>
      </c>
      <c r="J473" s="1">
        <v>377276.51</v>
      </c>
      <c r="K473" s="1">
        <v>34320.362000000001</v>
      </c>
    </row>
    <row r="474" spans="1:11">
      <c r="A474" t="s">
        <v>1</v>
      </c>
      <c r="B474" s="3">
        <v>41649</v>
      </c>
      <c r="C474" s="3">
        <v>41649</v>
      </c>
      <c r="D474" t="s">
        <v>2</v>
      </c>
      <c r="E474" s="1">
        <v>16.997399999999999</v>
      </c>
      <c r="F474" s="1">
        <v>24801.989000000001</v>
      </c>
      <c r="G474" s="1">
        <v>15000</v>
      </c>
      <c r="H474" s="2">
        <v>420384.96</v>
      </c>
      <c r="I474" s="2">
        <v>-254244.69</v>
      </c>
      <c r="J474" s="1">
        <v>34842116.57</v>
      </c>
      <c r="K474" s="1">
        <v>2049850.09</v>
      </c>
    </row>
    <row r="475" spans="1:11">
      <c r="A475" t="s">
        <v>1</v>
      </c>
      <c r="B475" s="3">
        <v>41652</v>
      </c>
      <c r="C475" s="3">
        <v>41652</v>
      </c>
      <c r="D475" t="s">
        <v>8</v>
      </c>
      <c r="E475" s="1">
        <v>18.0078</v>
      </c>
      <c r="F475" s="1">
        <v>22.632999999999999</v>
      </c>
      <c r="G475" s="1">
        <v>75.444000000000003</v>
      </c>
      <c r="H475" s="2">
        <v>407.88</v>
      </c>
      <c r="I475" s="2">
        <v>-1359.6</v>
      </c>
      <c r="J475" s="1">
        <v>7024352.2300000004</v>
      </c>
      <c r="K475" s="1">
        <v>390071.87300000002</v>
      </c>
    </row>
    <row r="476" spans="1:11">
      <c r="A476" t="s">
        <v>1</v>
      </c>
      <c r="B476" s="3">
        <v>41652</v>
      </c>
      <c r="C476" s="3">
        <v>41652</v>
      </c>
      <c r="D476" t="s">
        <v>7</v>
      </c>
      <c r="E476" s="1">
        <v>22.259399999999999</v>
      </c>
      <c r="F476" s="1">
        <v>22698.673999999999</v>
      </c>
      <c r="G476" s="1">
        <v>12171.993</v>
      </c>
      <c r="H476" s="2">
        <v>505633.39</v>
      </c>
      <c r="I476" s="2">
        <v>-271142.09999999998</v>
      </c>
      <c r="J476" s="1">
        <v>222362493.47999999</v>
      </c>
      <c r="K476" s="1">
        <v>9989616.0010000002</v>
      </c>
    </row>
    <row r="477" spans="1:11">
      <c r="A477" t="s">
        <v>1</v>
      </c>
      <c r="B477" s="3">
        <v>41652</v>
      </c>
      <c r="C477" s="3">
        <v>41652</v>
      </c>
      <c r="D477" t="s">
        <v>12</v>
      </c>
      <c r="E477" s="1">
        <v>17.828099999999999</v>
      </c>
      <c r="F477" s="1">
        <v>12058.162</v>
      </c>
      <c r="G477" s="1">
        <v>14263.445</v>
      </c>
      <c r="H477" s="2">
        <v>215159.81</v>
      </c>
      <c r="I477" s="2">
        <v>-254509.79</v>
      </c>
      <c r="J477" s="1">
        <v>14062101.23</v>
      </c>
      <c r="K477" s="1">
        <v>788762.48400000005</v>
      </c>
    </row>
    <row r="478" spans="1:11">
      <c r="A478" t="s">
        <v>1</v>
      </c>
      <c r="B478" s="3">
        <v>41652</v>
      </c>
      <c r="C478" s="3">
        <v>41652</v>
      </c>
      <c r="D478" t="s">
        <v>6</v>
      </c>
      <c r="E478" s="1">
        <v>18.514099999999999</v>
      </c>
      <c r="F478" s="1">
        <v>7670.3450000000003</v>
      </c>
      <c r="G478" s="1">
        <v>1956.2449999999999</v>
      </c>
      <c r="H478" s="2">
        <v>142132.23000000001</v>
      </c>
      <c r="I478" s="2">
        <v>-36249.42</v>
      </c>
      <c r="J478" s="1">
        <v>37048547.82</v>
      </c>
      <c r="K478" s="1">
        <v>2001102.2139999999</v>
      </c>
    </row>
    <row r="479" spans="1:11">
      <c r="A479" t="s">
        <v>1</v>
      </c>
      <c r="B479" s="3">
        <v>41652</v>
      </c>
      <c r="C479" s="3">
        <v>41652</v>
      </c>
      <c r="D479" t="s">
        <v>10</v>
      </c>
      <c r="E479" s="1">
        <v>18.120799999999999</v>
      </c>
      <c r="F479" s="1">
        <v>8909</v>
      </c>
      <c r="G479" s="1">
        <v>271.30500000000001</v>
      </c>
      <c r="H479" s="2">
        <v>160725.51999999999</v>
      </c>
      <c r="I479" s="2">
        <v>-4894.5600000000004</v>
      </c>
      <c r="J479" s="1">
        <v>79111697.760000005</v>
      </c>
      <c r="K479" s="1">
        <v>4365803.699</v>
      </c>
    </row>
    <row r="480" spans="1:11">
      <c r="A480" t="s">
        <v>1</v>
      </c>
      <c r="B480" s="3">
        <v>41652</v>
      </c>
      <c r="C480" s="3">
        <v>41652</v>
      </c>
      <c r="D480" t="s">
        <v>3</v>
      </c>
      <c r="E480" s="1">
        <v>10.7943</v>
      </c>
      <c r="F480" s="1">
        <v>3779.02</v>
      </c>
      <c r="G480" s="1">
        <v>0</v>
      </c>
      <c r="H480" s="2">
        <v>40827.4</v>
      </c>
      <c r="I480" s="2">
        <v>0</v>
      </c>
      <c r="J480" s="1">
        <v>1738207.95</v>
      </c>
      <c r="K480" s="1">
        <v>161029.43</v>
      </c>
    </row>
    <row r="481" spans="1:11">
      <c r="A481" t="s">
        <v>1</v>
      </c>
      <c r="B481" s="3">
        <v>41652</v>
      </c>
      <c r="C481" s="3">
        <v>41652</v>
      </c>
      <c r="D481" t="s">
        <v>2</v>
      </c>
      <c r="E481" s="1">
        <v>16.985800000000001</v>
      </c>
      <c r="F481" s="1">
        <v>26996.535</v>
      </c>
      <c r="G481" s="1">
        <v>3410</v>
      </c>
      <c r="H481" s="2">
        <v>458872.32000000001</v>
      </c>
      <c r="I481" s="2">
        <v>-57961.31</v>
      </c>
      <c r="J481" s="1">
        <v>35218965.880000003</v>
      </c>
      <c r="K481" s="1">
        <v>2073436.625</v>
      </c>
    </row>
    <row r="482" spans="1:11">
      <c r="A482" t="s">
        <v>1</v>
      </c>
      <c r="B482" s="3">
        <v>41652</v>
      </c>
      <c r="C482" s="3">
        <v>41652</v>
      </c>
      <c r="D482" t="s">
        <v>9</v>
      </c>
      <c r="E482" s="1">
        <v>18.045500000000001</v>
      </c>
      <c r="F482" s="1">
        <v>26.850999999999999</v>
      </c>
      <c r="G482" s="1">
        <v>103.863</v>
      </c>
      <c r="H482" s="2">
        <v>484.89</v>
      </c>
      <c r="I482" s="2">
        <v>-1875.58</v>
      </c>
      <c r="J482" s="1">
        <v>1058246.32</v>
      </c>
      <c r="K482" s="1">
        <v>58643.163</v>
      </c>
    </row>
    <row r="483" spans="1:11">
      <c r="A483" t="s">
        <v>1</v>
      </c>
      <c r="B483" s="3">
        <v>41653</v>
      </c>
      <c r="C483" s="3">
        <v>41653</v>
      </c>
      <c r="D483" t="s">
        <v>8</v>
      </c>
      <c r="E483" s="1">
        <v>17.813800000000001</v>
      </c>
      <c r="F483" s="1">
        <v>0</v>
      </c>
      <c r="G483" s="1">
        <v>7963.9620000000004</v>
      </c>
      <c r="H483" s="2">
        <v>0</v>
      </c>
      <c r="I483" s="2">
        <v>-143413.41</v>
      </c>
      <c r="J483" s="1">
        <v>6806780.9900000002</v>
      </c>
      <c r="K483" s="1">
        <v>382107.91100000002</v>
      </c>
    </row>
    <row r="484" spans="1:11">
      <c r="A484" t="s">
        <v>1</v>
      </c>
      <c r="B484" s="3">
        <v>41653</v>
      </c>
      <c r="C484" s="3">
        <v>41653</v>
      </c>
      <c r="D484" t="s">
        <v>7</v>
      </c>
      <c r="E484" s="1">
        <v>22.019500000000001</v>
      </c>
      <c r="F484" s="1">
        <v>615.35799999999995</v>
      </c>
      <c r="G484" s="1">
        <v>91911.192999999999</v>
      </c>
      <c r="H484" s="2">
        <v>13697.47</v>
      </c>
      <c r="I484" s="2">
        <v>-2045888</v>
      </c>
      <c r="J484" s="1">
        <v>217955740.59999999</v>
      </c>
      <c r="K484" s="1">
        <v>9898320.1659999993</v>
      </c>
    </row>
    <row r="485" spans="1:11">
      <c r="A485" t="s">
        <v>1</v>
      </c>
      <c r="B485" s="3">
        <v>41653</v>
      </c>
      <c r="C485" s="3">
        <v>41653</v>
      </c>
      <c r="D485" t="s">
        <v>12</v>
      </c>
      <c r="E485" s="1">
        <v>17.635200000000001</v>
      </c>
      <c r="F485" s="1">
        <v>510.44900000000001</v>
      </c>
      <c r="G485" s="1">
        <v>15328.451999999999</v>
      </c>
      <c r="H485" s="2">
        <v>9100.33</v>
      </c>
      <c r="I485" s="2">
        <v>-273277.17</v>
      </c>
      <c r="J485" s="1">
        <v>13648653.18</v>
      </c>
      <c r="K485" s="1">
        <v>773944.48100000003</v>
      </c>
    </row>
    <row r="486" spans="1:11">
      <c r="A486" t="s">
        <v>1</v>
      </c>
      <c r="B486" s="3">
        <v>41653</v>
      </c>
      <c r="C486" s="3">
        <v>41653</v>
      </c>
      <c r="D486" t="s">
        <v>6</v>
      </c>
      <c r="E486" s="1">
        <v>18.313800000000001</v>
      </c>
      <c r="F486" s="1">
        <v>1222.0319999999999</v>
      </c>
      <c r="G486" s="1">
        <v>10315.475</v>
      </c>
      <c r="H486" s="2">
        <v>22624.82</v>
      </c>
      <c r="I486" s="2">
        <v>-190981.75</v>
      </c>
      <c r="J486" s="1">
        <v>36481206.969999999</v>
      </c>
      <c r="K486" s="1">
        <v>1992008.7709999999</v>
      </c>
    </row>
    <row r="487" spans="1:11">
      <c r="A487" t="s">
        <v>1</v>
      </c>
      <c r="B487" s="3">
        <v>41653</v>
      </c>
      <c r="C487" s="3">
        <v>41653</v>
      </c>
      <c r="D487" t="s">
        <v>10</v>
      </c>
      <c r="E487" s="1">
        <v>17.938500000000001</v>
      </c>
      <c r="F487" s="1">
        <v>0</v>
      </c>
      <c r="G487" s="1">
        <v>221</v>
      </c>
      <c r="H487" s="2">
        <v>0</v>
      </c>
      <c r="I487" s="2">
        <v>-4004.71</v>
      </c>
      <c r="J487" s="1">
        <v>78311952.640000001</v>
      </c>
      <c r="K487" s="1">
        <v>4365582.699</v>
      </c>
    </row>
    <row r="488" spans="1:11">
      <c r="A488" t="s">
        <v>1</v>
      </c>
      <c r="B488" s="3">
        <v>41653</v>
      </c>
      <c r="C488" s="3">
        <v>41653</v>
      </c>
      <c r="D488" t="s">
        <v>5</v>
      </c>
      <c r="E488" s="1">
        <v>16.9255</v>
      </c>
      <c r="F488" s="1">
        <v>38732</v>
      </c>
      <c r="G488" s="1">
        <v>0</v>
      </c>
      <c r="H488" s="2">
        <v>662685.15</v>
      </c>
      <c r="I488" s="2">
        <v>0</v>
      </c>
      <c r="J488" s="1">
        <v>21057112.43</v>
      </c>
      <c r="K488" s="1">
        <v>1244109.2720000001</v>
      </c>
    </row>
    <row r="489" spans="1:11">
      <c r="A489" t="s">
        <v>1</v>
      </c>
      <c r="B489" s="3">
        <v>41653</v>
      </c>
      <c r="C489" s="3">
        <v>41653</v>
      </c>
      <c r="D489" t="s">
        <v>3</v>
      </c>
      <c r="E489" s="1">
        <v>10.6776</v>
      </c>
      <c r="F489" s="1">
        <v>5749.1840000000002</v>
      </c>
      <c r="G489" s="1">
        <v>3245.165</v>
      </c>
      <c r="H489" s="2">
        <v>62058.42</v>
      </c>
      <c r="I489" s="2">
        <v>-35029.279999999999</v>
      </c>
      <c r="J489" s="1">
        <v>1746140.08</v>
      </c>
      <c r="K489" s="1">
        <v>163533.44899999999</v>
      </c>
    </row>
    <row r="490" spans="1:11">
      <c r="A490" t="s">
        <v>1</v>
      </c>
      <c r="B490" s="3">
        <v>41653</v>
      </c>
      <c r="C490" s="3">
        <v>41653</v>
      </c>
      <c r="D490" t="s">
        <v>2</v>
      </c>
      <c r="E490" s="1">
        <v>16.803100000000001</v>
      </c>
      <c r="F490" s="1">
        <v>8247.7199999999993</v>
      </c>
      <c r="G490" s="1">
        <v>0</v>
      </c>
      <c r="H490" s="2">
        <v>140094.54</v>
      </c>
      <c r="I490" s="2">
        <v>0</v>
      </c>
      <c r="J490" s="1">
        <v>34978712.329999998</v>
      </c>
      <c r="K490" s="1">
        <v>2081684.345</v>
      </c>
    </row>
    <row r="491" spans="1:11">
      <c r="A491" t="s">
        <v>1</v>
      </c>
      <c r="B491" s="3">
        <v>41653</v>
      </c>
      <c r="C491" s="3">
        <v>41653</v>
      </c>
      <c r="D491" t="s">
        <v>9</v>
      </c>
      <c r="E491" s="1">
        <v>17.851299999999998</v>
      </c>
      <c r="F491" s="1">
        <v>0</v>
      </c>
      <c r="G491" s="1">
        <v>9.1999999999999993</v>
      </c>
      <c r="H491" s="2">
        <v>0</v>
      </c>
      <c r="I491" s="2">
        <v>-166.03</v>
      </c>
      <c r="J491" s="1">
        <v>1046691.54</v>
      </c>
      <c r="K491" s="1">
        <v>58633.963000000003</v>
      </c>
    </row>
    <row r="492" spans="1:11">
      <c r="A492" t="s">
        <v>1</v>
      </c>
      <c r="B492" s="3">
        <v>41654</v>
      </c>
      <c r="C492" s="3">
        <v>41654</v>
      </c>
      <c r="D492" t="s">
        <v>8</v>
      </c>
      <c r="E492" s="1">
        <v>17.972000000000001</v>
      </c>
      <c r="F492" s="1">
        <v>0</v>
      </c>
      <c r="G492" s="1">
        <v>3172.701</v>
      </c>
      <c r="H492" s="2">
        <v>0</v>
      </c>
      <c r="I492" s="2">
        <v>-56517.79</v>
      </c>
      <c r="J492" s="1">
        <v>6810230.21</v>
      </c>
      <c r="K492" s="1">
        <v>378935.21</v>
      </c>
    </row>
    <row r="493" spans="1:11">
      <c r="A493" t="s">
        <v>1</v>
      </c>
      <c r="B493" s="3">
        <v>41654</v>
      </c>
      <c r="C493" s="3">
        <v>41654</v>
      </c>
      <c r="D493" t="s">
        <v>7</v>
      </c>
      <c r="E493" s="1">
        <v>22.2151</v>
      </c>
      <c r="F493" s="1">
        <v>4367.1090000000004</v>
      </c>
      <c r="G493" s="1">
        <v>7432.8109999999997</v>
      </c>
      <c r="H493" s="2">
        <v>96161.56</v>
      </c>
      <c r="I493" s="2">
        <v>-163666.79</v>
      </c>
      <c r="J493" s="1">
        <v>219823879.34</v>
      </c>
      <c r="K493" s="1">
        <v>9895254.4639999997</v>
      </c>
    </row>
    <row r="494" spans="1:11">
      <c r="A494" t="s">
        <v>1</v>
      </c>
      <c r="B494" s="3">
        <v>41654</v>
      </c>
      <c r="C494" s="3">
        <v>41654</v>
      </c>
      <c r="D494" t="s">
        <v>12</v>
      </c>
      <c r="E494" s="1">
        <v>17.7911</v>
      </c>
      <c r="F494" s="1">
        <v>4350.4340000000002</v>
      </c>
      <c r="G494" s="1">
        <v>12399.313</v>
      </c>
      <c r="H494" s="2">
        <v>76720.77</v>
      </c>
      <c r="I494" s="2">
        <v>-218664.36</v>
      </c>
      <c r="J494" s="1">
        <v>13626143.460000001</v>
      </c>
      <c r="K494" s="1">
        <v>765895.60199999996</v>
      </c>
    </row>
    <row r="495" spans="1:11">
      <c r="A495" t="s">
        <v>1</v>
      </c>
      <c r="B495" s="3">
        <v>41654</v>
      </c>
      <c r="C495" s="3">
        <v>41654</v>
      </c>
      <c r="D495" t="s">
        <v>6</v>
      </c>
      <c r="E495" s="1">
        <v>18.4757</v>
      </c>
      <c r="F495" s="1">
        <v>2432.0010000000002</v>
      </c>
      <c r="G495" s="1">
        <v>17152.436000000002</v>
      </c>
      <c r="H495" s="2">
        <v>44539.16</v>
      </c>
      <c r="I495" s="2">
        <v>-314126.3</v>
      </c>
      <c r="J495" s="1">
        <v>36531823.219999999</v>
      </c>
      <c r="K495" s="1">
        <v>1977288.3359999999</v>
      </c>
    </row>
    <row r="496" spans="1:11">
      <c r="A496" t="s">
        <v>1</v>
      </c>
      <c r="B496" s="3">
        <v>41654</v>
      </c>
      <c r="C496" s="3">
        <v>41654</v>
      </c>
      <c r="D496" t="s">
        <v>5</v>
      </c>
      <c r="E496" s="1">
        <v>17.0762</v>
      </c>
      <c r="F496" s="1">
        <v>119044</v>
      </c>
      <c r="G496" s="1">
        <v>0</v>
      </c>
      <c r="H496" s="2">
        <v>2014879.22</v>
      </c>
      <c r="I496" s="2">
        <v>0</v>
      </c>
      <c r="J496" s="1">
        <v>23277429.350000001</v>
      </c>
      <c r="K496" s="1">
        <v>1363153.2720000001</v>
      </c>
    </row>
    <row r="497" spans="1:11">
      <c r="A497" t="s">
        <v>1</v>
      </c>
      <c r="B497" s="3">
        <v>41654</v>
      </c>
      <c r="C497" s="3">
        <v>41654</v>
      </c>
      <c r="D497" t="s">
        <v>4</v>
      </c>
      <c r="E497" s="1">
        <v>11.0504</v>
      </c>
      <c r="F497" s="1">
        <v>0</v>
      </c>
      <c r="G497" s="1">
        <v>91.088999999999999</v>
      </c>
      <c r="H497" s="2">
        <v>0</v>
      </c>
      <c r="I497" s="2">
        <v>-997.71</v>
      </c>
      <c r="J497" s="1">
        <v>247690.25</v>
      </c>
      <c r="K497" s="1">
        <v>22414.644</v>
      </c>
    </row>
    <row r="498" spans="1:11">
      <c r="A498" t="s">
        <v>1</v>
      </c>
      <c r="B498" s="3">
        <v>41654</v>
      </c>
      <c r="C498" s="3">
        <v>41654</v>
      </c>
      <c r="D498" t="s">
        <v>3</v>
      </c>
      <c r="E498" s="1">
        <v>10.772</v>
      </c>
      <c r="F498" s="1">
        <v>394.92899999999997</v>
      </c>
      <c r="G498" s="1">
        <v>0</v>
      </c>
      <c r="H498" s="2">
        <v>4216.8900000000003</v>
      </c>
      <c r="I498" s="2">
        <v>0</v>
      </c>
      <c r="J498" s="1">
        <v>1765834.62</v>
      </c>
      <c r="K498" s="1">
        <v>163928.378</v>
      </c>
    </row>
    <row r="499" spans="1:11">
      <c r="A499" t="s">
        <v>1</v>
      </c>
      <c r="B499" s="3">
        <v>41654</v>
      </c>
      <c r="C499" s="3">
        <v>41654</v>
      </c>
      <c r="D499" t="s">
        <v>2</v>
      </c>
      <c r="E499" s="1">
        <v>16.9527</v>
      </c>
      <c r="F499" s="1">
        <v>17372.975999999999</v>
      </c>
      <c r="G499" s="1">
        <v>0</v>
      </c>
      <c r="H499" s="2">
        <v>291920.57</v>
      </c>
      <c r="I499" s="2">
        <v>0</v>
      </c>
      <c r="J499" s="1">
        <v>35584689.780000001</v>
      </c>
      <c r="K499" s="1">
        <v>2099057.321</v>
      </c>
    </row>
    <row r="500" spans="1:11">
      <c r="A500" t="s">
        <v>1</v>
      </c>
      <c r="B500" s="3">
        <v>41654</v>
      </c>
      <c r="C500" s="3">
        <v>41654</v>
      </c>
      <c r="D500" t="s">
        <v>9</v>
      </c>
      <c r="E500" s="1">
        <v>18.010100000000001</v>
      </c>
      <c r="F500" s="1">
        <v>0</v>
      </c>
      <c r="G500" s="1">
        <v>3.9710000000000001</v>
      </c>
      <c r="H500" s="2">
        <v>0</v>
      </c>
      <c r="I500" s="2">
        <v>-70.89</v>
      </c>
      <c r="J500" s="1">
        <v>1055932.8</v>
      </c>
      <c r="K500" s="1">
        <v>58629.991999999998</v>
      </c>
    </row>
    <row r="501" spans="1:11">
      <c r="A501" t="s">
        <v>1</v>
      </c>
      <c r="B501" s="3">
        <v>41655</v>
      </c>
      <c r="C501" s="3">
        <v>41655</v>
      </c>
      <c r="D501" t="s">
        <v>7</v>
      </c>
      <c r="E501" s="1">
        <v>22.3048</v>
      </c>
      <c r="F501" s="1">
        <v>25778.006000000001</v>
      </c>
      <c r="G501" s="1">
        <v>1309.415</v>
      </c>
      <c r="H501" s="2">
        <v>572660.99</v>
      </c>
      <c r="I501" s="2">
        <v>-29088.79</v>
      </c>
      <c r="J501" s="1">
        <v>221257069.44999999</v>
      </c>
      <c r="K501" s="1">
        <v>9919723.0549999997</v>
      </c>
    </row>
    <row r="502" spans="1:11">
      <c r="A502" t="s">
        <v>1</v>
      </c>
      <c r="B502" s="3">
        <v>41655</v>
      </c>
      <c r="C502" s="3">
        <v>41655</v>
      </c>
      <c r="D502" t="s">
        <v>12</v>
      </c>
      <c r="E502" s="1">
        <v>17.862200000000001</v>
      </c>
      <c r="F502" s="1">
        <v>6742.683</v>
      </c>
      <c r="G502" s="1">
        <v>4184.6170000000002</v>
      </c>
      <c r="H502" s="2">
        <v>119959.72</v>
      </c>
      <c r="I502" s="2">
        <v>-74448.929999999993</v>
      </c>
      <c r="J502" s="1">
        <v>13726284.529999999</v>
      </c>
      <c r="K502" s="1">
        <v>768453.66799999995</v>
      </c>
    </row>
    <row r="503" spans="1:11">
      <c r="A503" t="s">
        <v>1</v>
      </c>
      <c r="B503" s="3">
        <v>41655</v>
      </c>
      <c r="C503" s="3">
        <v>41655</v>
      </c>
      <c r="D503" t="s">
        <v>6</v>
      </c>
      <c r="E503" s="1">
        <v>18.549499999999998</v>
      </c>
      <c r="F503" s="1">
        <v>1837.231</v>
      </c>
      <c r="G503" s="1">
        <v>593.28599999999994</v>
      </c>
      <c r="H503" s="2">
        <v>33944.120000000003</v>
      </c>
      <c r="I503" s="2">
        <v>-10961.37</v>
      </c>
      <c r="J503" s="1">
        <v>36700874.539999999</v>
      </c>
      <c r="K503" s="1">
        <v>1978532.281</v>
      </c>
    </row>
    <row r="504" spans="1:11">
      <c r="A504" t="s">
        <v>1</v>
      </c>
      <c r="B504" s="3">
        <v>41655</v>
      </c>
      <c r="C504" s="3">
        <v>41655</v>
      </c>
      <c r="D504" t="s">
        <v>10</v>
      </c>
      <c r="E504" s="1">
        <v>18.084800000000001</v>
      </c>
      <c r="F504" s="1">
        <v>0</v>
      </c>
      <c r="G504" s="1">
        <v>664.98900000000003</v>
      </c>
      <c r="H504" s="2">
        <v>0</v>
      </c>
      <c r="I504" s="2">
        <v>-11983.4</v>
      </c>
      <c r="J504" s="1">
        <v>78938603.549999997</v>
      </c>
      <c r="K504" s="1">
        <v>4364917.71</v>
      </c>
    </row>
    <row r="505" spans="1:11">
      <c r="A505" t="s">
        <v>1</v>
      </c>
      <c r="B505" s="3">
        <v>41655</v>
      </c>
      <c r="C505" s="3">
        <v>41655</v>
      </c>
      <c r="D505" t="s">
        <v>5</v>
      </c>
      <c r="E505" s="1">
        <v>17.145499999999998</v>
      </c>
      <c r="F505" s="1">
        <v>71998</v>
      </c>
      <c r="G505" s="1">
        <v>0</v>
      </c>
      <c r="H505" s="2">
        <v>1229452.25</v>
      </c>
      <c r="I505" s="2">
        <v>0</v>
      </c>
      <c r="J505" s="1">
        <v>24606318.850000001</v>
      </c>
      <c r="K505" s="1">
        <v>1435151.2720000001</v>
      </c>
    </row>
    <row r="506" spans="1:11">
      <c r="A506" t="s">
        <v>1</v>
      </c>
      <c r="B506" s="3">
        <v>41655</v>
      </c>
      <c r="C506" s="3">
        <v>41655</v>
      </c>
      <c r="D506" t="s">
        <v>3</v>
      </c>
      <c r="E506" s="1">
        <v>10.815</v>
      </c>
      <c r="F506" s="1">
        <v>3946.0320000000002</v>
      </c>
      <c r="G506" s="1">
        <v>0</v>
      </c>
      <c r="H506" s="2">
        <v>42506.65</v>
      </c>
      <c r="I506" s="2">
        <v>0</v>
      </c>
      <c r="J506" s="1">
        <v>1815567.16</v>
      </c>
      <c r="K506" s="1">
        <v>167874.41</v>
      </c>
    </row>
    <row r="507" spans="1:11">
      <c r="A507" t="s">
        <v>1</v>
      </c>
      <c r="B507" s="3">
        <v>41655</v>
      </c>
      <c r="C507" s="3">
        <v>41655</v>
      </c>
      <c r="D507" t="s">
        <v>2</v>
      </c>
      <c r="E507" s="1">
        <v>17.0215</v>
      </c>
      <c r="F507" s="1">
        <v>7290.0929999999998</v>
      </c>
      <c r="G507" s="1">
        <v>0</v>
      </c>
      <c r="H507" s="2">
        <v>123587.03</v>
      </c>
      <c r="I507" s="2">
        <v>0</v>
      </c>
      <c r="J507" s="1">
        <v>35853163.939999998</v>
      </c>
      <c r="K507" s="1">
        <v>2106347.4139999999</v>
      </c>
    </row>
    <row r="508" spans="1:11">
      <c r="A508" t="s">
        <v>1</v>
      </c>
      <c r="B508" s="3">
        <v>41656</v>
      </c>
      <c r="C508" s="3">
        <v>41656</v>
      </c>
      <c r="D508" t="s">
        <v>8</v>
      </c>
      <c r="E508" s="1">
        <v>18.038</v>
      </c>
      <c r="F508" s="1">
        <v>22.63</v>
      </c>
      <c r="G508" s="1">
        <v>107.21299999999999</v>
      </c>
      <c r="H508" s="2">
        <v>408.35</v>
      </c>
      <c r="I508" s="2">
        <v>-1934.62</v>
      </c>
      <c r="J508" s="1">
        <v>6833715.3399999999</v>
      </c>
      <c r="K508" s="1">
        <v>378850.62699999998</v>
      </c>
    </row>
    <row r="509" spans="1:11">
      <c r="A509" t="s">
        <v>1</v>
      </c>
      <c r="B509" s="3">
        <v>41656</v>
      </c>
      <c r="C509" s="3">
        <v>41656</v>
      </c>
      <c r="D509" t="s">
        <v>7</v>
      </c>
      <c r="E509" s="1">
        <v>22.296700000000001</v>
      </c>
      <c r="F509" s="1">
        <v>4989.1869999999999</v>
      </c>
      <c r="G509" s="1">
        <v>52639.106</v>
      </c>
      <c r="H509" s="2">
        <v>111282.8</v>
      </c>
      <c r="I509" s="2">
        <v>-1174104.74</v>
      </c>
      <c r="J509" s="1">
        <v>220114323.55000001</v>
      </c>
      <c r="K509" s="1">
        <v>9872073.1359999999</v>
      </c>
    </row>
    <row r="510" spans="1:11">
      <c r="A510" t="s">
        <v>1</v>
      </c>
      <c r="B510" s="3">
        <v>41656</v>
      </c>
      <c r="C510" s="3">
        <v>41656</v>
      </c>
      <c r="D510" t="s">
        <v>12</v>
      </c>
      <c r="E510" s="1">
        <v>17.855</v>
      </c>
      <c r="F510" s="1">
        <v>0</v>
      </c>
      <c r="G510" s="1">
        <v>998.48400000000004</v>
      </c>
      <c r="H510" s="2">
        <v>0</v>
      </c>
      <c r="I510" s="2">
        <v>-17835.12</v>
      </c>
      <c r="J510" s="1">
        <v>13702910.289999999</v>
      </c>
      <c r="K510" s="1">
        <v>767455.18400000001</v>
      </c>
    </row>
    <row r="511" spans="1:11">
      <c r="A511" t="s">
        <v>1</v>
      </c>
      <c r="B511" s="3">
        <v>41656</v>
      </c>
      <c r="C511" s="3">
        <v>41656</v>
      </c>
      <c r="D511" t="s">
        <v>6</v>
      </c>
      <c r="E511" s="1">
        <v>18.542100000000001</v>
      </c>
      <c r="F511" s="1">
        <v>1375.73</v>
      </c>
      <c r="G511" s="1">
        <v>40299.093000000001</v>
      </c>
      <c r="H511" s="2">
        <v>25519.119999999999</v>
      </c>
      <c r="I511" s="2">
        <v>-747528.07</v>
      </c>
      <c r="J511" s="1">
        <v>35964327.75</v>
      </c>
      <c r="K511" s="1">
        <v>1939608.9180000001</v>
      </c>
    </row>
    <row r="512" spans="1:11">
      <c r="A512" t="s">
        <v>1</v>
      </c>
      <c r="B512" s="3">
        <v>41656</v>
      </c>
      <c r="C512" s="3">
        <v>41656</v>
      </c>
      <c r="D512" t="s">
        <v>10</v>
      </c>
      <c r="E512" s="1">
        <v>18.058599999999998</v>
      </c>
      <c r="F512" s="1">
        <v>0</v>
      </c>
      <c r="G512" s="1">
        <v>5057.1719999999996</v>
      </c>
      <c r="H512" s="2">
        <v>0</v>
      </c>
      <c r="I512" s="2">
        <v>-91457.87</v>
      </c>
      <c r="J512" s="1">
        <v>78733077.719999999</v>
      </c>
      <c r="K512" s="1">
        <v>4359860.5379999997</v>
      </c>
    </row>
    <row r="513" spans="1:11">
      <c r="A513" t="s">
        <v>1</v>
      </c>
      <c r="B513" s="3">
        <v>41656</v>
      </c>
      <c r="C513" s="3">
        <v>41656</v>
      </c>
      <c r="D513" t="s">
        <v>4</v>
      </c>
      <c r="E513" s="1">
        <v>11.090999999999999</v>
      </c>
      <c r="F513" s="1">
        <v>11.958</v>
      </c>
      <c r="G513" s="1">
        <v>0</v>
      </c>
      <c r="H513" s="2">
        <v>132.66999999999999</v>
      </c>
      <c r="I513" s="2">
        <v>0</v>
      </c>
      <c r="J513" s="1">
        <v>248732.51</v>
      </c>
      <c r="K513" s="1">
        <v>22426.601999999999</v>
      </c>
    </row>
    <row r="514" spans="1:11">
      <c r="A514" t="s">
        <v>1</v>
      </c>
      <c r="B514" s="3">
        <v>41656</v>
      </c>
      <c r="C514" s="3">
        <v>41656</v>
      </c>
      <c r="D514" t="s">
        <v>2</v>
      </c>
      <c r="E514" s="1">
        <v>17.015699999999999</v>
      </c>
      <c r="F514" s="1">
        <v>9578.4940000000006</v>
      </c>
      <c r="G514" s="1">
        <v>0</v>
      </c>
      <c r="H514" s="2">
        <v>163040.93</v>
      </c>
      <c r="I514" s="2">
        <v>0</v>
      </c>
      <c r="J514" s="1">
        <v>36003872.140000001</v>
      </c>
      <c r="K514" s="1">
        <v>2115925.9079999998</v>
      </c>
    </row>
    <row r="515" spans="1:11">
      <c r="A515" t="s">
        <v>1</v>
      </c>
      <c r="B515" s="3">
        <v>41660</v>
      </c>
      <c r="C515" s="3">
        <v>41660</v>
      </c>
      <c r="D515" t="s">
        <v>7</v>
      </c>
      <c r="E515" s="1">
        <v>22.2712</v>
      </c>
      <c r="F515" s="1">
        <v>19544.424999999999</v>
      </c>
      <c r="G515" s="1">
        <v>1879.943</v>
      </c>
      <c r="H515" s="2">
        <v>435776.18</v>
      </c>
      <c r="I515" s="2">
        <v>-41916.53</v>
      </c>
      <c r="J515" s="1">
        <v>220255934.22999999</v>
      </c>
      <c r="K515" s="1">
        <v>9889737.6180000007</v>
      </c>
    </row>
    <row r="516" spans="1:11">
      <c r="A516" t="s">
        <v>1</v>
      </c>
      <c r="B516" s="3">
        <v>41660</v>
      </c>
      <c r="C516" s="3">
        <v>41660</v>
      </c>
      <c r="D516" t="s">
        <v>12</v>
      </c>
      <c r="E516" s="1">
        <v>17.831600000000002</v>
      </c>
      <c r="F516" s="1">
        <v>115347.655</v>
      </c>
      <c r="G516" s="1">
        <v>2984.886</v>
      </c>
      <c r="H516" s="2">
        <v>2059532.4</v>
      </c>
      <c r="I516" s="2">
        <v>-53295.14</v>
      </c>
      <c r="J516" s="1">
        <v>15688594.85</v>
      </c>
      <c r="K516" s="1">
        <v>879817.95299999998</v>
      </c>
    </row>
    <row r="517" spans="1:11">
      <c r="A517" t="s">
        <v>1</v>
      </c>
      <c r="B517" s="3">
        <v>41660</v>
      </c>
      <c r="C517" s="3">
        <v>41660</v>
      </c>
      <c r="D517" t="s">
        <v>6</v>
      </c>
      <c r="E517" s="1">
        <v>18.517800000000001</v>
      </c>
      <c r="F517" s="1">
        <v>19640.690999999999</v>
      </c>
      <c r="G517" s="1">
        <v>2579.0740000000001</v>
      </c>
      <c r="H517" s="2">
        <v>364179.63</v>
      </c>
      <c r="I517" s="2">
        <v>-47821.45</v>
      </c>
      <c r="J517" s="1">
        <v>36233218.909999996</v>
      </c>
      <c r="K517" s="1">
        <v>1956670.5349999999</v>
      </c>
    </row>
    <row r="518" spans="1:11">
      <c r="A518" t="s">
        <v>1</v>
      </c>
      <c r="B518" s="3">
        <v>41660</v>
      </c>
      <c r="C518" s="3">
        <v>41660</v>
      </c>
      <c r="D518" t="s">
        <v>10</v>
      </c>
      <c r="E518" s="1">
        <v>17.938600000000001</v>
      </c>
      <c r="F518" s="1">
        <v>0</v>
      </c>
      <c r="G518" s="1">
        <v>978.78300000000002</v>
      </c>
      <c r="H518" s="2">
        <v>0</v>
      </c>
      <c r="I518" s="2">
        <v>-17675.45</v>
      </c>
      <c r="J518" s="1">
        <v>78192213.640000001</v>
      </c>
      <c r="K518" s="1">
        <v>4358881.7549999999</v>
      </c>
    </row>
    <row r="519" spans="1:11">
      <c r="A519" t="s">
        <v>1</v>
      </c>
      <c r="B519" s="3">
        <v>41660</v>
      </c>
      <c r="C519" s="3">
        <v>41660</v>
      </c>
      <c r="D519" t="s">
        <v>5</v>
      </c>
      <c r="E519" s="1">
        <v>17.121400000000001</v>
      </c>
      <c r="F519" s="1">
        <v>28487</v>
      </c>
      <c r="G519" s="1">
        <v>0</v>
      </c>
      <c r="H519" s="2">
        <v>488255.79</v>
      </c>
      <c r="I519" s="2">
        <v>0</v>
      </c>
      <c r="J519" s="1">
        <v>25059513.640000001</v>
      </c>
      <c r="K519" s="1">
        <v>1463638.2720000001</v>
      </c>
    </row>
    <row r="520" spans="1:11">
      <c r="A520" t="s">
        <v>1</v>
      </c>
      <c r="B520" s="3">
        <v>41660</v>
      </c>
      <c r="C520" s="3">
        <v>41660</v>
      </c>
      <c r="D520" t="s">
        <v>2</v>
      </c>
      <c r="E520" s="1">
        <v>16.997599999999998</v>
      </c>
      <c r="F520" s="1">
        <v>9020.6029999999992</v>
      </c>
      <c r="G520" s="1">
        <v>750</v>
      </c>
      <c r="H520" s="2">
        <v>153491.29999999999</v>
      </c>
      <c r="I520" s="2">
        <v>-12761.73</v>
      </c>
      <c r="J520" s="1">
        <v>36106225.130000003</v>
      </c>
      <c r="K520" s="1">
        <v>2124196.5109999999</v>
      </c>
    </row>
    <row r="521" spans="1:11">
      <c r="A521" t="s">
        <v>1</v>
      </c>
      <c r="B521" s="3">
        <v>41660</v>
      </c>
      <c r="C521" s="3">
        <v>41660</v>
      </c>
      <c r="D521" t="s">
        <v>9</v>
      </c>
      <c r="E521" s="1">
        <v>18.057099999999998</v>
      </c>
      <c r="F521" s="1">
        <v>0</v>
      </c>
      <c r="G521" s="1">
        <v>52.195</v>
      </c>
      <c r="H521" s="2">
        <v>0</v>
      </c>
      <c r="I521" s="2">
        <v>-943.51</v>
      </c>
      <c r="J521" s="1">
        <v>1057742.8899999999</v>
      </c>
      <c r="K521" s="1">
        <v>58577.796999999999</v>
      </c>
    </row>
    <row r="522" spans="1:11">
      <c r="A522" t="s">
        <v>1</v>
      </c>
      <c r="B522" s="3">
        <v>41661</v>
      </c>
      <c r="C522" s="3">
        <v>41661</v>
      </c>
      <c r="D522" t="s">
        <v>8</v>
      </c>
      <c r="E522" s="1">
        <v>18.061900000000001</v>
      </c>
      <c r="F522" s="1">
        <v>22.513999999999999</v>
      </c>
      <c r="G522" s="1">
        <v>0</v>
      </c>
      <c r="H522" s="2">
        <v>405.65</v>
      </c>
      <c r="I522" s="2">
        <v>0</v>
      </c>
      <c r="J522" s="1">
        <v>6843177.7300000004</v>
      </c>
      <c r="K522" s="1">
        <v>378873.141</v>
      </c>
    </row>
    <row r="523" spans="1:11">
      <c r="A523" t="s">
        <v>1</v>
      </c>
      <c r="B523" s="3">
        <v>41661</v>
      </c>
      <c r="C523" s="3">
        <v>41661</v>
      </c>
      <c r="D523" t="s">
        <v>7</v>
      </c>
      <c r="E523" s="1">
        <v>22.3262</v>
      </c>
      <c r="F523" s="1">
        <v>180905.21299999999</v>
      </c>
      <c r="G523" s="1">
        <v>15863.548000000001</v>
      </c>
      <c r="H523" s="2">
        <v>4028976.17</v>
      </c>
      <c r="I523" s="2">
        <v>-353300.27</v>
      </c>
      <c r="J523" s="1">
        <v>224485152.94999999</v>
      </c>
      <c r="K523" s="1">
        <v>10054779.283</v>
      </c>
    </row>
    <row r="524" spans="1:11">
      <c r="A524" t="s">
        <v>1</v>
      </c>
      <c r="B524" s="3">
        <v>41661</v>
      </c>
      <c r="C524" s="3">
        <v>41661</v>
      </c>
      <c r="D524" t="s">
        <v>12</v>
      </c>
      <c r="E524" s="1">
        <v>17.875</v>
      </c>
      <c r="F524" s="1">
        <v>52737.938000000002</v>
      </c>
      <c r="G524" s="1">
        <v>6759.9210000000003</v>
      </c>
      <c r="H524" s="2">
        <v>940401.82</v>
      </c>
      <c r="I524" s="2">
        <v>-120540.21</v>
      </c>
      <c r="J524" s="1">
        <v>16548585.75</v>
      </c>
      <c r="K524" s="1">
        <v>925795.97</v>
      </c>
    </row>
    <row r="525" spans="1:11">
      <c r="A525" t="s">
        <v>1</v>
      </c>
      <c r="B525" s="3">
        <v>41661</v>
      </c>
      <c r="C525" s="3">
        <v>41661</v>
      </c>
      <c r="D525" t="s">
        <v>6</v>
      </c>
      <c r="E525" s="1">
        <v>18.562799999999999</v>
      </c>
      <c r="F525" s="1">
        <v>18573.089</v>
      </c>
      <c r="G525" s="1">
        <v>607.06600000000003</v>
      </c>
      <c r="H525" s="2">
        <v>343932.74</v>
      </c>
      <c r="I525" s="2">
        <v>-11241.52</v>
      </c>
      <c r="J525" s="1">
        <v>36654795.689999998</v>
      </c>
      <c r="K525" s="1">
        <v>1974636.558</v>
      </c>
    </row>
    <row r="526" spans="1:11">
      <c r="A526" t="s">
        <v>1</v>
      </c>
      <c r="B526" s="3">
        <v>41661</v>
      </c>
      <c r="C526" s="3">
        <v>41661</v>
      </c>
      <c r="D526" t="s">
        <v>10</v>
      </c>
      <c r="E526" s="1">
        <v>18.0243</v>
      </c>
      <c r="F526" s="1">
        <v>8987</v>
      </c>
      <c r="G526" s="1">
        <v>610.55100000000004</v>
      </c>
      <c r="H526" s="2">
        <v>161213.91</v>
      </c>
      <c r="I526" s="2">
        <v>-10952.42</v>
      </c>
      <c r="J526" s="1">
        <v>78716780.25</v>
      </c>
      <c r="K526" s="1">
        <v>4367258.2039999999</v>
      </c>
    </row>
    <row r="527" spans="1:11">
      <c r="A527" t="s">
        <v>1</v>
      </c>
      <c r="B527" s="3">
        <v>41661</v>
      </c>
      <c r="C527" s="3">
        <v>41661</v>
      </c>
      <c r="D527" t="s">
        <v>5</v>
      </c>
      <c r="E527" s="1">
        <v>17.164100000000001</v>
      </c>
      <c r="F527" s="1">
        <v>44549</v>
      </c>
      <c r="G527" s="1">
        <v>0</v>
      </c>
      <c r="H527" s="2">
        <v>762741.25</v>
      </c>
      <c r="I527" s="2">
        <v>0</v>
      </c>
      <c r="J527" s="1">
        <v>25886616.239999998</v>
      </c>
      <c r="K527" s="1">
        <v>1508187.2720000001</v>
      </c>
    </row>
    <row r="528" spans="1:11">
      <c r="A528" t="s">
        <v>1</v>
      </c>
      <c r="B528" s="3">
        <v>41661</v>
      </c>
      <c r="C528" s="3">
        <v>41661</v>
      </c>
      <c r="D528" t="s">
        <v>3</v>
      </c>
      <c r="E528" s="1">
        <v>10.822800000000001</v>
      </c>
      <c r="F528" s="1">
        <v>5489.6589999999997</v>
      </c>
      <c r="G528" s="1">
        <v>0</v>
      </c>
      <c r="H528" s="2">
        <v>59269.1</v>
      </c>
      <c r="I528" s="2">
        <v>0</v>
      </c>
      <c r="J528" s="1">
        <v>1876278.13</v>
      </c>
      <c r="K528" s="1">
        <v>173364.06899999999</v>
      </c>
    </row>
    <row r="529" spans="1:11">
      <c r="A529" t="s">
        <v>1</v>
      </c>
      <c r="B529" s="3">
        <v>41661</v>
      </c>
      <c r="C529" s="3">
        <v>41661</v>
      </c>
      <c r="D529" t="s">
        <v>2</v>
      </c>
      <c r="E529" s="1">
        <v>17.04</v>
      </c>
      <c r="F529" s="1">
        <v>25151.437999999998</v>
      </c>
      <c r="G529" s="1">
        <v>1125</v>
      </c>
      <c r="H529" s="2">
        <v>427512.37</v>
      </c>
      <c r="I529" s="2">
        <v>-19122.22</v>
      </c>
      <c r="J529" s="1">
        <v>36605627.079999998</v>
      </c>
      <c r="K529" s="1">
        <v>2148222.949</v>
      </c>
    </row>
    <row r="530" spans="1:11">
      <c r="A530" t="s">
        <v>1</v>
      </c>
      <c r="B530" s="3">
        <v>41661</v>
      </c>
      <c r="C530" s="3">
        <v>41661</v>
      </c>
      <c r="D530" t="s">
        <v>9</v>
      </c>
      <c r="E530" s="1">
        <v>18.101900000000001</v>
      </c>
      <c r="F530" s="1">
        <v>927.41</v>
      </c>
      <c r="G530" s="1">
        <v>19.843</v>
      </c>
      <c r="H530" s="2">
        <v>16746.34</v>
      </c>
      <c r="I530" s="2">
        <v>-358.31</v>
      </c>
      <c r="J530" s="1">
        <v>1076800.82</v>
      </c>
      <c r="K530" s="1">
        <v>59485.364000000001</v>
      </c>
    </row>
    <row r="531" spans="1:11">
      <c r="A531" t="s">
        <v>1</v>
      </c>
      <c r="B531" s="3">
        <v>41662</v>
      </c>
      <c r="C531" s="3">
        <v>41662</v>
      </c>
      <c r="D531" t="s">
        <v>8</v>
      </c>
      <c r="E531" s="1">
        <v>18.111699999999999</v>
      </c>
      <c r="F531" s="1">
        <v>0</v>
      </c>
      <c r="G531" s="1">
        <v>1200.5340000000001</v>
      </c>
      <c r="H531" s="2">
        <v>0</v>
      </c>
      <c r="I531" s="2">
        <v>-21684</v>
      </c>
      <c r="J531" s="1">
        <v>6840298.6500000004</v>
      </c>
      <c r="K531" s="1">
        <v>377672.60700000002</v>
      </c>
    </row>
    <row r="532" spans="1:11">
      <c r="A532" t="s">
        <v>1</v>
      </c>
      <c r="B532" s="3">
        <v>41662</v>
      </c>
      <c r="C532" s="3">
        <v>41662</v>
      </c>
      <c r="D532" t="s">
        <v>7</v>
      </c>
      <c r="E532" s="1">
        <v>22.387799999999999</v>
      </c>
      <c r="F532" s="1">
        <v>10842.106</v>
      </c>
      <c r="G532" s="1">
        <v>16232.844999999999</v>
      </c>
      <c r="H532" s="2">
        <v>242063.07</v>
      </c>
      <c r="I532" s="2">
        <v>-362417.75</v>
      </c>
      <c r="J532" s="1">
        <v>224983308.37</v>
      </c>
      <c r="K532" s="1">
        <v>10049388.544</v>
      </c>
    </row>
    <row r="533" spans="1:11">
      <c r="A533" t="s">
        <v>1</v>
      </c>
      <c r="B533" s="3">
        <v>41662</v>
      </c>
      <c r="C533" s="3">
        <v>41662</v>
      </c>
      <c r="D533" t="s">
        <v>12</v>
      </c>
      <c r="E533" s="1">
        <v>17.923500000000001</v>
      </c>
      <c r="F533" s="1">
        <v>3151.4450000000002</v>
      </c>
      <c r="G533" s="1">
        <v>2853.2220000000002</v>
      </c>
      <c r="H533" s="2">
        <v>56332.06</v>
      </c>
      <c r="I533" s="2">
        <v>-51001.34</v>
      </c>
      <c r="J533" s="1">
        <v>16598870.640000001</v>
      </c>
      <c r="K533" s="1">
        <v>926094.19299999997</v>
      </c>
    </row>
    <row r="534" spans="1:11">
      <c r="A534" t="s">
        <v>1</v>
      </c>
      <c r="B534" s="3">
        <v>41662</v>
      </c>
      <c r="C534" s="3">
        <v>41662</v>
      </c>
      <c r="D534" t="s">
        <v>6</v>
      </c>
      <c r="E534" s="1">
        <v>18.613199999999999</v>
      </c>
      <c r="F534" s="1">
        <v>2776.2510000000002</v>
      </c>
      <c r="G534" s="1">
        <v>19406.406999999999</v>
      </c>
      <c r="H534" s="2">
        <v>51535.01</v>
      </c>
      <c r="I534" s="2">
        <v>-360237.23</v>
      </c>
      <c r="J534" s="1">
        <v>36444795.670000002</v>
      </c>
      <c r="K534" s="1">
        <v>1958006.402</v>
      </c>
    </row>
    <row r="535" spans="1:11">
      <c r="A535" t="s">
        <v>1</v>
      </c>
      <c r="B535" s="3">
        <v>41662</v>
      </c>
      <c r="C535" s="3">
        <v>41662</v>
      </c>
      <c r="D535" t="s">
        <v>10</v>
      </c>
      <c r="E535" s="1">
        <v>18.174900000000001</v>
      </c>
      <c r="F535" s="1">
        <v>28</v>
      </c>
      <c r="G535" s="1">
        <v>770.46400000000006</v>
      </c>
      <c r="H535" s="2">
        <v>504.68</v>
      </c>
      <c r="I535" s="2">
        <v>-13887.06</v>
      </c>
      <c r="J535" s="1">
        <v>79360870.409999996</v>
      </c>
      <c r="K535" s="1">
        <v>4366515.74</v>
      </c>
    </row>
    <row r="536" spans="1:11">
      <c r="A536" t="s">
        <v>1</v>
      </c>
      <c r="B536" s="3">
        <v>41662</v>
      </c>
      <c r="C536" s="3">
        <v>41662</v>
      </c>
      <c r="D536" t="s">
        <v>5</v>
      </c>
      <c r="E536" s="1">
        <v>17.2117</v>
      </c>
      <c r="F536" s="1">
        <v>115607</v>
      </c>
      <c r="G536" s="1">
        <v>1792.136</v>
      </c>
      <c r="H536" s="2">
        <v>1984290.11</v>
      </c>
      <c r="I536" s="2">
        <v>-30760.400000000001</v>
      </c>
      <c r="J536" s="1">
        <v>27917465.399999999</v>
      </c>
      <c r="K536" s="1">
        <v>1622002.1359999999</v>
      </c>
    </row>
    <row r="537" spans="1:11">
      <c r="A537" t="s">
        <v>1</v>
      </c>
      <c r="B537" s="3">
        <v>41662</v>
      </c>
      <c r="C537" s="3">
        <v>41662</v>
      </c>
      <c r="D537" t="s">
        <v>3</v>
      </c>
      <c r="E537" s="1">
        <v>10.8522</v>
      </c>
      <c r="F537" s="1">
        <v>1654.9179999999999</v>
      </c>
      <c r="G537" s="1">
        <v>2737.9659999999999</v>
      </c>
      <c r="H537" s="2">
        <v>17910.849999999999</v>
      </c>
      <c r="I537" s="2">
        <v>-29632.46</v>
      </c>
      <c r="J537" s="1">
        <v>1869619.95</v>
      </c>
      <c r="K537" s="1">
        <v>172281.02100000001</v>
      </c>
    </row>
    <row r="538" spans="1:11">
      <c r="A538" t="s">
        <v>1</v>
      </c>
      <c r="B538" s="3">
        <v>41662</v>
      </c>
      <c r="C538" s="3">
        <v>41662</v>
      </c>
      <c r="D538" t="s">
        <v>14</v>
      </c>
      <c r="E538" s="1">
        <v>11.0421</v>
      </c>
      <c r="F538" s="1">
        <v>2049.4090000000001</v>
      </c>
      <c r="G538" s="1">
        <v>0</v>
      </c>
      <c r="H538" s="2">
        <v>22568.49</v>
      </c>
      <c r="I538" s="2">
        <v>0</v>
      </c>
      <c r="J538" s="1">
        <v>401597.51</v>
      </c>
      <c r="K538" s="1">
        <v>36369.771000000001</v>
      </c>
    </row>
    <row r="539" spans="1:11">
      <c r="A539" t="s">
        <v>1</v>
      </c>
      <c r="B539" s="3">
        <v>41662</v>
      </c>
      <c r="C539" s="3">
        <v>41662</v>
      </c>
      <c r="D539" t="s">
        <v>2</v>
      </c>
      <c r="E539" s="1">
        <v>17.087299999999999</v>
      </c>
      <c r="F539" s="1">
        <v>25314.035</v>
      </c>
      <c r="G539" s="1">
        <v>0</v>
      </c>
      <c r="H539" s="2">
        <v>431351.42</v>
      </c>
      <c r="I539" s="2">
        <v>0</v>
      </c>
      <c r="J539" s="1">
        <v>37139839.969999999</v>
      </c>
      <c r="K539" s="1">
        <v>2173536.9840000002</v>
      </c>
    </row>
    <row r="540" spans="1:11">
      <c r="A540" t="s">
        <v>1</v>
      </c>
      <c r="B540" s="3">
        <v>41663</v>
      </c>
      <c r="C540" s="3">
        <v>41663</v>
      </c>
      <c r="D540" t="s">
        <v>7</v>
      </c>
      <c r="E540" s="1">
        <v>22.184899999999999</v>
      </c>
      <c r="F540" s="1">
        <v>6444.8509999999997</v>
      </c>
      <c r="G540" s="1">
        <v>28161.952000000001</v>
      </c>
      <c r="H540" s="2">
        <v>144286.01999999999</v>
      </c>
      <c r="I540" s="2">
        <v>-630484.14</v>
      </c>
      <c r="J540" s="1">
        <v>222462566.87</v>
      </c>
      <c r="K540" s="1">
        <v>10027671.443</v>
      </c>
    </row>
    <row r="541" spans="1:11">
      <c r="A541" t="s">
        <v>1</v>
      </c>
      <c r="B541" s="3">
        <v>41663</v>
      </c>
      <c r="C541" s="3">
        <v>41663</v>
      </c>
      <c r="D541" t="s">
        <v>12</v>
      </c>
      <c r="E541" s="1">
        <v>17.760400000000001</v>
      </c>
      <c r="F541" s="1">
        <v>10194.148999999999</v>
      </c>
      <c r="G541" s="1">
        <v>52518.955999999998</v>
      </c>
      <c r="H541" s="2">
        <v>182714.83</v>
      </c>
      <c r="I541" s="2">
        <v>-941323.47</v>
      </c>
      <c r="J541" s="1">
        <v>15696055.960000001</v>
      </c>
      <c r="K541" s="1">
        <v>883769.38600000006</v>
      </c>
    </row>
    <row r="542" spans="1:11">
      <c r="A542" t="s">
        <v>1</v>
      </c>
      <c r="B542" s="3">
        <v>41663</v>
      </c>
      <c r="C542" s="3">
        <v>41663</v>
      </c>
      <c r="D542" t="s">
        <v>6</v>
      </c>
      <c r="E542" s="1">
        <v>18.4438</v>
      </c>
      <c r="F542" s="1">
        <v>6607.9840000000004</v>
      </c>
      <c r="G542" s="1">
        <v>25427.420999999998</v>
      </c>
      <c r="H542" s="2">
        <v>122995.73</v>
      </c>
      <c r="I542" s="2">
        <v>-473285.65</v>
      </c>
      <c r="J542" s="1">
        <v>35765909.810000002</v>
      </c>
      <c r="K542" s="1">
        <v>1939186.9650000001</v>
      </c>
    </row>
    <row r="543" spans="1:11">
      <c r="A543" t="s">
        <v>1</v>
      </c>
      <c r="B543" s="3">
        <v>41663</v>
      </c>
      <c r="C543" s="3">
        <v>41663</v>
      </c>
      <c r="D543" t="s">
        <v>10</v>
      </c>
      <c r="E543" s="1">
        <v>18.1326</v>
      </c>
      <c r="F543" s="1">
        <v>57733</v>
      </c>
      <c r="G543" s="1">
        <v>67406.346000000005</v>
      </c>
      <c r="H543" s="2">
        <v>1049295.4099999999</v>
      </c>
      <c r="I543" s="2">
        <v>-1225108.1499999999</v>
      </c>
      <c r="J543" s="1">
        <v>79000854.140000001</v>
      </c>
      <c r="K543" s="1">
        <v>4356842.3940000003</v>
      </c>
    </row>
    <row r="544" spans="1:11">
      <c r="A544" t="s">
        <v>1</v>
      </c>
      <c r="B544" s="3">
        <v>41663</v>
      </c>
      <c r="C544" s="3">
        <v>41663</v>
      </c>
      <c r="D544" t="s">
        <v>5</v>
      </c>
      <c r="E544" s="1">
        <v>17.056100000000001</v>
      </c>
      <c r="F544" s="1">
        <v>145849</v>
      </c>
      <c r="G544" s="1">
        <v>81253</v>
      </c>
      <c r="H544" s="2">
        <v>2510309.23</v>
      </c>
      <c r="I544" s="2">
        <v>-1398502.26</v>
      </c>
      <c r="J544" s="1">
        <v>28766786.129999999</v>
      </c>
      <c r="K544" s="1">
        <v>1686598.1359999999</v>
      </c>
    </row>
    <row r="545" spans="1:11">
      <c r="A545" t="s">
        <v>1</v>
      </c>
      <c r="B545" s="3">
        <v>41663</v>
      </c>
      <c r="C545" s="3">
        <v>41663</v>
      </c>
      <c r="D545" t="s">
        <v>4</v>
      </c>
      <c r="E545" s="1">
        <v>11.035299999999999</v>
      </c>
      <c r="F545" s="1">
        <v>8.91</v>
      </c>
      <c r="G545" s="1">
        <v>305.274</v>
      </c>
      <c r="H545" s="2">
        <v>99.22</v>
      </c>
      <c r="I545" s="2">
        <v>-3399.62</v>
      </c>
      <c r="J545" s="1">
        <v>244214.83</v>
      </c>
      <c r="K545" s="1">
        <v>22130.238000000001</v>
      </c>
    </row>
    <row r="546" spans="1:11">
      <c r="A546" t="s">
        <v>1</v>
      </c>
      <c r="B546" s="3">
        <v>41663</v>
      </c>
      <c r="C546" s="3">
        <v>41663</v>
      </c>
      <c r="D546" t="s">
        <v>3</v>
      </c>
      <c r="E546" s="1">
        <v>10.753399999999999</v>
      </c>
      <c r="F546" s="1">
        <v>8427.893</v>
      </c>
      <c r="G546" s="1">
        <v>0</v>
      </c>
      <c r="H546" s="2">
        <v>91461.18</v>
      </c>
      <c r="I546" s="2">
        <v>0</v>
      </c>
      <c r="J546" s="1">
        <v>1943227.91</v>
      </c>
      <c r="K546" s="1">
        <v>180708.91399999999</v>
      </c>
    </row>
    <row r="547" spans="1:11">
      <c r="A547" t="s">
        <v>1</v>
      </c>
      <c r="B547" s="3">
        <v>41663</v>
      </c>
      <c r="C547" s="3">
        <v>41663</v>
      </c>
      <c r="D547" t="s">
        <v>14</v>
      </c>
      <c r="E547" s="1">
        <v>10.9415</v>
      </c>
      <c r="F547" s="1">
        <v>932.19299999999998</v>
      </c>
      <c r="G547" s="1">
        <v>0</v>
      </c>
      <c r="H547" s="2">
        <v>10293.370000000001</v>
      </c>
      <c r="I547" s="2">
        <v>0</v>
      </c>
      <c r="J547" s="1">
        <v>408141.12</v>
      </c>
      <c r="K547" s="1">
        <v>37301.964</v>
      </c>
    </row>
    <row r="548" spans="1:11">
      <c r="A548" t="s">
        <v>1</v>
      </c>
      <c r="B548" s="3">
        <v>41663</v>
      </c>
      <c r="C548" s="3">
        <v>41663</v>
      </c>
      <c r="D548" t="s">
        <v>2</v>
      </c>
      <c r="E548" s="1">
        <v>16.9328</v>
      </c>
      <c r="F548" s="1">
        <v>24937.95</v>
      </c>
      <c r="G548" s="1">
        <v>1830</v>
      </c>
      <c r="H548" s="2">
        <v>426121.2</v>
      </c>
      <c r="I548" s="2">
        <v>-31269.68</v>
      </c>
      <c r="J548" s="1">
        <v>37195298.219999999</v>
      </c>
      <c r="K548" s="1">
        <v>2196644.9339999999</v>
      </c>
    </row>
    <row r="549" spans="1:11">
      <c r="A549" t="s">
        <v>1</v>
      </c>
      <c r="B549" s="3">
        <v>41666</v>
      </c>
      <c r="C549" s="3">
        <v>41666</v>
      </c>
      <c r="D549" t="s">
        <v>7</v>
      </c>
      <c r="E549" s="1">
        <v>21.692799999999998</v>
      </c>
      <c r="F549" s="1">
        <v>36722.292999999998</v>
      </c>
      <c r="G549" s="1">
        <v>105786.428</v>
      </c>
      <c r="H549" s="2">
        <v>814680.4</v>
      </c>
      <c r="I549" s="2">
        <v>-2346861.34</v>
      </c>
      <c r="J549" s="1">
        <v>216029862.47999999</v>
      </c>
      <c r="K549" s="1">
        <v>9958607.3080000002</v>
      </c>
    </row>
    <row r="550" spans="1:11">
      <c r="A550" t="s">
        <v>1</v>
      </c>
      <c r="B550" s="3">
        <v>41666</v>
      </c>
      <c r="C550" s="3">
        <v>41666</v>
      </c>
      <c r="D550" t="s">
        <v>12</v>
      </c>
      <c r="E550" s="1">
        <v>17.3642</v>
      </c>
      <c r="F550" s="1">
        <v>1079.3309999999999</v>
      </c>
      <c r="G550" s="1">
        <v>14388.79</v>
      </c>
      <c r="H550" s="2">
        <v>19169.34</v>
      </c>
      <c r="I550" s="2">
        <v>-255550.68</v>
      </c>
      <c r="J550" s="1">
        <v>15114852.93</v>
      </c>
      <c r="K550" s="1">
        <v>870459.92700000003</v>
      </c>
    </row>
    <row r="551" spans="1:11">
      <c r="A551" t="s">
        <v>1</v>
      </c>
      <c r="B551" s="3">
        <v>41666</v>
      </c>
      <c r="C551" s="3">
        <v>41666</v>
      </c>
      <c r="D551" t="s">
        <v>6</v>
      </c>
      <c r="E551" s="1">
        <v>18.032399999999999</v>
      </c>
      <c r="F551" s="1">
        <v>1326.7750000000001</v>
      </c>
      <c r="G551" s="1">
        <v>2901.9639999999999</v>
      </c>
      <c r="H551" s="2">
        <v>24470.77</v>
      </c>
      <c r="I551" s="2">
        <v>-53523.25</v>
      </c>
      <c r="J551" s="1">
        <v>34939761.399999999</v>
      </c>
      <c r="K551" s="1">
        <v>1937611.7760000001</v>
      </c>
    </row>
    <row r="552" spans="1:11">
      <c r="A552" t="s">
        <v>1</v>
      </c>
      <c r="B552" s="3">
        <v>41666</v>
      </c>
      <c r="C552" s="3">
        <v>41666</v>
      </c>
      <c r="D552" t="s">
        <v>10</v>
      </c>
      <c r="E552" s="1">
        <v>17.665199999999999</v>
      </c>
      <c r="F552" s="1">
        <v>0</v>
      </c>
      <c r="G552" s="1">
        <v>2540.2370000000001</v>
      </c>
      <c r="H552" s="2">
        <v>0</v>
      </c>
      <c r="I552" s="2">
        <v>-46061.1</v>
      </c>
      <c r="J552" s="1">
        <v>76919675.590000004</v>
      </c>
      <c r="K552" s="1">
        <v>4354302.1569999997</v>
      </c>
    </row>
    <row r="553" spans="1:11">
      <c r="A553" t="s">
        <v>1</v>
      </c>
      <c r="B553" s="3">
        <v>41666</v>
      </c>
      <c r="C553" s="3">
        <v>41666</v>
      </c>
      <c r="D553" t="s">
        <v>3</v>
      </c>
      <c r="E553" s="1">
        <v>10.513500000000001</v>
      </c>
      <c r="F553" s="1">
        <v>5478.3590000000004</v>
      </c>
      <c r="G553" s="1">
        <v>0</v>
      </c>
      <c r="H553" s="2">
        <v>58910.99</v>
      </c>
      <c r="I553" s="2">
        <v>0</v>
      </c>
      <c r="J553" s="1">
        <v>1957482</v>
      </c>
      <c r="K553" s="1">
        <v>186187.27299999999</v>
      </c>
    </row>
    <row r="554" spans="1:11">
      <c r="A554" t="s">
        <v>1</v>
      </c>
      <c r="B554" s="3">
        <v>41666</v>
      </c>
      <c r="C554" s="3">
        <v>41666</v>
      </c>
      <c r="D554" t="s">
        <v>2</v>
      </c>
      <c r="E554" s="1">
        <v>16.558199999999999</v>
      </c>
      <c r="F554" s="1">
        <v>580</v>
      </c>
      <c r="G554" s="1">
        <v>0</v>
      </c>
      <c r="H554" s="2">
        <v>9821.0300000000007</v>
      </c>
      <c r="I554" s="2">
        <v>0</v>
      </c>
      <c r="J554" s="1">
        <v>36382154.75</v>
      </c>
      <c r="K554" s="1">
        <v>2197224.9339999999</v>
      </c>
    </row>
    <row r="555" spans="1:11">
      <c r="A555" t="s">
        <v>1</v>
      </c>
      <c r="B555" s="3">
        <v>41667</v>
      </c>
      <c r="C555" s="3">
        <v>41667</v>
      </c>
      <c r="D555" t="s">
        <v>7</v>
      </c>
      <c r="E555" s="1">
        <v>21.655100000000001</v>
      </c>
      <c r="F555" s="1">
        <v>3639388.6170000001</v>
      </c>
      <c r="G555" s="1">
        <v>510607.04800000001</v>
      </c>
      <c r="H555" s="2">
        <v>78948529.370000005</v>
      </c>
      <c r="I555" s="2">
        <v>-11076496.539999999</v>
      </c>
      <c r="J555" s="1">
        <v>283408673.13</v>
      </c>
      <c r="K555" s="1">
        <v>13087388.877</v>
      </c>
    </row>
    <row r="556" spans="1:11">
      <c r="A556" t="s">
        <v>1</v>
      </c>
      <c r="B556" s="3">
        <v>41667</v>
      </c>
      <c r="C556" s="3">
        <v>41667</v>
      </c>
      <c r="D556" t="s">
        <v>12</v>
      </c>
      <c r="E556" s="1">
        <v>17.333300000000001</v>
      </c>
      <c r="F556" s="1">
        <v>2950.6759999999999</v>
      </c>
      <c r="G556" s="1">
        <v>55517.146000000001</v>
      </c>
      <c r="H556" s="2">
        <v>51236.13</v>
      </c>
      <c r="I556" s="2">
        <v>-964010.83</v>
      </c>
      <c r="J556" s="1">
        <v>14176821.35</v>
      </c>
      <c r="K556" s="1">
        <v>817893.45700000005</v>
      </c>
    </row>
    <row r="557" spans="1:11">
      <c r="A557" t="s">
        <v>1</v>
      </c>
      <c r="B557" s="3">
        <v>41667</v>
      </c>
      <c r="C557" s="3">
        <v>41667</v>
      </c>
      <c r="D557" t="s">
        <v>6</v>
      </c>
      <c r="E557" s="1">
        <v>18.000299999999999</v>
      </c>
      <c r="F557" s="1">
        <v>5863.2910000000002</v>
      </c>
      <c r="G557" s="1">
        <v>3606.31</v>
      </c>
      <c r="H557" s="2">
        <v>105729.2</v>
      </c>
      <c r="I557" s="2">
        <v>-65030.42</v>
      </c>
      <c r="J557" s="1">
        <v>34918251.140000001</v>
      </c>
      <c r="K557" s="1">
        <v>1939868.757</v>
      </c>
    </row>
    <row r="558" spans="1:11">
      <c r="A558" t="s">
        <v>1</v>
      </c>
      <c r="B558" s="3">
        <v>41667</v>
      </c>
      <c r="C558" s="3">
        <v>41667</v>
      </c>
      <c r="D558" t="s">
        <v>10</v>
      </c>
      <c r="E558" s="1">
        <v>17.5931</v>
      </c>
      <c r="F558" s="1">
        <v>8954</v>
      </c>
      <c r="G558" s="1">
        <v>2815130.3569999998</v>
      </c>
      <c r="H558" s="2">
        <v>158174.35999999999</v>
      </c>
      <c r="I558" s="2">
        <v>-49729893.090000004</v>
      </c>
      <c r="J558" s="1">
        <v>27236353.84</v>
      </c>
      <c r="K558" s="1">
        <v>1548125.8</v>
      </c>
    </row>
    <row r="559" spans="1:11">
      <c r="A559" t="s">
        <v>1</v>
      </c>
      <c r="B559" s="3">
        <v>41667</v>
      </c>
      <c r="C559" s="3">
        <v>41667</v>
      </c>
      <c r="D559" t="s">
        <v>5</v>
      </c>
      <c r="E559" s="1">
        <v>16.650200000000002</v>
      </c>
      <c r="F559" s="1">
        <v>0</v>
      </c>
      <c r="G559" s="1">
        <v>139761</v>
      </c>
      <c r="H559" s="2">
        <v>0</v>
      </c>
      <c r="I559" s="2">
        <v>-2331045.77</v>
      </c>
      <c r="J559" s="1">
        <v>25755137.739999998</v>
      </c>
      <c r="K559" s="1">
        <v>1546837.1359999999</v>
      </c>
    </row>
    <row r="560" spans="1:11">
      <c r="A560" t="s">
        <v>1</v>
      </c>
      <c r="B560" s="3">
        <v>41667</v>
      </c>
      <c r="C560" s="3">
        <v>41667</v>
      </c>
      <c r="D560" t="s">
        <v>4</v>
      </c>
      <c r="E560" s="1">
        <v>10.771800000000001</v>
      </c>
      <c r="F560" s="1">
        <v>258.86399999999998</v>
      </c>
      <c r="G560" s="1">
        <v>0</v>
      </c>
      <c r="H560" s="2">
        <v>2793.3</v>
      </c>
      <c r="I560" s="2">
        <v>0</v>
      </c>
      <c r="J560" s="1">
        <v>241171.39</v>
      </c>
      <c r="K560" s="1">
        <v>22389.101999999999</v>
      </c>
    </row>
    <row r="561" spans="1:11">
      <c r="A561" t="s">
        <v>1</v>
      </c>
      <c r="B561" s="3">
        <v>41667</v>
      </c>
      <c r="C561" s="3">
        <v>41667</v>
      </c>
      <c r="D561" t="s">
        <v>3</v>
      </c>
      <c r="E561" s="1">
        <v>10.4948</v>
      </c>
      <c r="F561" s="1">
        <v>3514.7429999999999</v>
      </c>
      <c r="G561" s="1">
        <v>2508.6379999999999</v>
      </c>
      <c r="H561" s="2">
        <v>36952.25</v>
      </c>
      <c r="I561" s="2">
        <v>-26374.57</v>
      </c>
      <c r="J561" s="1">
        <v>1964559.7</v>
      </c>
      <c r="K561" s="1">
        <v>187193.378</v>
      </c>
    </row>
    <row r="562" spans="1:11">
      <c r="A562" t="s">
        <v>1</v>
      </c>
      <c r="B562" s="3">
        <v>41667</v>
      </c>
      <c r="C562" s="3">
        <v>41667</v>
      </c>
      <c r="D562" t="s">
        <v>14</v>
      </c>
      <c r="E562" s="1">
        <v>10.6785</v>
      </c>
      <c r="F562" s="1">
        <v>3024.877</v>
      </c>
      <c r="G562" s="1">
        <v>0</v>
      </c>
      <c r="H562" s="2">
        <v>32358.63</v>
      </c>
      <c r="I562" s="2">
        <v>0</v>
      </c>
      <c r="J562" s="1">
        <v>430629.09</v>
      </c>
      <c r="K562" s="1">
        <v>40326.841</v>
      </c>
    </row>
    <row r="563" spans="1:11">
      <c r="A563" t="s">
        <v>1</v>
      </c>
      <c r="B563" s="3">
        <v>41667</v>
      </c>
      <c r="C563" s="3">
        <v>41667</v>
      </c>
      <c r="D563" t="s">
        <v>2</v>
      </c>
      <c r="E563" s="1">
        <v>16.529800000000002</v>
      </c>
      <c r="F563" s="1">
        <v>5770.8190000000004</v>
      </c>
      <c r="G563" s="1">
        <v>0</v>
      </c>
      <c r="H563" s="2">
        <v>95554.33</v>
      </c>
      <c r="I563" s="2">
        <v>0</v>
      </c>
      <c r="J563" s="1">
        <v>36415085.939999998</v>
      </c>
      <c r="K563" s="1">
        <v>2202995.753</v>
      </c>
    </row>
    <row r="564" spans="1:11">
      <c r="A564" t="s">
        <v>1</v>
      </c>
      <c r="B564" s="3">
        <v>41668</v>
      </c>
      <c r="C564" s="3">
        <v>41668</v>
      </c>
      <c r="D564" t="s">
        <v>7</v>
      </c>
      <c r="E564" s="1">
        <v>21.840599999999998</v>
      </c>
      <c r="F564" s="1">
        <v>24951.023000000001</v>
      </c>
      <c r="G564" s="1">
        <v>4831.3310000000001</v>
      </c>
      <c r="H564" s="2">
        <v>540316.9</v>
      </c>
      <c r="I564" s="2">
        <v>-104622.96</v>
      </c>
      <c r="J564" s="1">
        <v>286276293.54000002</v>
      </c>
      <c r="K564" s="1">
        <v>13107508.569</v>
      </c>
    </row>
    <row r="565" spans="1:11">
      <c r="A565" t="s">
        <v>1</v>
      </c>
      <c r="B565" s="3">
        <v>41668</v>
      </c>
      <c r="C565" s="3">
        <v>41668</v>
      </c>
      <c r="D565" t="s">
        <v>12</v>
      </c>
      <c r="E565" s="1">
        <v>17.481100000000001</v>
      </c>
      <c r="F565" s="1">
        <v>23765.343000000001</v>
      </c>
      <c r="G565" s="1">
        <v>5252.2489999999998</v>
      </c>
      <c r="H565" s="2">
        <v>411931.81</v>
      </c>
      <c r="I565" s="2">
        <v>-91038.81</v>
      </c>
      <c r="J565" s="1">
        <v>14621332.310000001</v>
      </c>
      <c r="K565" s="1">
        <v>836406.55099999998</v>
      </c>
    </row>
    <row r="566" spans="1:11">
      <c r="A566" t="s">
        <v>1</v>
      </c>
      <c r="B566" s="3">
        <v>41668</v>
      </c>
      <c r="C566" s="3">
        <v>41668</v>
      </c>
      <c r="D566" t="s">
        <v>6</v>
      </c>
      <c r="E566" s="1">
        <v>18.1538</v>
      </c>
      <c r="F566" s="1">
        <v>31450.518</v>
      </c>
      <c r="G566" s="1">
        <v>12114.556</v>
      </c>
      <c r="H566" s="2">
        <v>566118.77</v>
      </c>
      <c r="I566" s="2">
        <v>-218065.65</v>
      </c>
      <c r="J566" s="1">
        <v>35567010.189999998</v>
      </c>
      <c r="K566" s="1">
        <v>1959204.719</v>
      </c>
    </row>
    <row r="567" spans="1:11">
      <c r="A567" t="s">
        <v>1</v>
      </c>
      <c r="B567" s="3">
        <v>41668</v>
      </c>
      <c r="C567" s="3">
        <v>41668</v>
      </c>
      <c r="D567" t="s">
        <v>10</v>
      </c>
      <c r="E567" s="1">
        <v>17.7651</v>
      </c>
      <c r="F567" s="1">
        <v>58092</v>
      </c>
      <c r="G567" s="1">
        <v>426.495</v>
      </c>
      <c r="H567" s="2">
        <v>1022018.08</v>
      </c>
      <c r="I567" s="2">
        <v>-7503.38</v>
      </c>
      <c r="J567" s="1">
        <v>28527119.239999998</v>
      </c>
      <c r="K567" s="1">
        <v>1605791.3049999999</v>
      </c>
    </row>
    <row r="568" spans="1:11">
      <c r="A568" t="s">
        <v>1</v>
      </c>
      <c r="B568" s="3">
        <v>41668</v>
      </c>
      <c r="C568" s="3">
        <v>41668</v>
      </c>
      <c r="D568" t="s">
        <v>5</v>
      </c>
      <c r="E568" s="1">
        <v>16.793199999999999</v>
      </c>
      <c r="F568" s="1">
        <v>30000</v>
      </c>
      <c r="G568" s="1">
        <v>53757</v>
      </c>
      <c r="H568" s="2">
        <v>499506</v>
      </c>
      <c r="I568" s="2">
        <v>-895064.8</v>
      </c>
      <c r="J568" s="1">
        <v>25577376.280000001</v>
      </c>
      <c r="K568" s="1">
        <v>1523080.1359999999</v>
      </c>
    </row>
    <row r="569" spans="1:11">
      <c r="A569" t="s">
        <v>1</v>
      </c>
      <c r="B569" s="3">
        <v>41668</v>
      </c>
      <c r="C569" s="3">
        <v>41668</v>
      </c>
      <c r="D569" t="s">
        <v>4</v>
      </c>
      <c r="E569" s="1">
        <v>10.864100000000001</v>
      </c>
      <c r="F569" s="1">
        <v>642.03399999999999</v>
      </c>
      <c r="G569" s="1">
        <v>0</v>
      </c>
      <c r="H569" s="2">
        <v>6915.86</v>
      </c>
      <c r="I569" s="2">
        <v>0</v>
      </c>
      <c r="J569" s="1">
        <v>250212.8</v>
      </c>
      <c r="K569" s="1">
        <v>23031.135999999999</v>
      </c>
    </row>
    <row r="570" spans="1:11">
      <c r="A570" t="s">
        <v>1</v>
      </c>
      <c r="B570" s="3">
        <v>41668</v>
      </c>
      <c r="C570" s="3">
        <v>41668</v>
      </c>
      <c r="D570" t="s">
        <v>3</v>
      </c>
      <c r="E570" s="1">
        <v>10.584300000000001</v>
      </c>
      <c r="F570" s="1">
        <v>4109.7370000000001</v>
      </c>
      <c r="G570" s="1">
        <v>0</v>
      </c>
      <c r="H570" s="2">
        <v>43130.87</v>
      </c>
      <c r="I570" s="2">
        <v>0</v>
      </c>
      <c r="J570" s="1">
        <v>2024809.61</v>
      </c>
      <c r="K570" s="1">
        <v>191303.11499999999</v>
      </c>
    </row>
    <row r="571" spans="1:11">
      <c r="A571" t="s">
        <v>1</v>
      </c>
      <c r="B571" s="3">
        <v>41668</v>
      </c>
      <c r="C571" s="3">
        <v>41668</v>
      </c>
      <c r="D571" t="s">
        <v>2</v>
      </c>
      <c r="E571" s="1">
        <v>16.671800000000001</v>
      </c>
      <c r="F571" s="1">
        <v>13472.064</v>
      </c>
      <c r="G571" s="1">
        <v>0</v>
      </c>
      <c r="H571" s="2">
        <v>222691.58</v>
      </c>
      <c r="I571" s="2">
        <v>0</v>
      </c>
      <c r="J571" s="1">
        <v>36952436.109999999</v>
      </c>
      <c r="K571" s="1">
        <v>2216467.8169999998</v>
      </c>
    </row>
    <row r="572" spans="1:11">
      <c r="A572" t="s">
        <v>1</v>
      </c>
      <c r="B572" s="3">
        <v>41669</v>
      </c>
      <c r="C572" s="3">
        <v>41669</v>
      </c>
      <c r="D572" t="s">
        <v>7</v>
      </c>
      <c r="E572" s="1">
        <v>21.668199999999999</v>
      </c>
      <c r="F572" s="1">
        <v>67356.926000000007</v>
      </c>
      <c r="G572" s="1">
        <v>5599.7889999999998</v>
      </c>
      <c r="H572" s="2">
        <v>1471115.7</v>
      </c>
      <c r="I572" s="2">
        <v>-122302.74</v>
      </c>
      <c r="J572" s="1">
        <v>285354766.77999997</v>
      </c>
      <c r="K572" s="1">
        <v>13169265.706</v>
      </c>
    </row>
    <row r="573" spans="1:11">
      <c r="A573" t="s">
        <v>1</v>
      </c>
      <c r="B573" s="3">
        <v>41669</v>
      </c>
      <c r="C573" s="3">
        <v>41669</v>
      </c>
      <c r="D573" t="s">
        <v>12</v>
      </c>
      <c r="E573" s="1">
        <v>17.342400000000001</v>
      </c>
      <c r="F573" s="1">
        <v>66675.395000000004</v>
      </c>
      <c r="G573" s="1">
        <v>1639.3889999999999</v>
      </c>
      <c r="H573" s="2">
        <v>1165559.22</v>
      </c>
      <c r="I573" s="2">
        <v>-28658.33</v>
      </c>
      <c r="J573" s="1">
        <v>15633199.58</v>
      </c>
      <c r="K573" s="1">
        <v>901442.55700000003</v>
      </c>
    </row>
    <row r="574" spans="1:11">
      <c r="A574" t="s">
        <v>1</v>
      </c>
      <c r="B574" s="3">
        <v>41669</v>
      </c>
      <c r="C574" s="3">
        <v>41669</v>
      </c>
      <c r="D574" t="s">
        <v>6</v>
      </c>
      <c r="E574" s="1">
        <v>18.009799999999998</v>
      </c>
      <c r="F574" s="1">
        <v>10280.66</v>
      </c>
      <c r="G574" s="1">
        <v>1287.3689999999999</v>
      </c>
      <c r="H574" s="2">
        <v>186633.02</v>
      </c>
      <c r="I574" s="2">
        <v>-23370.639999999999</v>
      </c>
      <c r="J574" s="1">
        <v>35446770.909999996</v>
      </c>
      <c r="K574" s="1">
        <v>1968198.01</v>
      </c>
    </row>
    <row r="575" spans="1:11">
      <c r="A575" t="s">
        <v>1</v>
      </c>
      <c r="B575" s="3">
        <v>41669</v>
      </c>
      <c r="C575" s="3">
        <v>41669</v>
      </c>
      <c r="D575" t="s">
        <v>10</v>
      </c>
      <c r="E575" s="1">
        <v>17.5425</v>
      </c>
      <c r="F575" s="1">
        <v>6767.2529999999997</v>
      </c>
      <c r="G575" s="1">
        <v>0</v>
      </c>
      <c r="H575" s="2">
        <v>120221.2</v>
      </c>
      <c r="I575" s="2">
        <v>0</v>
      </c>
      <c r="J575" s="1">
        <v>28288336.68</v>
      </c>
      <c r="K575" s="1">
        <v>1612558.558</v>
      </c>
    </row>
    <row r="576" spans="1:11">
      <c r="A576" t="s">
        <v>1</v>
      </c>
      <c r="B576" s="3">
        <v>41669</v>
      </c>
      <c r="C576" s="3">
        <v>41669</v>
      </c>
      <c r="D576" t="s">
        <v>5</v>
      </c>
      <c r="E576" s="1">
        <v>16.661000000000001</v>
      </c>
      <c r="F576" s="1">
        <v>0</v>
      </c>
      <c r="G576" s="1">
        <v>258078</v>
      </c>
      <c r="H576" s="2">
        <v>0</v>
      </c>
      <c r="I576" s="2">
        <v>-4333955.47</v>
      </c>
      <c r="J576" s="1">
        <v>21076174.539999999</v>
      </c>
      <c r="K576" s="1">
        <v>1265002.1359999999</v>
      </c>
    </row>
    <row r="577" spans="1:11">
      <c r="A577" t="s">
        <v>1</v>
      </c>
      <c r="B577" s="3">
        <v>41669</v>
      </c>
      <c r="C577" s="3">
        <v>41669</v>
      </c>
      <c r="D577" t="s">
        <v>3</v>
      </c>
      <c r="E577" s="1">
        <v>10.500299999999999</v>
      </c>
      <c r="F577" s="1">
        <v>2381.5909999999999</v>
      </c>
      <c r="G577" s="1">
        <v>0</v>
      </c>
      <c r="H577" s="2">
        <v>25207.47</v>
      </c>
      <c r="I577" s="2">
        <v>0</v>
      </c>
      <c r="J577" s="1">
        <v>2033751.24</v>
      </c>
      <c r="K577" s="1">
        <v>193684.70600000001</v>
      </c>
    </row>
    <row r="578" spans="1:11">
      <c r="A578" t="s">
        <v>1</v>
      </c>
      <c r="B578" s="3">
        <v>41669</v>
      </c>
      <c r="C578" s="3">
        <v>41669</v>
      </c>
      <c r="D578" t="s">
        <v>2</v>
      </c>
      <c r="E578" s="1">
        <v>16.540500000000002</v>
      </c>
      <c r="F578" s="1">
        <v>31969.807000000001</v>
      </c>
      <c r="G578" s="1">
        <v>0</v>
      </c>
      <c r="H578" s="2">
        <v>532992.55000000005</v>
      </c>
      <c r="I578" s="2">
        <v>0</v>
      </c>
      <c r="J578" s="1">
        <v>37190311.469999999</v>
      </c>
      <c r="K578" s="1">
        <v>2248437.6239999998</v>
      </c>
    </row>
    <row r="579" spans="1:11">
      <c r="A579" t="s">
        <v>1</v>
      </c>
      <c r="B579" s="3">
        <v>41670</v>
      </c>
      <c r="C579" s="3">
        <v>41670</v>
      </c>
      <c r="D579" t="s">
        <v>8</v>
      </c>
      <c r="E579" s="1">
        <v>17.706299999999999</v>
      </c>
      <c r="F579" s="1">
        <v>6849.15</v>
      </c>
      <c r="G579" s="1">
        <v>167.72499999999999</v>
      </c>
      <c r="H579" s="2">
        <v>120062.78</v>
      </c>
      <c r="I579" s="2">
        <v>-2940.15</v>
      </c>
      <c r="J579" s="1">
        <v>6805914.9900000002</v>
      </c>
      <c r="K579" s="1">
        <v>384377.40299999999</v>
      </c>
    </row>
    <row r="580" spans="1:11">
      <c r="A580" t="s">
        <v>1</v>
      </c>
      <c r="B580" s="3">
        <v>41670</v>
      </c>
      <c r="C580" s="3">
        <v>41670</v>
      </c>
      <c r="D580" t="s">
        <v>7</v>
      </c>
      <c r="E580" s="1">
        <v>21.886700000000001</v>
      </c>
      <c r="F580" s="1">
        <v>16653.437999999998</v>
      </c>
      <c r="G580" s="1">
        <v>9001.1890000000003</v>
      </c>
      <c r="H580" s="2">
        <v>360850</v>
      </c>
      <c r="I580" s="2">
        <v>-195039.57</v>
      </c>
      <c r="J580" s="1">
        <v>288398967.27999997</v>
      </c>
      <c r="K580" s="1">
        <v>13176917.955</v>
      </c>
    </row>
    <row r="581" spans="1:11">
      <c r="A581" t="s">
        <v>1</v>
      </c>
      <c r="B581" s="3">
        <v>41670</v>
      </c>
      <c r="C581" s="3">
        <v>41670</v>
      </c>
      <c r="D581" t="s">
        <v>6</v>
      </c>
      <c r="E581" s="1">
        <v>18.1906</v>
      </c>
      <c r="F581" s="1">
        <v>882.803</v>
      </c>
      <c r="G581" s="1">
        <v>2455.1880000000001</v>
      </c>
      <c r="H581" s="2">
        <v>15899.12</v>
      </c>
      <c r="I581" s="2">
        <v>-44217.45</v>
      </c>
      <c r="J581" s="1">
        <v>35774057.539999999</v>
      </c>
      <c r="K581" s="1">
        <v>1966625.625</v>
      </c>
    </row>
    <row r="582" spans="1:11">
      <c r="A582" t="s">
        <v>1</v>
      </c>
      <c r="B582" s="3">
        <v>41670</v>
      </c>
      <c r="C582" s="3">
        <v>41670</v>
      </c>
      <c r="D582" t="s">
        <v>10</v>
      </c>
      <c r="E582" s="1">
        <v>17.657399999999999</v>
      </c>
      <c r="F582" s="1">
        <v>465.08699999999999</v>
      </c>
      <c r="G582" s="1">
        <v>8992</v>
      </c>
      <c r="H582" s="2">
        <v>8158.8</v>
      </c>
      <c r="I582" s="2">
        <v>-157742.23000000001</v>
      </c>
      <c r="J582" s="1">
        <v>28323063.5</v>
      </c>
      <c r="K582" s="1">
        <v>1604031.645</v>
      </c>
    </row>
    <row r="583" spans="1:11">
      <c r="A583" t="s">
        <v>1</v>
      </c>
      <c r="B583" s="3">
        <v>41670</v>
      </c>
      <c r="C583" s="3">
        <v>41670</v>
      </c>
      <c r="D583" t="s">
        <v>5</v>
      </c>
      <c r="E583" s="1">
        <v>16.8293</v>
      </c>
      <c r="F583" s="1">
        <v>0</v>
      </c>
      <c r="G583" s="1">
        <v>154413</v>
      </c>
      <c r="H583" s="2">
        <v>0</v>
      </c>
      <c r="I583" s="2">
        <v>-2572674.9900000002</v>
      </c>
      <c r="J583" s="1">
        <v>18690417.219999999</v>
      </c>
      <c r="K583" s="1">
        <v>1110589.1359999999</v>
      </c>
    </row>
    <row r="584" spans="1:11">
      <c r="A584" t="s">
        <v>1</v>
      </c>
      <c r="B584" s="3">
        <v>41670</v>
      </c>
      <c r="C584" s="3">
        <v>41670</v>
      </c>
      <c r="D584" t="s">
        <v>2</v>
      </c>
      <c r="E584" s="1">
        <v>16.707599999999999</v>
      </c>
      <c r="F584" s="1">
        <v>130338.061</v>
      </c>
      <c r="G584" s="1">
        <v>0</v>
      </c>
      <c r="H584" s="2">
        <v>2155865.6800000002</v>
      </c>
      <c r="I584" s="2">
        <v>0</v>
      </c>
      <c r="J584" s="1">
        <v>39743642.310000002</v>
      </c>
      <c r="K584" s="1">
        <v>2378775.6850000001</v>
      </c>
    </row>
    <row r="585" spans="1:11">
      <c r="A585" t="s">
        <v>1</v>
      </c>
      <c r="B585" s="3">
        <v>41673</v>
      </c>
      <c r="C585" s="3">
        <v>41673</v>
      </c>
      <c r="D585" t="s">
        <v>7</v>
      </c>
      <c r="E585" s="1">
        <v>21.704499999999999</v>
      </c>
      <c r="F585" s="1">
        <v>14039.349</v>
      </c>
      <c r="G585" s="1">
        <v>134453.106</v>
      </c>
      <c r="H585" s="2">
        <v>307275</v>
      </c>
      <c r="I585" s="2">
        <v>-2942734.81</v>
      </c>
      <c r="J585" s="1">
        <v>283384672.98000002</v>
      </c>
      <c r="K585" s="1">
        <v>13056504.198000001</v>
      </c>
    </row>
    <row r="586" spans="1:11">
      <c r="A586" t="s">
        <v>1</v>
      </c>
      <c r="B586" s="3">
        <v>41673</v>
      </c>
      <c r="C586" s="3">
        <v>41673</v>
      </c>
      <c r="D586" t="s">
        <v>6</v>
      </c>
      <c r="E586" s="1">
        <v>18.036899999999999</v>
      </c>
      <c r="F586" s="1">
        <v>161.16800000000001</v>
      </c>
      <c r="G586" s="1">
        <v>615.85199999999998</v>
      </c>
      <c r="H586" s="2">
        <v>2931.75</v>
      </c>
      <c r="I586" s="2">
        <v>-11202.71</v>
      </c>
      <c r="J586" s="1">
        <v>35463645.270000003</v>
      </c>
      <c r="K586" s="1">
        <v>1966170.9410000001</v>
      </c>
    </row>
    <row r="587" spans="1:11">
      <c r="A587" t="s">
        <v>1</v>
      </c>
      <c r="B587" s="3">
        <v>41673</v>
      </c>
      <c r="C587" s="3">
        <v>41673</v>
      </c>
      <c r="D587" t="s">
        <v>10</v>
      </c>
      <c r="E587" s="1">
        <v>17.453900000000001</v>
      </c>
      <c r="F587" s="1">
        <v>997.63599999999997</v>
      </c>
      <c r="G587" s="1">
        <v>9499.0990000000002</v>
      </c>
      <c r="H587" s="2">
        <v>17615.650000000001</v>
      </c>
      <c r="I587" s="2">
        <v>-167729.25</v>
      </c>
      <c r="J587" s="1">
        <v>27848206.649999999</v>
      </c>
      <c r="K587" s="1">
        <v>1595530.182</v>
      </c>
    </row>
    <row r="588" spans="1:11">
      <c r="A588" t="s">
        <v>1</v>
      </c>
      <c r="B588" s="3">
        <v>41673</v>
      </c>
      <c r="C588" s="3">
        <v>41673</v>
      </c>
      <c r="D588" t="s">
        <v>5</v>
      </c>
      <c r="E588" s="1">
        <v>16.690200000000001</v>
      </c>
      <c r="F588" s="1">
        <v>0</v>
      </c>
      <c r="G588" s="1">
        <v>75100</v>
      </c>
      <c r="H588" s="2">
        <v>0</v>
      </c>
      <c r="I588" s="2">
        <v>-1263880.43</v>
      </c>
      <c r="J588" s="1">
        <v>17282544.059999999</v>
      </c>
      <c r="K588" s="1">
        <v>1035489.1360000001</v>
      </c>
    </row>
    <row r="589" spans="1:11">
      <c r="A589" t="s">
        <v>1</v>
      </c>
      <c r="B589" s="3">
        <v>41673</v>
      </c>
      <c r="C589" s="3">
        <v>41673</v>
      </c>
      <c r="D589" t="s">
        <v>2</v>
      </c>
      <c r="E589" s="1">
        <v>16.569600000000001</v>
      </c>
      <c r="F589" s="1">
        <v>3881.4059999999999</v>
      </c>
      <c r="G589" s="1">
        <v>0</v>
      </c>
      <c r="H589" s="2">
        <v>64848.71</v>
      </c>
      <c r="I589" s="2">
        <v>0</v>
      </c>
      <c r="J589" s="1">
        <v>39479559.719999999</v>
      </c>
      <c r="K589" s="1">
        <v>2382657.091</v>
      </c>
    </row>
    <row r="590" spans="1:11">
      <c r="A590" t="s">
        <v>1</v>
      </c>
      <c r="B590" s="3">
        <v>41674</v>
      </c>
      <c r="C590" s="3">
        <v>41674</v>
      </c>
      <c r="D590" t="s">
        <v>7</v>
      </c>
      <c r="E590" s="1">
        <v>21.2483</v>
      </c>
      <c r="F590" s="1">
        <v>240358.83900000001</v>
      </c>
      <c r="G590" s="1">
        <v>237744.921</v>
      </c>
      <c r="H590" s="2">
        <v>5216868.41</v>
      </c>
      <c r="I590" s="2">
        <v>-5160134.6100000003</v>
      </c>
      <c r="J590" s="1">
        <v>277484082.61000001</v>
      </c>
      <c r="K590" s="1">
        <v>13059118.116</v>
      </c>
    </row>
    <row r="591" spans="1:11">
      <c r="A591" t="s">
        <v>1</v>
      </c>
      <c r="B591" s="3">
        <v>41674</v>
      </c>
      <c r="C591" s="3">
        <v>41674</v>
      </c>
      <c r="D591" t="s">
        <v>6</v>
      </c>
      <c r="E591" s="1">
        <v>17.6571</v>
      </c>
      <c r="F591" s="1">
        <v>0.39</v>
      </c>
      <c r="G591" s="1">
        <v>502.01900000000001</v>
      </c>
      <c r="H591" s="2">
        <v>7.03</v>
      </c>
      <c r="I591" s="2">
        <v>-9054.86</v>
      </c>
      <c r="J591" s="1">
        <v>34707961.57</v>
      </c>
      <c r="K591" s="1">
        <v>1965669.3119999999</v>
      </c>
    </row>
    <row r="592" spans="1:11">
      <c r="A592" t="s">
        <v>1</v>
      </c>
      <c r="B592" s="3">
        <v>41674</v>
      </c>
      <c r="C592" s="3">
        <v>41674</v>
      </c>
      <c r="D592" t="s">
        <v>10</v>
      </c>
      <c r="E592" s="1">
        <v>17.0947</v>
      </c>
      <c r="F592" s="1">
        <v>0</v>
      </c>
      <c r="G592" s="1">
        <v>770.50099999999998</v>
      </c>
      <c r="H592" s="2">
        <v>0</v>
      </c>
      <c r="I592" s="2">
        <v>-13448.25</v>
      </c>
      <c r="J592" s="1">
        <v>27261999.690000001</v>
      </c>
      <c r="K592" s="1">
        <v>1594759.6810000001</v>
      </c>
    </row>
    <row r="593" spans="1:11">
      <c r="A593" t="s">
        <v>1</v>
      </c>
      <c r="B593" s="3">
        <v>41674</v>
      </c>
      <c r="C593" s="3">
        <v>41674</v>
      </c>
      <c r="D593" t="s">
        <v>5</v>
      </c>
      <c r="E593" s="1">
        <v>16.3398</v>
      </c>
      <c r="F593" s="1">
        <v>0</v>
      </c>
      <c r="G593" s="1">
        <v>46237</v>
      </c>
      <c r="H593" s="2">
        <v>0</v>
      </c>
      <c r="I593" s="2">
        <v>-771704.78</v>
      </c>
      <c r="J593" s="1">
        <v>16164156.460000001</v>
      </c>
      <c r="K593" s="1">
        <v>989252.13600000006</v>
      </c>
    </row>
    <row r="594" spans="1:11">
      <c r="A594" t="s">
        <v>1</v>
      </c>
      <c r="B594" s="3">
        <v>41674</v>
      </c>
      <c r="C594" s="3">
        <v>41674</v>
      </c>
      <c r="D594" t="s">
        <v>2</v>
      </c>
      <c r="E594" s="1">
        <v>16.221599999999999</v>
      </c>
      <c r="F594" s="1">
        <v>31545.728999999999</v>
      </c>
      <c r="G594" s="1">
        <v>71</v>
      </c>
      <c r="H594" s="2">
        <v>522698.13</v>
      </c>
      <c r="I594" s="2">
        <v>-1176.44</v>
      </c>
      <c r="J594" s="1">
        <v>39161167.25</v>
      </c>
      <c r="K594" s="1">
        <v>2414131.8199999998</v>
      </c>
    </row>
    <row r="595" spans="1:11">
      <c r="A595" t="s">
        <v>1</v>
      </c>
      <c r="B595" s="3">
        <v>41675</v>
      </c>
      <c r="C595" s="3">
        <v>41675</v>
      </c>
      <c r="D595" t="s">
        <v>8</v>
      </c>
      <c r="E595" s="1">
        <v>17.3032</v>
      </c>
      <c r="F595" s="1">
        <v>324.01299999999998</v>
      </c>
      <c r="G595" s="1">
        <v>0</v>
      </c>
      <c r="H595" s="2">
        <v>5569.77</v>
      </c>
      <c r="I595" s="2">
        <v>0</v>
      </c>
      <c r="J595" s="1">
        <v>6656580.4199999999</v>
      </c>
      <c r="K595" s="1">
        <v>384701.41600000003</v>
      </c>
    </row>
    <row r="596" spans="1:11">
      <c r="A596" t="s">
        <v>1</v>
      </c>
      <c r="B596" s="3">
        <v>41675</v>
      </c>
      <c r="C596" s="3">
        <v>41675</v>
      </c>
      <c r="D596" t="s">
        <v>7</v>
      </c>
      <c r="E596" s="1">
        <v>21.388400000000001</v>
      </c>
      <c r="F596" s="1">
        <v>452.22399999999999</v>
      </c>
      <c r="G596" s="1">
        <v>1076.2860000000001</v>
      </c>
      <c r="H596" s="2">
        <v>9609</v>
      </c>
      <c r="I596" s="2">
        <v>-22869.25</v>
      </c>
      <c r="J596" s="1">
        <v>279300476.62</v>
      </c>
      <c r="K596" s="1">
        <v>13058494.054</v>
      </c>
    </row>
    <row r="597" spans="1:11">
      <c r="A597" t="s">
        <v>1</v>
      </c>
      <c r="B597" s="3">
        <v>41675</v>
      </c>
      <c r="C597" s="3">
        <v>41675</v>
      </c>
      <c r="D597" t="s">
        <v>6</v>
      </c>
      <c r="E597" s="1">
        <v>17.7728</v>
      </c>
      <c r="F597" s="1">
        <v>1489.4860000000001</v>
      </c>
      <c r="G597" s="1">
        <v>927.31299999999999</v>
      </c>
      <c r="H597" s="2">
        <v>26300</v>
      </c>
      <c r="I597" s="2">
        <v>-16373.65</v>
      </c>
      <c r="J597" s="1">
        <v>34945392.380000003</v>
      </c>
      <c r="K597" s="1">
        <v>1966231.4850000001</v>
      </c>
    </row>
    <row r="598" spans="1:11">
      <c r="A598" t="s">
        <v>1</v>
      </c>
      <c r="B598" s="3">
        <v>41675</v>
      </c>
      <c r="C598" s="3">
        <v>41675</v>
      </c>
      <c r="D598" t="s">
        <v>10</v>
      </c>
      <c r="E598" s="1">
        <v>17.2149</v>
      </c>
      <c r="F598" s="1">
        <v>22</v>
      </c>
      <c r="G598" s="1">
        <v>2655.9169999999999</v>
      </c>
      <c r="H598" s="2">
        <v>376.08</v>
      </c>
      <c r="I598" s="2">
        <v>-45402</v>
      </c>
      <c r="J598" s="1">
        <v>27408252.300000001</v>
      </c>
      <c r="K598" s="1">
        <v>1592125.764</v>
      </c>
    </row>
    <row r="599" spans="1:11">
      <c r="A599" t="s">
        <v>1</v>
      </c>
      <c r="B599" s="3">
        <v>41675</v>
      </c>
      <c r="C599" s="3">
        <v>41675</v>
      </c>
      <c r="D599" t="s">
        <v>5</v>
      </c>
      <c r="E599" s="1">
        <v>16.447900000000001</v>
      </c>
      <c r="F599" s="1">
        <v>155963</v>
      </c>
      <c r="G599" s="1">
        <v>13839</v>
      </c>
      <c r="H599" s="2">
        <v>2548404.23</v>
      </c>
      <c r="I599" s="2">
        <v>-226126.49</v>
      </c>
      <c r="J599" s="1">
        <v>18608714.399999999</v>
      </c>
      <c r="K599" s="1">
        <v>1131376.1359999999</v>
      </c>
    </row>
    <row r="600" spans="1:11">
      <c r="A600" t="s">
        <v>1</v>
      </c>
      <c r="B600" s="3">
        <v>41675</v>
      </c>
      <c r="C600" s="3">
        <v>41675</v>
      </c>
      <c r="D600" t="s">
        <v>2</v>
      </c>
      <c r="E600" s="1">
        <v>16.328900000000001</v>
      </c>
      <c r="F600" s="1">
        <v>12083.635</v>
      </c>
      <c r="G600" s="1">
        <v>0</v>
      </c>
      <c r="H600" s="2">
        <v>196015.69</v>
      </c>
      <c r="I600" s="2">
        <v>0</v>
      </c>
      <c r="J600" s="1">
        <v>39617514.579999998</v>
      </c>
      <c r="K600" s="1">
        <v>2426215.4550000001</v>
      </c>
    </row>
    <row r="601" spans="1:11">
      <c r="A601" t="s">
        <v>1</v>
      </c>
      <c r="B601" s="3">
        <v>41676</v>
      </c>
      <c r="C601" s="3">
        <v>41676</v>
      </c>
      <c r="D601" t="s">
        <v>7</v>
      </c>
      <c r="E601" s="1">
        <v>21.377500000000001</v>
      </c>
      <c r="F601" s="1">
        <v>2576.5569999999998</v>
      </c>
      <c r="G601" s="1">
        <v>67038.622000000003</v>
      </c>
      <c r="H601" s="2">
        <v>55108.45</v>
      </c>
      <c r="I601" s="2">
        <v>-1433848.87</v>
      </c>
      <c r="J601" s="1">
        <v>277779790.85000002</v>
      </c>
      <c r="K601" s="1">
        <v>12994031.989</v>
      </c>
    </row>
    <row r="602" spans="1:11">
      <c r="A602" t="s">
        <v>1</v>
      </c>
      <c r="B602" s="3">
        <v>41676</v>
      </c>
      <c r="C602" s="3">
        <v>41676</v>
      </c>
      <c r="D602" t="s">
        <v>12</v>
      </c>
      <c r="E602" s="1">
        <v>17.104800000000001</v>
      </c>
      <c r="F602" s="1">
        <v>1185.8710000000001</v>
      </c>
      <c r="G602" s="1">
        <v>113468.952</v>
      </c>
      <c r="H602" s="2">
        <v>20295.23</v>
      </c>
      <c r="I602" s="2">
        <v>-1941930.34</v>
      </c>
      <c r="J602" s="1">
        <v>13498401.32</v>
      </c>
      <c r="K602" s="1">
        <v>789159.47600000002</v>
      </c>
    </row>
    <row r="603" spans="1:11">
      <c r="A603" t="s">
        <v>1</v>
      </c>
      <c r="B603" s="3">
        <v>41676</v>
      </c>
      <c r="C603" s="3">
        <v>41676</v>
      </c>
      <c r="D603" t="s">
        <v>6</v>
      </c>
      <c r="E603" s="1">
        <v>17.763000000000002</v>
      </c>
      <c r="F603" s="1">
        <v>4572.3249999999998</v>
      </c>
      <c r="G603" s="1">
        <v>16778.899000000001</v>
      </c>
      <c r="H603" s="2">
        <v>81263.03</v>
      </c>
      <c r="I603" s="2">
        <v>-298208.01</v>
      </c>
      <c r="J603" s="1">
        <v>34709283.020000003</v>
      </c>
      <c r="K603" s="1">
        <v>1954024.9110000001</v>
      </c>
    </row>
    <row r="604" spans="1:11">
      <c r="A604" t="s">
        <v>1</v>
      </c>
      <c r="B604" s="3">
        <v>41676</v>
      </c>
      <c r="C604" s="3">
        <v>41676</v>
      </c>
      <c r="D604" t="s">
        <v>10</v>
      </c>
      <c r="E604" s="1">
        <v>17.2056</v>
      </c>
      <c r="F604" s="1">
        <v>0</v>
      </c>
      <c r="G604" s="1">
        <v>463.31599999999997</v>
      </c>
      <c r="H604" s="2">
        <v>0</v>
      </c>
      <c r="I604" s="2">
        <v>-7975.92</v>
      </c>
      <c r="J604" s="1">
        <v>27385474.050000001</v>
      </c>
      <c r="K604" s="1">
        <v>1591662.4480000001</v>
      </c>
    </row>
    <row r="605" spans="1:11">
      <c r="A605" t="s">
        <v>1</v>
      </c>
      <c r="B605" s="3">
        <v>41676</v>
      </c>
      <c r="C605" s="3">
        <v>41676</v>
      </c>
      <c r="D605" t="s">
        <v>4</v>
      </c>
      <c r="E605" s="1">
        <v>10.633699999999999</v>
      </c>
      <c r="F605" s="1">
        <v>15.475</v>
      </c>
      <c r="G605" s="1">
        <v>0</v>
      </c>
      <c r="H605" s="2">
        <v>164.64</v>
      </c>
      <c r="I605" s="2">
        <v>0</v>
      </c>
      <c r="J605" s="1">
        <v>245071.35999999999</v>
      </c>
      <c r="K605" s="1">
        <v>23046.611000000001</v>
      </c>
    </row>
    <row r="606" spans="1:11">
      <c r="A606" t="s">
        <v>1</v>
      </c>
      <c r="B606" s="3">
        <v>41676</v>
      </c>
      <c r="C606" s="3">
        <v>41676</v>
      </c>
      <c r="D606" t="s">
        <v>3</v>
      </c>
      <c r="E606" s="1">
        <v>10.356400000000001</v>
      </c>
      <c r="F606" s="1">
        <v>0</v>
      </c>
      <c r="G606" s="1">
        <v>884.87900000000002</v>
      </c>
      <c r="H606" s="2">
        <v>0</v>
      </c>
      <c r="I606" s="2">
        <v>-9169.2900000000009</v>
      </c>
      <c r="J606" s="1">
        <v>1996718.29</v>
      </c>
      <c r="K606" s="1">
        <v>192799.82699999999</v>
      </c>
    </row>
    <row r="607" spans="1:11">
      <c r="A607" t="s">
        <v>1</v>
      </c>
      <c r="B607" s="3">
        <v>41676</v>
      </c>
      <c r="C607" s="3">
        <v>41676</v>
      </c>
      <c r="D607" t="s">
        <v>2</v>
      </c>
      <c r="E607" s="1">
        <v>16.320900000000002</v>
      </c>
      <c r="F607" s="1">
        <v>12401.683000000001</v>
      </c>
      <c r="G607" s="1">
        <v>0</v>
      </c>
      <c r="H607" s="2">
        <v>202504.98</v>
      </c>
      <c r="I607" s="2">
        <v>0</v>
      </c>
      <c r="J607" s="1">
        <v>39800500.170000002</v>
      </c>
      <c r="K607" s="1">
        <v>2438617.1379999998</v>
      </c>
    </row>
    <row r="608" spans="1:11">
      <c r="A608" t="s">
        <v>1</v>
      </c>
      <c r="B608" s="3">
        <v>41676</v>
      </c>
      <c r="C608" s="3">
        <v>41676</v>
      </c>
      <c r="D608" t="s">
        <v>9</v>
      </c>
      <c r="E608" s="1">
        <v>17.336300000000001</v>
      </c>
      <c r="F608" s="1">
        <v>0</v>
      </c>
      <c r="G608" s="1">
        <v>13.64</v>
      </c>
      <c r="H608" s="2">
        <v>0</v>
      </c>
      <c r="I608" s="2">
        <v>-236.58</v>
      </c>
      <c r="J608" s="1">
        <v>1031020.2</v>
      </c>
      <c r="K608" s="1">
        <v>59471.724000000002</v>
      </c>
    </row>
    <row r="609" spans="1:11">
      <c r="A609" t="s">
        <v>1</v>
      </c>
      <c r="B609" s="3">
        <v>41677</v>
      </c>
      <c r="C609" s="3">
        <v>41677</v>
      </c>
      <c r="D609" t="s">
        <v>8</v>
      </c>
      <c r="E609" s="1">
        <v>17.507000000000001</v>
      </c>
      <c r="F609" s="1">
        <v>23.449000000000002</v>
      </c>
      <c r="G609" s="1">
        <v>0</v>
      </c>
      <c r="H609" s="2">
        <v>405.54</v>
      </c>
      <c r="I609" s="2">
        <v>0</v>
      </c>
      <c r="J609" s="1">
        <v>6735395.6399999997</v>
      </c>
      <c r="K609" s="1">
        <v>384724.86499999999</v>
      </c>
    </row>
    <row r="610" spans="1:11">
      <c r="A610" t="s">
        <v>1</v>
      </c>
      <c r="B610" s="3">
        <v>41677</v>
      </c>
      <c r="C610" s="3">
        <v>41677</v>
      </c>
      <c r="D610" t="s">
        <v>7</v>
      </c>
      <c r="E610" s="1">
        <v>21.6403</v>
      </c>
      <c r="F610" s="1">
        <v>66134.144</v>
      </c>
      <c r="G610" s="1">
        <v>890.38499999999999</v>
      </c>
      <c r="H610" s="2">
        <v>1413782.64</v>
      </c>
      <c r="I610" s="2">
        <v>-19034.2</v>
      </c>
      <c r="J610" s="1">
        <v>282607142.56</v>
      </c>
      <c r="K610" s="1">
        <v>13059275.748</v>
      </c>
    </row>
    <row r="611" spans="1:11">
      <c r="A611" t="s">
        <v>1</v>
      </c>
      <c r="B611" s="3">
        <v>41677</v>
      </c>
      <c r="C611" s="3">
        <v>41677</v>
      </c>
      <c r="D611" t="s">
        <v>12</v>
      </c>
      <c r="E611" s="1">
        <v>17.314399999999999</v>
      </c>
      <c r="F611" s="1">
        <v>12296.143</v>
      </c>
      <c r="G611" s="1">
        <v>0</v>
      </c>
      <c r="H611" s="2">
        <v>210323.06</v>
      </c>
      <c r="I611" s="2">
        <v>0</v>
      </c>
      <c r="J611" s="1">
        <v>13876717.26</v>
      </c>
      <c r="K611" s="1">
        <v>801455.61899999995</v>
      </c>
    </row>
    <row r="612" spans="1:11">
      <c r="A612" t="s">
        <v>1</v>
      </c>
      <c r="B612" s="3">
        <v>41677</v>
      </c>
      <c r="C612" s="3">
        <v>41677</v>
      </c>
      <c r="D612" t="s">
        <v>6</v>
      </c>
      <c r="E612" s="1">
        <v>17.980599999999999</v>
      </c>
      <c r="F612" s="1">
        <v>36298.430999999997</v>
      </c>
      <c r="G612" s="1">
        <v>48.752000000000002</v>
      </c>
      <c r="H612" s="2">
        <v>644769</v>
      </c>
      <c r="I612" s="2">
        <v>-865.98</v>
      </c>
      <c r="J612" s="1">
        <v>35786419.869999997</v>
      </c>
      <c r="K612" s="1">
        <v>1990274.59</v>
      </c>
    </row>
    <row r="613" spans="1:11">
      <c r="A613" t="s">
        <v>1</v>
      </c>
      <c r="B613" s="3">
        <v>41677</v>
      </c>
      <c r="C613" s="3">
        <v>41677</v>
      </c>
      <c r="D613" t="s">
        <v>10</v>
      </c>
      <c r="E613" s="1">
        <v>17.4817</v>
      </c>
      <c r="F613" s="1">
        <v>2979.71</v>
      </c>
      <c r="G613" s="1">
        <v>0</v>
      </c>
      <c r="H613" s="2">
        <v>51267.64</v>
      </c>
      <c r="I613" s="2">
        <v>0</v>
      </c>
      <c r="J613" s="1">
        <v>27877075.640000001</v>
      </c>
      <c r="K613" s="1">
        <v>1594642.1580000001</v>
      </c>
    </row>
    <row r="614" spans="1:11">
      <c r="A614" t="s">
        <v>1</v>
      </c>
      <c r="B614" s="3">
        <v>41677</v>
      </c>
      <c r="C614" s="3">
        <v>41677</v>
      </c>
      <c r="D614" t="s">
        <v>5</v>
      </c>
      <c r="E614" s="1">
        <v>16.642299999999999</v>
      </c>
      <c r="F614" s="1">
        <v>142897</v>
      </c>
      <c r="G614" s="1">
        <v>0</v>
      </c>
      <c r="H614" s="2">
        <v>2349198.1</v>
      </c>
      <c r="I614" s="2">
        <v>0</v>
      </c>
      <c r="J614" s="1">
        <v>21206797.949999999</v>
      </c>
      <c r="K614" s="1">
        <v>1274273.1359999999</v>
      </c>
    </row>
    <row r="615" spans="1:11">
      <c r="A615" t="s">
        <v>1</v>
      </c>
      <c r="B615" s="3">
        <v>41677</v>
      </c>
      <c r="C615" s="3">
        <v>41677</v>
      </c>
      <c r="D615" t="s">
        <v>4</v>
      </c>
      <c r="E615" s="1">
        <v>10.7645</v>
      </c>
      <c r="F615" s="1">
        <v>963.18299999999999</v>
      </c>
      <c r="G615" s="1">
        <v>0</v>
      </c>
      <c r="H615" s="2">
        <v>10242.200000000001</v>
      </c>
      <c r="I615" s="2">
        <v>0</v>
      </c>
      <c r="J615" s="1">
        <v>258452.78</v>
      </c>
      <c r="K615" s="1">
        <v>24009.794000000002</v>
      </c>
    </row>
    <row r="616" spans="1:11">
      <c r="A616" t="s">
        <v>1</v>
      </c>
      <c r="B616" s="3">
        <v>41677</v>
      </c>
      <c r="C616" s="3">
        <v>41677</v>
      </c>
      <c r="D616" t="s">
        <v>2</v>
      </c>
      <c r="E616" s="1">
        <v>16.521899999999999</v>
      </c>
      <c r="F616" s="1">
        <v>22433.453000000001</v>
      </c>
      <c r="G616" s="1">
        <v>0</v>
      </c>
      <c r="H616" s="2">
        <v>366132.52</v>
      </c>
      <c r="I616" s="2">
        <v>0</v>
      </c>
      <c r="J616" s="1">
        <v>40661328.700000003</v>
      </c>
      <c r="K616" s="1">
        <v>2461050.591</v>
      </c>
    </row>
    <row r="617" spans="1:11">
      <c r="A617" t="s">
        <v>1</v>
      </c>
      <c r="B617" s="3">
        <v>41680</v>
      </c>
      <c r="C617" s="3">
        <v>41680</v>
      </c>
      <c r="D617" t="s">
        <v>7</v>
      </c>
      <c r="E617" s="1">
        <v>21.920200000000001</v>
      </c>
      <c r="F617" s="1">
        <v>50434.684999999998</v>
      </c>
      <c r="G617" s="1">
        <v>1650.9780000000001</v>
      </c>
      <c r="H617" s="2">
        <v>1091421.72</v>
      </c>
      <c r="I617" s="2">
        <v>-35727.65</v>
      </c>
      <c r="J617" s="1">
        <v>287331396.76999998</v>
      </c>
      <c r="K617" s="1">
        <v>13108059.455</v>
      </c>
    </row>
    <row r="618" spans="1:11">
      <c r="A618" t="s">
        <v>1</v>
      </c>
      <c r="B618" s="3">
        <v>41680</v>
      </c>
      <c r="C618" s="3">
        <v>41680</v>
      </c>
      <c r="D618" t="s">
        <v>12</v>
      </c>
      <c r="E618" s="1">
        <v>17.536200000000001</v>
      </c>
      <c r="F618" s="1">
        <v>150683.52600000001</v>
      </c>
      <c r="G618" s="1">
        <v>2486.933</v>
      </c>
      <c r="H618" s="2">
        <v>2608994.85</v>
      </c>
      <c r="I618" s="2">
        <v>-43059.75</v>
      </c>
      <c r="J618" s="1">
        <v>16653275.029999999</v>
      </c>
      <c r="K618" s="1">
        <v>949652.21200000006</v>
      </c>
    </row>
    <row r="619" spans="1:11">
      <c r="A619" t="s">
        <v>1</v>
      </c>
      <c r="B619" s="3">
        <v>41680</v>
      </c>
      <c r="C619" s="3">
        <v>41680</v>
      </c>
      <c r="D619" t="s">
        <v>6</v>
      </c>
      <c r="E619" s="1">
        <v>18.210999999999999</v>
      </c>
      <c r="F619" s="1">
        <v>34141.546999999999</v>
      </c>
      <c r="G619" s="1">
        <v>6531.2240000000002</v>
      </c>
      <c r="H619" s="2">
        <v>613885.59</v>
      </c>
      <c r="I619" s="2">
        <v>-117435.32</v>
      </c>
      <c r="J619" s="1">
        <v>36747636.710000001</v>
      </c>
      <c r="K619" s="1">
        <v>2017884.9129999999</v>
      </c>
    </row>
    <row r="620" spans="1:11">
      <c r="A620" t="s">
        <v>1</v>
      </c>
      <c r="B620" s="3">
        <v>41680</v>
      </c>
      <c r="C620" s="3">
        <v>41680</v>
      </c>
      <c r="D620" t="s">
        <v>4</v>
      </c>
      <c r="E620" s="1">
        <v>10.903700000000001</v>
      </c>
      <c r="F620" s="1">
        <v>91.933000000000007</v>
      </c>
      <c r="G620" s="1">
        <v>0</v>
      </c>
      <c r="H620" s="2">
        <v>989.61</v>
      </c>
      <c r="I620" s="2">
        <v>0</v>
      </c>
      <c r="J620" s="1">
        <v>262797.7</v>
      </c>
      <c r="K620" s="1">
        <v>24101.726999999999</v>
      </c>
    </row>
    <row r="621" spans="1:11">
      <c r="A621" t="s">
        <v>1</v>
      </c>
      <c r="B621" s="3">
        <v>41680</v>
      </c>
      <c r="C621" s="3">
        <v>41680</v>
      </c>
      <c r="D621" t="s">
        <v>3</v>
      </c>
      <c r="E621" s="1">
        <v>10.617599999999999</v>
      </c>
      <c r="F621" s="1">
        <v>4005.9589999999998</v>
      </c>
      <c r="G621" s="1">
        <v>0</v>
      </c>
      <c r="H621" s="2">
        <v>41995.67</v>
      </c>
      <c r="I621" s="2">
        <v>0</v>
      </c>
      <c r="J621" s="1">
        <v>2089611.02</v>
      </c>
      <c r="K621" s="1">
        <v>196805.78599999999</v>
      </c>
    </row>
    <row r="622" spans="1:11">
      <c r="A622" t="s">
        <v>1</v>
      </c>
      <c r="B622" s="3">
        <v>41680</v>
      </c>
      <c r="C622" s="3">
        <v>41680</v>
      </c>
      <c r="D622" t="s">
        <v>2</v>
      </c>
      <c r="E622" s="1">
        <v>16.736599999999999</v>
      </c>
      <c r="F622" s="1">
        <v>14515.822</v>
      </c>
      <c r="G622" s="1">
        <v>0</v>
      </c>
      <c r="H622" s="2">
        <v>239828.58</v>
      </c>
      <c r="I622" s="2">
        <v>0</v>
      </c>
      <c r="J622" s="1">
        <v>41432645.829999998</v>
      </c>
      <c r="K622" s="1">
        <v>2475566.4130000002</v>
      </c>
    </row>
    <row r="623" spans="1:11">
      <c r="A623" t="s">
        <v>1</v>
      </c>
      <c r="B623" s="3">
        <v>41680</v>
      </c>
      <c r="C623" s="3">
        <v>41680</v>
      </c>
      <c r="D623" t="s">
        <v>9</v>
      </c>
      <c r="E623" s="1">
        <v>17.7774</v>
      </c>
      <c r="F623" s="1">
        <v>0</v>
      </c>
      <c r="G623" s="1">
        <v>3.6709999999999998</v>
      </c>
      <c r="H623" s="2">
        <v>0</v>
      </c>
      <c r="I623" s="2">
        <v>-64.430000000000007</v>
      </c>
      <c r="J623" s="1">
        <v>1057187.04</v>
      </c>
      <c r="K623" s="1">
        <v>59468.053</v>
      </c>
    </row>
    <row r="624" spans="1:11">
      <c r="A624" t="s">
        <v>1</v>
      </c>
      <c r="B624" s="3">
        <v>41681</v>
      </c>
      <c r="C624" s="3">
        <v>41681</v>
      </c>
      <c r="D624" t="s">
        <v>8</v>
      </c>
      <c r="E624" s="1">
        <v>17.667899999999999</v>
      </c>
      <c r="F624" s="1">
        <v>23.059000000000001</v>
      </c>
      <c r="G624" s="1">
        <v>0</v>
      </c>
      <c r="H624" s="2">
        <v>408.92</v>
      </c>
      <c r="I624" s="2">
        <v>0</v>
      </c>
      <c r="J624" s="1">
        <v>6797693.0099999998</v>
      </c>
      <c r="K624" s="1">
        <v>384747.924</v>
      </c>
    </row>
    <row r="625" spans="1:11">
      <c r="A625" t="s">
        <v>1</v>
      </c>
      <c r="B625" s="3">
        <v>41681</v>
      </c>
      <c r="C625" s="3">
        <v>41681</v>
      </c>
      <c r="D625" t="s">
        <v>7</v>
      </c>
      <c r="E625" s="1">
        <v>21.839200000000002</v>
      </c>
      <c r="F625" s="1">
        <v>11460.583000000001</v>
      </c>
      <c r="G625" s="1">
        <v>56267.845999999998</v>
      </c>
      <c r="H625" s="2">
        <v>251218.3</v>
      </c>
      <c r="I625" s="2">
        <v>-1233402.44</v>
      </c>
      <c r="J625" s="1">
        <v>285290794.43000001</v>
      </c>
      <c r="K625" s="1">
        <v>13063252.192</v>
      </c>
    </row>
    <row r="626" spans="1:11">
      <c r="A626" t="s">
        <v>1</v>
      </c>
      <c r="B626" s="3">
        <v>41681</v>
      </c>
      <c r="C626" s="3">
        <v>41681</v>
      </c>
      <c r="D626" t="s">
        <v>12</v>
      </c>
      <c r="E626" s="1">
        <v>17.470600000000001</v>
      </c>
      <c r="F626" s="1">
        <v>1438.902</v>
      </c>
      <c r="G626" s="1">
        <v>51960.247000000003</v>
      </c>
      <c r="H626" s="2">
        <v>25232.87</v>
      </c>
      <c r="I626" s="2">
        <v>-911185.28</v>
      </c>
      <c r="J626" s="1">
        <v>15708394.689999999</v>
      </c>
      <c r="K626" s="1">
        <v>899130.86699999997</v>
      </c>
    </row>
    <row r="627" spans="1:11">
      <c r="A627" t="s">
        <v>1</v>
      </c>
      <c r="B627" s="3">
        <v>41681</v>
      </c>
      <c r="C627" s="3">
        <v>41681</v>
      </c>
      <c r="D627" t="s">
        <v>6</v>
      </c>
      <c r="E627" s="1">
        <v>18.142900000000001</v>
      </c>
      <c r="F627" s="1">
        <v>223.387</v>
      </c>
      <c r="G627" s="1">
        <v>41381.186000000002</v>
      </c>
      <c r="H627" s="2">
        <v>4068.09</v>
      </c>
      <c r="I627" s="2">
        <v>-753592.76</v>
      </c>
      <c r="J627" s="1">
        <v>35863574.640000001</v>
      </c>
      <c r="K627" s="1">
        <v>1976727.1140000001</v>
      </c>
    </row>
    <row r="628" spans="1:11">
      <c r="A628" t="s">
        <v>1</v>
      </c>
      <c r="B628" s="3">
        <v>41681</v>
      </c>
      <c r="C628" s="3">
        <v>41681</v>
      </c>
      <c r="D628" t="s">
        <v>10</v>
      </c>
      <c r="E628" s="1">
        <v>17.764600000000002</v>
      </c>
      <c r="F628" s="1">
        <v>1150.5309999999999</v>
      </c>
      <c r="G628" s="1">
        <v>0</v>
      </c>
      <c r="H628" s="2">
        <v>20463.54</v>
      </c>
      <c r="I628" s="2">
        <v>0</v>
      </c>
      <c r="J628" s="1">
        <v>28348540.690000001</v>
      </c>
      <c r="K628" s="1">
        <v>1595792.689</v>
      </c>
    </row>
    <row r="629" spans="1:11">
      <c r="A629" t="s">
        <v>1</v>
      </c>
      <c r="B629" s="3">
        <v>41681</v>
      </c>
      <c r="C629" s="3">
        <v>41681</v>
      </c>
      <c r="D629" t="s">
        <v>5</v>
      </c>
      <c r="E629" s="1">
        <v>16.796600000000002</v>
      </c>
      <c r="F629" s="1">
        <v>0</v>
      </c>
      <c r="G629" s="1">
        <v>165271</v>
      </c>
      <c r="H629" s="2">
        <v>0</v>
      </c>
      <c r="I629" s="2">
        <v>-2786221.15</v>
      </c>
      <c r="J629" s="1">
        <v>18627426.27</v>
      </c>
      <c r="K629" s="1">
        <v>1109002.1359999999</v>
      </c>
    </row>
    <row r="630" spans="1:11">
      <c r="A630" t="s">
        <v>1</v>
      </c>
      <c r="B630" s="3">
        <v>41681</v>
      </c>
      <c r="C630" s="3">
        <v>41681</v>
      </c>
      <c r="D630" t="s">
        <v>2</v>
      </c>
      <c r="E630" s="1">
        <v>16.6751</v>
      </c>
      <c r="F630" s="1">
        <v>15843.377</v>
      </c>
      <c r="G630" s="1">
        <v>1300</v>
      </c>
      <c r="H630" s="2">
        <v>265163.65000000002</v>
      </c>
      <c r="I630" s="2">
        <v>-21757.53</v>
      </c>
      <c r="J630" s="1">
        <v>41522863.210000001</v>
      </c>
      <c r="K630" s="1">
        <v>2490109.79</v>
      </c>
    </row>
    <row r="631" spans="1:11">
      <c r="A631" t="s">
        <v>1</v>
      </c>
      <c r="B631" s="3">
        <v>41681</v>
      </c>
      <c r="C631" s="3">
        <v>41681</v>
      </c>
      <c r="D631" t="s">
        <v>9</v>
      </c>
      <c r="E631" s="1">
        <v>17.7119</v>
      </c>
      <c r="F631" s="1">
        <v>23.196000000000002</v>
      </c>
      <c r="G631" s="1">
        <v>9.5139999999999993</v>
      </c>
      <c r="H631" s="2">
        <v>412.37</v>
      </c>
      <c r="I631" s="2">
        <v>-169.13</v>
      </c>
      <c r="J631" s="1">
        <v>1053536.25</v>
      </c>
      <c r="K631" s="1">
        <v>59481.735000000001</v>
      </c>
    </row>
    <row r="632" spans="1:11">
      <c r="A632" t="s">
        <v>1</v>
      </c>
      <c r="B632" s="3">
        <v>41682</v>
      </c>
      <c r="C632" s="3">
        <v>41682</v>
      </c>
      <c r="D632" t="s">
        <v>7</v>
      </c>
      <c r="E632" s="1">
        <v>22.093900000000001</v>
      </c>
      <c r="F632" s="1">
        <v>1004492.828</v>
      </c>
      <c r="G632" s="1">
        <v>13763.135</v>
      </c>
      <c r="H632" s="2">
        <v>21937319.800000001</v>
      </c>
      <c r="I632" s="2">
        <v>-300575.86</v>
      </c>
      <c r="J632" s="1">
        <v>310507067.01999998</v>
      </c>
      <c r="K632" s="1">
        <v>14053981.885</v>
      </c>
    </row>
    <row r="633" spans="1:11">
      <c r="A633" t="s">
        <v>1</v>
      </c>
      <c r="B633" s="3">
        <v>41682</v>
      </c>
      <c r="C633" s="3">
        <v>41682</v>
      </c>
      <c r="D633" t="s">
        <v>12</v>
      </c>
      <c r="E633" s="1">
        <v>17.6737</v>
      </c>
      <c r="F633" s="1">
        <v>2281.587</v>
      </c>
      <c r="G633" s="1">
        <v>0</v>
      </c>
      <c r="H633" s="2">
        <v>39860.71</v>
      </c>
      <c r="I633" s="2">
        <v>0</v>
      </c>
      <c r="J633" s="1">
        <v>15931271.560000001</v>
      </c>
      <c r="K633" s="1">
        <v>901412.45400000003</v>
      </c>
    </row>
    <row r="634" spans="1:11">
      <c r="A634" t="s">
        <v>1</v>
      </c>
      <c r="B634" s="3">
        <v>41682</v>
      </c>
      <c r="C634" s="3">
        <v>41682</v>
      </c>
      <c r="D634" t="s">
        <v>6</v>
      </c>
      <c r="E634" s="1">
        <v>18.3538</v>
      </c>
      <c r="F634" s="1">
        <v>42149.279999999999</v>
      </c>
      <c r="G634" s="1">
        <v>90.317999999999998</v>
      </c>
      <c r="H634" s="2">
        <v>764710.15</v>
      </c>
      <c r="I634" s="2">
        <v>-1638.63</v>
      </c>
      <c r="J634" s="1">
        <v>37052297.57</v>
      </c>
      <c r="K634" s="1">
        <v>2018786.0759999999</v>
      </c>
    </row>
    <row r="635" spans="1:11">
      <c r="A635" t="s">
        <v>1</v>
      </c>
      <c r="B635" s="3">
        <v>41682</v>
      </c>
      <c r="C635" s="3">
        <v>41682</v>
      </c>
      <c r="D635" t="s">
        <v>10</v>
      </c>
      <c r="E635" s="1">
        <v>17.855899999999998</v>
      </c>
      <c r="F635" s="1">
        <v>26800</v>
      </c>
      <c r="G635" s="1">
        <v>638906.196</v>
      </c>
      <c r="H635" s="2">
        <v>476089.49</v>
      </c>
      <c r="I635" s="2">
        <v>-11349870.35</v>
      </c>
      <c r="J635" s="1">
        <v>17564653.870000001</v>
      </c>
      <c r="K635" s="1">
        <v>983686.49300000002</v>
      </c>
    </row>
    <row r="636" spans="1:11">
      <c r="A636" t="s">
        <v>1</v>
      </c>
      <c r="B636" s="3">
        <v>41682</v>
      </c>
      <c r="C636" s="3">
        <v>41682</v>
      </c>
      <c r="D636" t="s">
        <v>5</v>
      </c>
      <c r="E636" s="1">
        <v>16.992799999999999</v>
      </c>
      <c r="F636" s="1">
        <v>48542</v>
      </c>
      <c r="G636" s="1">
        <v>0</v>
      </c>
      <c r="H636" s="2">
        <v>815340.56</v>
      </c>
      <c r="I636" s="2">
        <v>0</v>
      </c>
      <c r="J636" s="1">
        <v>19669916.719999999</v>
      </c>
      <c r="K636" s="1">
        <v>1157544.1359999999</v>
      </c>
    </row>
    <row r="637" spans="1:11">
      <c r="A637" t="s">
        <v>1</v>
      </c>
      <c r="B637" s="3">
        <v>41682</v>
      </c>
      <c r="C637" s="3">
        <v>41682</v>
      </c>
      <c r="D637" t="s">
        <v>4</v>
      </c>
      <c r="E637" s="1">
        <v>10.9901</v>
      </c>
      <c r="F637" s="1">
        <v>10343.666999999999</v>
      </c>
      <c r="G637" s="1">
        <v>0</v>
      </c>
      <c r="H637" s="2">
        <v>112367.39</v>
      </c>
      <c r="I637" s="2">
        <v>0</v>
      </c>
      <c r="J637" s="1">
        <v>378557.75</v>
      </c>
      <c r="K637" s="1">
        <v>34445.394</v>
      </c>
    </row>
    <row r="638" spans="1:11">
      <c r="A638" t="s">
        <v>1</v>
      </c>
      <c r="B638" s="3">
        <v>41682</v>
      </c>
      <c r="C638" s="3">
        <v>41682</v>
      </c>
      <c r="D638" t="s">
        <v>3</v>
      </c>
      <c r="E638" s="1">
        <v>10.700900000000001</v>
      </c>
      <c r="F638" s="1">
        <v>1517.5239999999999</v>
      </c>
      <c r="G638" s="1">
        <v>0</v>
      </c>
      <c r="H638" s="2">
        <v>16052.22</v>
      </c>
      <c r="I638" s="2">
        <v>0</v>
      </c>
      <c r="J638" s="1">
        <v>2122233.56</v>
      </c>
      <c r="K638" s="1">
        <v>198323.31</v>
      </c>
    </row>
    <row r="639" spans="1:11">
      <c r="A639" t="s">
        <v>1</v>
      </c>
      <c r="B639" s="3">
        <v>41682</v>
      </c>
      <c r="C639" s="3">
        <v>41682</v>
      </c>
      <c r="D639" t="s">
        <v>14</v>
      </c>
      <c r="E639" s="1">
        <v>10.8881</v>
      </c>
      <c r="F639" s="1">
        <v>818.50300000000004</v>
      </c>
      <c r="G639" s="1">
        <v>0</v>
      </c>
      <c r="H639" s="2">
        <v>8809.6299999999992</v>
      </c>
      <c r="I639" s="2">
        <v>0</v>
      </c>
      <c r="J639" s="1">
        <v>447996.46</v>
      </c>
      <c r="K639" s="1">
        <v>41145.343999999997</v>
      </c>
    </row>
    <row r="640" spans="1:11">
      <c r="A640" t="s">
        <v>1</v>
      </c>
      <c r="B640" s="3">
        <v>41682</v>
      </c>
      <c r="C640" s="3">
        <v>41682</v>
      </c>
      <c r="D640" t="s">
        <v>2</v>
      </c>
      <c r="E640" s="1">
        <v>16.869900000000001</v>
      </c>
      <c r="F640" s="1">
        <v>69559.731</v>
      </c>
      <c r="G640" s="1">
        <v>0</v>
      </c>
      <c r="H640" s="2">
        <v>1159912.53</v>
      </c>
      <c r="I640" s="2">
        <v>0</v>
      </c>
      <c r="J640" s="1">
        <v>43181438.740000002</v>
      </c>
      <c r="K640" s="1">
        <v>2559669.5210000002</v>
      </c>
    </row>
    <row r="641" spans="1:11">
      <c r="A641" t="s">
        <v>1</v>
      </c>
      <c r="B641" s="3">
        <v>41682</v>
      </c>
      <c r="C641" s="3">
        <v>41682</v>
      </c>
      <c r="D641" t="s">
        <v>9</v>
      </c>
      <c r="E641" s="1">
        <v>17.918700000000001</v>
      </c>
      <c r="F641" s="1">
        <v>0</v>
      </c>
      <c r="G641" s="1">
        <v>1267.3</v>
      </c>
      <c r="H641" s="2">
        <v>0</v>
      </c>
      <c r="I641" s="2">
        <v>-22446.38</v>
      </c>
      <c r="J641" s="1">
        <v>1043129.02</v>
      </c>
      <c r="K641" s="1">
        <v>58214.434999999998</v>
      </c>
    </row>
    <row r="642" spans="1:11">
      <c r="A642" t="s">
        <v>1</v>
      </c>
      <c r="B642" s="3">
        <v>41683</v>
      </c>
      <c r="C642" s="3">
        <v>41683</v>
      </c>
      <c r="D642" t="s">
        <v>7</v>
      </c>
      <c r="E642" s="1">
        <v>22.0868</v>
      </c>
      <c r="F642" s="1">
        <v>22314.447</v>
      </c>
      <c r="G642" s="1">
        <v>5830.9</v>
      </c>
      <c r="H642" s="2">
        <v>493013.17</v>
      </c>
      <c r="I642" s="2">
        <v>-128827.31</v>
      </c>
      <c r="J642" s="1">
        <v>310771593.25</v>
      </c>
      <c r="K642" s="1">
        <v>14070465.432</v>
      </c>
    </row>
    <row r="643" spans="1:11">
      <c r="A643" t="s">
        <v>1</v>
      </c>
      <c r="B643" s="3">
        <v>41683</v>
      </c>
      <c r="C643" s="3">
        <v>41683</v>
      </c>
      <c r="D643" t="s">
        <v>12</v>
      </c>
      <c r="E643" s="1">
        <v>17.667300000000001</v>
      </c>
      <c r="F643" s="1">
        <v>6478.7039999999997</v>
      </c>
      <c r="G643" s="1">
        <v>6518.6210000000001</v>
      </c>
      <c r="H643" s="2">
        <v>114502.67</v>
      </c>
      <c r="I643" s="2">
        <v>-115208.15</v>
      </c>
      <c r="J643" s="1">
        <v>15924804.35</v>
      </c>
      <c r="K643" s="1">
        <v>901372.53700000001</v>
      </c>
    </row>
    <row r="644" spans="1:11">
      <c r="A644" t="s">
        <v>1</v>
      </c>
      <c r="B644" s="3">
        <v>41683</v>
      </c>
      <c r="C644" s="3">
        <v>41683</v>
      </c>
      <c r="D644" t="s">
        <v>6</v>
      </c>
      <c r="E644" s="1">
        <v>18.347100000000001</v>
      </c>
      <c r="F644" s="1">
        <v>17294.881000000001</v>
      </c>
      <c r="G644" s="1">
        <v>13853.017</v>
      </c>
      <c r="H644" s="2">
        <v>317426.78999999998</v>
      </c>
      <c r="I644" s="2">
        <v>-254255.51</v>
      </c>
      <c r="J644" s="1">
        <v>37102045.030000001</v>
      </c>
      <c r="K644" s="1">
        <v>2022227.94</v>
      </c>
    </row>
    <row r="645" spans="1:11">
      <c r="A645" t="s">
        <v>1</v>
      </c>
      <c r="B645" s="3">
        <v>41683</v>
      </c>
      <c r="C645" s="3">
        <v>41683</v>
      </c>
      <c r="D645" t="s">
        <v>10</v>
      </c>
      <c r="E645" s="1">
        <v>17.959700000000002</v>
      </c>
      <c r="F645" s="1">
        <v>0</v>
      </c>
      <c r="G645" s="1">
        <v>10136.42</v>
      </c>
      <c r="H645" s="2">
        <v>0</v>
      </c>
      <c r="I645" s="2">
        <v>-180994.74</v>
      </c>
      <c r="J645" s="1">
        <v>17484687.870000001</v>
      </c>
      <c r="K645" s="1">
        <v>973550.07299999997</v>
      </c>
    </row>
    <row r="646" spans="1:11">
      <c r="A646" t="s">
        <v>1</v>
      </c>
      <c r="B646" s="3">
        <v>41683</v>
      </c>
      <c r="C646" s="3">
        <v>41683</v>
      </c>
      <c r="D646" t="s">
        <v>5</v>
      </c>
      <c r="E646" s="1">
        <v>16.9877</v>
      </c>
      <c r="F646" s="1">
        <v>0</v>
      </c>
      <c r="G646" s="1">
        <v>27584</v>
      </c>
      <c r="H646" s="2">
        <v>0</v>
      </c>
      <c r="I646" s="2">
        <v>-468729.4</v>
      </c>
      <c r="J646" s="1">
        <v>19195426.300000001</v>
      </c>
      <c r="K646" s="1">
        <v>1129960.1359999999</v>
      </c>
    </row>
    <row r="647" spans="1:11">
      <c r="A647" t="s">
        <v>1</v>
      </c>
      <c r="B647" s="3">
        <v>41683</v>
      </c>
      <c r="C647" s="3">
        <v>41683</v>
      </c>
      <c r="D647" t="s">
        <v>4</v>
      </c>
      <c r="E647" s="1">
        <v>10.986599999999999</v>
      </c>
      <c r="F647" s="1">
        <v>0</v>
      </c>
      <c r="G647" s="1">
        <v>493.142</v>
      </c>
      <c r="H647" s="2">
        <v>0</v>
      </c>
      <c r="I647" s="2">
        <v>-5419.68</v>
      </c>
      <c r="J647" s="1">
        <v>373018.45</v>
      </c>
      <c r="K647" s="1">
        <v>33952.252</v>
      </c>
    </row>
    <row r="648" spans="1:11">
      <c r="A648" t="s">
        <v>1</v>
      </c>
      <c r="B648" s="3">
        <v>41683</v>
      </c>
      <c r="C648" s="3">
        <v>41683</v>
      </c>
      <c r="D648" t="s">
        <v>3</v>
      </c>
      <c r="E648" s="1">
        <v>10.696999999999999</v>
      </c>
      <c r="F648" s="1">
        <v>786.21100000000001</v>
      </c>
      <c r="G648" s="1">
        <v>2468.4499999999998</v>
      </c>
      <c r="H648" s="2">
        <v>8413.16</v>
      </c>
      <c r="I648" s="2">
        <v>-26414.639999999999</v>
      </c>
      <c r="J648" s="1">
        <v>2103471.0099999998</v>
      </c>
      <c r="K648" s="1">
        <v>196641.071</v>
      </c>
    </row>
    <row r="649" spans="1:11">
      <c r="A649" t="s">
        <v>1</v>
      </c>
      <c r="B649" s="3">
        <v>41683</v>
      </c>
      <c r="C649" s="3">
        <v>41683</v>
      </c>
      <c r="D649" t="s">
        <v>2</v>
      </c>
      <c r="E649" s="1">
        <v>16.864899999999999</v>
      </c>
      <c r="F649" s="1">
        <v>12278.725</v>
      </c>
      <c r="G649" s="1">
        <v>0</v>
      </c>
      <c r="H649" s="2">
        <v>207140.76</v>
      </c>
      <c r="I649" s="2">
        <v>0</v>
      </c>
      <c r="J649" s="1">
        <v>43375561.469999999</v>
      </c>
      <c r="K649" s="1">
        <v>2571948.2459999998</v>
      </c>
    </row>
    <row r="650" spans="1:11">
      <c r="A650" t="s">
        <v>1</v>
      </c>
      <c r="B650" s="3">
        <v>41683</v>
      </c>
      <c r="C650" s="3">
        <v>41683</v>
      </c>
      <c r="D650" t="s">
        <v>9</v>
      </c>
      <c r="E650" s="1">
        <v>17.9132</v>
      </c>
      <c r="F650" s="1">
        <v>0</v>
      </c>
      <c r="G650" s="1">
        <v>3.7719999999999998</v>
      </c>
      <c r="H650" s="2">
        <v>0</v>
      </c>
      <c r="I650" s="2">
        <v>-67.59</v>
      </c>
      <c r="J650" s="1">
        <v>1042741.36</v>
      </c>
      <c r="K650" s="1">
        <v>58210.663</v>
      </c>
    </row>
    <row r="651" spans="1:11">
      <c r="A651" t="s">
        <v>1</v>
      </c>
      <c r="B651" s="3">
        <v>41684</v>
      </c>
      <c r="C651" s="3">
        <v>41684</v>
      </c>
      <c r="D651" t="s">
        <v>7</v>
      </c>
      <c r="E651" s="1">
        <v>22.1342</v>
      </c>
      <c r="F651" s="1">
        <v>16155.459000000001</v>
      </c>
      <c r="G651" s="1">
        <v>164637.31899999999</v>
      </c>
      <c r="H651" s="2">
        <v>356822.42</v>
      </c>
      <c r="I651" s="2">
        <v>-3636311.51</v>
      </c>
      <c r="J651" s="1">
        <v>308151654.48000002</v>
      </c>
      <c r="K651" s="1">
        <v>13921983.572000001</v>
      </c>
    </row>
    <row r="652" spans="1:11">
      <c r="A652" t="s">
        <v>1</v>
      </c>
      <c r="B652" s="3">
        <v>41684</v>
      </c>
      <c r="C652" s="3">
        <v>41684</v>
      </c>
      <c r="D652" t="s">
        <v>12</v>
      </c>
      <c r="E652" s="1">
        <v>17.704499999999999</v>
      </c>
      <c r="F652" s="1">
        <v>470.01299999999998</v>
      </c>
      <c r="G652" s="1">
        <v>35532.847000000002</v>
      </c>
      <c r="H652" s="2">
        <v>8303.86</v>
      </c>
      <c r="I652" s="2">
        <v>-627769.47</v>
      </c>
      <c r="J652" s="1">
        <v>15337538.689999999</v>
      </c>
      <c r="K652" s="1">
        <v>866309.70299999998</v>
      </c>
    </row>
    <row r="653" spans="1:11">
      <c r="A653" t="s">
        <v>1</v>
      </c>
      <c r="B653" s="3">
        <v>41684</v>
      </c>
      <c r="C653" s="3">
        <v>41684</v>
      </c>
      <c r="D653" t="s">
        <v>6</v>
      </c>
      <c r="E653" s="1">
        <v>18.3857</v>
      </c>
      <c r="F653" s="1">
        <v>291.51600000000002</v>
      </c>
      <c r="G653" s="1">
        <v>6552.3720000000003</v>
      </c>
      <c r="H653" s="2">
        <v>5348.48</v>
      </c>
      <c r="I653" s="2">
        <v>-120217.02</v>
      </c>
      <c r="J653" s="1">
        <v>37064991.509999998</v>
      </c>
      <c r="K653" s="1">
        <v>2015967.084</v>
      </c>
    </row>
    <row r="654" spans="1:11">
      <c r="A654" t="s">
        <v>1</v>
      </c>
      <c r="B654" s="3">
        <v>41684</v>
      </c>
      <c r="C654" s="3">
        <v>41684</v>
      </c>
      <c r="D654" t="s">
        <v>10</v>
      </c>
      <c r="E654" s="1">
        <v>18.058800000000002</v>
      </c>
      <c r="F654" s="1">
        <v>2289.6350000000002</v>
      </c>
      <c r="G654" s="1">
        <v>0</v>
      </c>
      <c r="H654" s="2">
        <v>41121.120000000003</v>
      </c>
      <c r="I654" s="2">
        <v>0</v>
      </c>
      <c r="J654" s="1">
        <v>17622484.789999999</v>
      </c>
      <c r="K654" s="1">
        <v>975839.70799999998</v>
      </c>
    </row>
    <row r="655" spans="1:11">
      <c r="A655" t="s">
        <v>1</v>
      </c>
      <c r="B655" s="3">
        <v>41684</v>
      </c>
      <c r="C655" s="3">
        <v>41684</v>
      </c>
      <c r="D655" t="s">
        <v>4</v>
      </c>
      <c r="E655" s="1">
        <v>11.0101</v>
      </c>
      <c r="F655" s="1">
        <v>0</v>
      </c>
      <c r="G655" s="1">
        <v>460.16699999999997</v>
      </c>
      <c r="H655" s="2">
        <v>0</v>
      </c>
      <c r="I655" s="2">
        <v>-5055.67</v>
      </c>
      <c r="J655" s="1">
        <v>368752.03</v>
      </c>
      <c r="K655" s="1">
        <v>33492.084999999999</v>
      </c>
    </row>
    <row r="656" spans="1:11">
      <c r="A656" t="s">
        <v>1</v>
      </c>
      <c r="B656" s="3">
        <v>41684</v>
      </c>
      <c r="C656" s="3">
        <v>41684</v>
      </c>
      <c r="D656" t="s">
        <v>2</v>
      </c>
      <c r="E656" s="1">
        <v>16.901399999999999</v>
      </c>
      <c r="F656" s="1">
        <v>21125.216</v>
      </c>
      <c r="G656" s="1">
        <v>0</v>
      </c>
      <c r="H656" s="2">
        <v>356273.57</v>
      </c>
      <c r="I656" s="2">
        <v>0</v>
      </c>
      <c r="J656" s="1">
        <v>43826535.520000003</v>
      </c>
      <c r="K656" s="1">
        <v>2593073.4619999998</v>
      </c>
    </row>
    <row r="657" spans="1:11">
      <c r="A657" t="s">
        <v>1</v>
      </c>
      <c r="B657" s="3">
        <v>41684</v>
      </c>
      <c r="C657" s="3">
        <v>41684</v>
      </c>
      <c r="D657" t="s">
        <v>9</v>
      </c>
      <c r="E657" s="1">
        <v>17.951899999999998</v>
      </c>
      <c r="F657" s="1">
        <v>1500</v>
      </c>
      <c r="G657" s="1">
        <v>0</v>
      </c>
      <c r="H657" s="2">
        <v>26869.74</v>
      </c>
      <c r="I657" s="2">
        <v>0</v>
      </c>
      <c r="J657" s="1">
        <v>1071920.01</v>
      </c>
      <c r="K657" s="1">
        <v>59710.663</v>
      </c>
    </row>
    <row r="658" spans="1:11">
      <c r="A658" t="s">
        <v>1</v>
      </c>
      <c r="B658" s="3">
        <v>41688</v>
      </c>
      <c r="C658" s="3">
        <v>41688</v>
      </c>
      <c r="D658" t="s">
        <v>7</v>
      </c>
      <c r="E658" s="1">
        <v>22.236000000000001</v>
      </c>
      <c r="F658" s="1">
        <v>2144.0650000000001</v>
      </c>
      <c r="G658" s="1">
        <v>143551.02600000001</v>
      </c>
      <c r="H658" s="2">
        <v>47457.16</v>
      </c>
      <c r="I658" s="2">
        <v>-3177387.13</v>
      </c>
      <c r="J658" s="1">
        <v>306424506.33999997</v>
      </c>
      <c r="K658" s="1">
        <v>13780576.611</v>
      </c>
    </row>
    <row r="659" spans="1:11">
      <c r="A659" t="s">
        <v>1</v>
      </c>
      <c r="B659" s="3">
        <v>41688</v>
      </c>
      <c r="C659" s="3">
        <v>41688</v>
      </c>
      <c r="D659" t="s">
        <v>12</v>
      </c>
      <c r="E659" s="1">
        <v>17.783000000000001</v>
      </c>
      <c r="F659" s="1">
        <v>1773.086</v>
      </c>
      <c r="G659" s="1">
        <v>5427.2979999999998</v>
      </c>
      <c r="H659" s="2">
        <v>31391.58</v>
      </c>
      <c r="I659" s="2">
        <v>-96087.59</v>
      </c>
      <c r="J659" s="1">
        <v>15340571.23</v>
      </c>
      <c r="K659" s="1">
        <v>862655.49100000004</v>
      </c>
    </row>
    <row r="660" spans="1:11">
      <c r="A660" t="s">
        <v>1</v>
      </c>
      <c r="B660" s="3">
        <v>41688</v>
      </c>
      <c r="C660" s="3">
        <v>41688</v>
      </c>
      <c r="D660" t="s">
        <v>6</v>
      </c>
      <c r="E660" s="1">
        <v>18.467199999999998</v>
      </c>
      <c r="F660" s="1">
        <v>2190.0349999999999</v>
      </c>
      <c r="G660" s="1">
        <v>1523.693</v>
      </c>
      <c r="H660" s="2">
        <v>40265.32</v>
      </c>
      <c r="I660" s="2">
        <v>-28014.16</v>
      </c>
      <c r="J660" s="1">
        <v>37241664.43</v>
      </c>
      <c r="K660" s="1">
        <v>2016633.426</v>
      </c>
    </row>
    <row r="661" spans="1:11">
      <c r="A661" t="s">
        <v>1</v>
      </c>
      <c r="B661" s="3">
        <v>41688</v>
      </c>
      <c r="C661" s="3">
        <v>41688</v>
      </c>
      <c r="D661" t="s">
        <v>5</v>
      </c>
      <c r="E661" s="1">
        <v>17.104199999999999</v>
      </c>
      <c r="F661" s="1">
        <v>0</v>
      </c>
      <c r="G661" s="1">
        <v>36245</v>
      </c>
      <c r="H661" s="2">
        <v>0</v>
      </c>
      <c r="I661" s="2">
        <v>-617053</v>
      </c>
      <c r="J661" s="1">
        <v>18707103.379999999</v>
      </c>
      <c r="K661" s="1">
        <v>1093715.1359999999</v>
      </c>
    </row>
    <row r="662" spans="1:11">
      <c r="A662" t="s">
        <v>1</v>
      </c>
      <c r="B662" s="3">
        <v>41688</v>
      </c>
      <c r="C662" s="3">
        <v>41688</v>
      </c>
      <c r="D662" t="s">
        <v>4</v>
      </c>
      <c r="E662" s="1">
        <v>11.0608</v>
      </c>
      <c r="F662" s="1">
        <v>0</v>
      </c>
      <c r="G662" s="1">
        <v>867.65300000000002</v>
      </c>
      <c r="H662" s="2">
        <v>0</v>
      </c>
      <c r="I662" s="2">
        <v>-9552.9500000000007</v>
      </c>
      <c r="J662" s="1">
        <v>360851.02</v>
      </c>
      <c r="K662" s="1">
        <v>32624.432000000001</v>
      </c>
    </row>
    <row r="663" spans="1:11">
      <c r="A663" t="s">
        <v>1</v>
      </c>
      <c r="B663" s="3">
        <v>41688</v>
      </c>
      <c r="C663" s="3">
        <v>41688</v>
      </c>
      <c r="D663" t="s">
        <v>14</v>
      </c>
      <c r="E663" s="1">
        <v>10.955500000000001</v>
      </c>
      <c r="F663" s="1">
        <v>0</v>
      </c>
      <c r="G663" s="1">
        <v>3026.5</v>
      </c>
      <c r="H663" s="2">
        <v>0</v>
      </c>
      <c r="I663" s="2">
        <v>-33010.339999999997</v>
      </c>
      <c r="J663" s="1">
        <v>417610.01</v>
      </c>
      <c r="K663" s="1">
        <v>38118.843999999997</v>
      </c>
    </row>
    <row r="664" spans="1:11">
      <c r="A664" t="s">
        <v>1</v>
      </c>
      <c r="B664" s="3">
        <v>41688</v>
      </c>
      <c r="C664" s="3">
        <v>41688</v>
      </c>
      <c r="D664" t="s">
        <v>2</v>
      </c>
      <c r="E664" s="1">
        <v>16.980499999999999</v>
      </c>
      <c r="F664" s="1">
        <v>3718.4389999999999</v>
      </c>
      <c r="G664" s="1">
        <v>348.84500000000003</v>
      </c>
      <c r="H664" s="2">
        <v>62847.1</v>
      </c>
      <c r="I664" s="2">
        <v>-5895.99</v>
      </c>
      <c r="J664" s="1">
        <v>44088911.789999999</v>
      </c>
      <c r="K664" s="1">
        <v>2596443.0559999999</v>
      </c>
    </row>
    <row r="665" spans="1:11">
      <c r="A665" t="s">
        <v>1</v>
      </c>
      <c r="B665" s="3">
        <v>41688</v>
      </c>
      <c r="C665" s="3">
        <v>41688</v>
      </c>
      <c r="D665" t="s">
        <v>9</v>
      </c>
      <c r="E665" s="1">
        <v>18.035399999999999</v>
      </c>
      <c r="F665" s="1">
        <v>1400</v>
      </c>
      <c r="G665" s="1">
        <v>0</v>
      </c>
      <c r="H665" s="2">
        <v>25132.62</v>
      </c>
      <c r="I665" s="2">
        <v>0</v>
      </c>
      <c r="J665" s="1">
        <v>1102158.02</v>
      </c>
      <c r="K665" s="1">
        <v>61110.663</v>
      </c>
    </row>
    <row r="666" spans="1:11">
      <c r="A666" t="s">
        <v>1</v>
      </c>
      <c r="B666" s="3">
        <v>41689</v>
      </c>
      <c r="C666" s="3">
        <v>41689</v>
      </c>
      <c r="D666" t="s">
        <v>8</v>
      </c>
      <c r="E666" s="1">
        <v>17.984200000000001</v>
      </c>
      <c r="F666" s="1">
        <v>22.891999999999999</v>
      </c>
      <c r="G666" s="1">
        <v>0</v>
      </c>
      <c r="H666" s="2">
        <v>411.8</v>
      </c>
      <c r="I666" s="2">
        <v>0</v>
      </c>
      <c r="J666" s="1">
        <v>6919790.3099999996</v>
      </c>
      <c r="K666" s="1">
        <v>384770.81599999999</v>
      </c>
    </row>
    <row r="667" spans="1:11">
      <c r="A667" t="s">
        <v>1</v>
      </c>
      <c r="B667" s="3">
        <v>41689</v>
      </c>
      <c r="C667" s="3">
        <v>41689</v>
      </c>
      <c r="D667" t="s">
        <v>15</v>
      </c>
      <c r="E667" s="1">
        <v>16.678100000000001</v>
      </c>
      <c r="F667" s="1">
        <v>1000</v>
      </c>
      <c r="G667" s="1">
        <v>0</v>
      </c>
      <c r="H667" s="2">
        <v>16682.5</v>
      </c>
      <c r="I667" s="2">
        <v>0</v>
      </c>
      <c r="J667" s="1">
        <v>16678.13</v>
      </c>
      <c r="K667" s="1">
        <v>1000</v>
      </c>
    </row>
    <row r="668" spans="1:11">
      <c r="A668" t="s">
        <v>1</v>
      </c>
      <c r="B668" s="3">
        <v>41689</v>
      </c>
      <c r="C668" s="3">
        <v>41689</v>
      </c>
      <c r="D668" t="s">
        <v>7</v>
      </c>
      <c r="E668" s="1">
        <v>22.2301</v>
      </c>
      <c r="F668" s="1">
        <v>100638.235</v>
      </c>
      <c r="G668" s="1">
        <v>8138.9669999999996</v>
      </c>
      <c r="H668" s="2">
        <v>2237791.86</v>
      </c>
      <c r="I668" s="2">
        <v>-180978.09</v>
      </c>
      <c r="J668" s="1">
        <v>308400289.50999999</v>
      </c>
      <c r="K668" s="1">
        <v>13873075.879000001</v>
      </c>
    </row>
    <row r="669" spans="1:11">
      <c r="A669" t="s">
        <v>1</v>
      </c>
      <c r="B669" s="3">
        <v>41689</v>
      </c>
      <c r="C669" s="3">
        <v>41689</v>
      </c>
      <c r="D669" t="s">
        <v>12</v>
      </c>
      <c r="E669" s="1">
        <v>17.7776</v>
      </c>
      <c r="F669" s="1">
        <v>6284.0820000000003</v>
      </c>
      <c r="G669" s="1">
        <v>7892.1130000000003</v>
      </c>
      <c r="H669" s="2">
        <v>111749.82</v>
      </c>
      <c r="I669" s="2">
        <v>-140345.45000000001</v>
      </c>
      <c r="J669" s="1">
        <v>15307324.279999999</v>
      </c>
      <c r="K669" s="1">
        <v>861047.46</v>
      </c>
    </row>
    <row r="670" spans="1:11">
      <c r="A670" t="s">
        <v>1</v>
      </c>
      <c r="B670" s="3">
        <v>41689</v>
      </c>
      <c r="C670" s="3">
        <v>41689</v>
      </c>
      <c r="D670" t="s">
        <v>6</v>
      </c>
      <c r="E670" s="1">
        <v>18.461600000000001</v>
      </c>
      <c r="F670" s="1">
        <v>30099.724999999999</v>
      </c>
      <c r="G670" s="1">
        <v>16211.668</v>
      </c>
      <c r="H670" s="2">
        <v>555857.63</v>
      </c>
      <c r="I670" s="2">
        <v>-299384.12</v>
      </c>
      <c r="J670" s="1">
        <v>37486747.07</v>
      </c>
      <c r="K670" s="1">
        <v>2030521.483</v>
      </c>
    </row>
    <row r="671" spans="1:11">
      <c r="A671" t="s">
        <v>1</v>
      </c>
      <c r="B671" s="3">
        <v>41689</v>
      </c>
      <c r="C671" s="3">
        <v>41689</v>
      </c>
      <c r="D671" t="s">
        <v>10</v>
      </c>
      <c r="E671" s="1">
        <v>18.189699999999998</v>
      </c>
      <c r="F671" s="1">
        <v>3778.0619999999999</v>
      </c>
      <c r="G671" s="1">
        <v>30074</v>
      </c>
      <c r="H671" s="2">
        <v>68632.5</v>
      </c>
      <c r="I671" s="2">
        <v>-546326.15</v>
      </c>
      <c r="J671" s="1">
        <v>17271895.579999998</v>
      </c>
      <c r="K671" s="1">
        <v>949543.77</v>
      </c>
    </row>
    <row r="672" spans="1:11">
      <c r="A672" t="s">
        <v>1</v>
      </c>
      <c r="B672" s="3">
        <v>41689</v>
      </c>
      <c r="C672" s="3">
        <v>41689</v>
      </c>
      <c r="D672" t="s">
        <v>5</v>
      </c>
      <c r="E672" s="1">
        <v>17.100000000000001</v>
      </c>
      <c r="F672" s="1">
        <v>0</v>
      </c>
      <c r="G672" s="1">
        <v>30000</v>
      </c>
      <c r="H672" s="2">
        <v>0</v>
      </c>
      <c r="I672" s="2">
        <v>-513126</v>
      </c>
      <c r="J672" s="1">
        <v>18189572.109999999</v>
      </c>
      <c r="K672" s="1">
        <v>1063715.1359999999</v>
      </c>
    </row>
    <row r="673" spans="1:11">
      <c r="A673" t="s">
        <v>1</v>
      </c>
      <c r="B673" s="3">
        <v>41689</v>
      </c>
      <c r="C673" s="3">
        <v>41689</v>
      </c>
      <c r="D673" t="s">
        <v>4</v>
      </c>
      <c r="E673" s="1">
        <v>11.0579</v>
      </c>
      <c r="F673" s="1">
        <v>117.288</v>
      </c>
      <c r="G673" s="1">
        <v>536.31399999999996</v>
      </c>
      <c r="H673" s="2">
        <v>1297.3</v>
      </c>
      <c r="I673" s="2">
        <v>-5932.06</v>
      </c>
      <c r="J673" s="1">
        <v>356122.68</v>
      </c>
      <c r="K673" s="1">
        <v>32205.405999999999</v>
      </c>
    </row>
    <row r="674" spans="1:11">
      <c r="A674" t="s">
        <v>1</v>
      </c>
      <c r="B674" s="3">
        <v>41689</v>
      </c>
      <c r="C674" s="3">
        <v>41689</v>
      </c>
      <c r="D674" t="s">
        <v>2</v>
      </c>
      <c r="E674" s="1">
        <v>16.976400000000002</v>
      </c>
      <c r="F674" s="1">
        <v>11665.42</v>
      </c>
      <c r="G674" s="1">
        <v>0</v>
      </c>
      <c r="H674" s="2">
        <v>198084.07</v>
      </c>
      <c r="I674" s="2">
        <v>0</v>
      </c>
      <c r="J674" s="1">
        <v>44276272.75</v>
      </c>
      <c r="K674" s="1">
        <v>2608108.4759999998</v>
      </c>
    </row>
    <row r="675" spans="1:11">
      <c r="A675" t="s">
        <v>1</v>
      </c>
      <c r="B675" s="3">
        <v>41689</v>
      </c>
      <c r="C675" s="3">
        <v>41689</v>
      </c>
      <c r="D675" t="s">
        <v>9</v>
      </c>
      <c r="E675" s="1">
        <v>18.030999999999999</v>
      </c>
      <c r="F675" s="1">
        <v>247.15199999999999</v>
      </c>
      <c r="G675" s="1">
        <v>1300</v>
      </c>
      <c r="H675" s="2">
        <v>4457.5</v>
      </c>
      <c r="I675" s="2">
        <v>-23446.09</v>
      </c>
      <c r="J675" s="1">
        <v>1082899.75</v>
      </c>
      <c r="K675" s="1">
        <v>60057.815000000002</v>
      </c>
    </row>
    <row r="676" spans="1:11">
      <c r="A676" t="s">
        <v>1</v>
      </c>
      <c r="B676" s="3">
        <v>41689</v>
      </c>
      <c r="C676" s="3">
        <v>41689</v>
      </c>
      <c r="D676" t="s">
        <v>0</v>
      </c>
      <c r="E676" s="1">
        <v>16.678100000000001</v>
      </c>
      <c r="F676" s="1">
        <v>100</v>
      </c>
      <c r="G676" s="1">
        <v>0</v>
      </c>
      <c r="H676" s="2">
        <v>1668.25</v>
      </c>
      <c r="I676" s="2">
        <v>0</v>
      </c>
      <c r="J676" s="1">
        <v>1667.81</v>
      </c>
      <c r="K676" s="1">
        <v>100</v>
      </c>
    </row>
    <row r="677" spans="1:11">
      <c r="A677" t="s">
        <v>1</v>
      </c>
      <c r="B677" s="3">
        <v>41690</v>
      </c>
      <c r="C677" s="3">
        <v>41690</v>
      </c>
      <c r="D677" t="s">
        <v>7</v>
      </c>
      <c r="E677" s="1">
        <v>22.092600000000001</v>
      </c>
      <c r="F677" s="1">
        <v>26.99</v>
      </c>
      <c r="G677" s="1">
        <v>14049.733</v>
      </c>
      <c r="H677" s="2">
        <v>600</v>
      </c>
      <c r="I677" s="2">
        <v>-312326.96000000002</v>
      </c>
      <c r="J677" s="1">
        <v>306182339.62</v>
      </c>
      <c r="K677" s="1">
        <v>13859053.136</v>
      </c>
    </row>
    <row r="678" spans="1:11">
      <c r="A678" t="s">
        <v>1</v>
      </c>
      <c r="B678" s="3">
        <v>41690</v>
      </c>
      <c r="C678" s="3">
        <v>41690</v>
      </c>
      <c r="D678" t="s">
        <v>12</v>
      </c>
      <c r="E678" s="1">
        <v>17.666799999999999</v>
      </c>
      <c r="F678" s="1">
        <v>4188.9269999999997</v>
      </c>
      <c r="G678" s="1">
        <v>48278.302000000003</v>
      </c>
      <c r="H678" s="2">
        <v>74469.06</v>
      </c>
      <c r="I678" s="2">
        <v>-858272.33</v>
      </c>
      <c r="J678" s="1">
        <v>14433063.41</v>
      </c>
      <c r="K678" s="1">
        <v>816958.08499999996</v>
      </c>
    </row>
    <row r="679" spans="1:11">
      <c r="A679" t="s">
        <v>1</v>
      </c>
      <c r="B679" s="3">
        <v>41690</v>
      </c>
      <c r="C679" s="3">
        <v>41690</v>
      </c>
      <c r="D679" t="s">
        <v>6</v>
      </c>
      <c r="E679" s="1">
        <v>18.346599999999999</v>
      </c>
      <c r="F679" s="1">
        <v>450.637</v>
      </c>
      <c r="G679" s="1">
        <v>16358.611000000001</v>
      </c>
      <c r="H679" s="2">
        <v>8319.4699999999993</v>
      </c>
      <c r="I679" s="2">
        <v>-302006.14</v>
      </c>
      <c r="J679" s="1">
        <v>36961408.93</v>
      </c>
      <c r="K679" s="1">
        <v>2014613.5090000001</v>
      </c>
    </row>
    <row r="680" spans="1:11">
      <c r="A680" t="s">
        <v>1</v>
      </c>
      <c r="B680" s="3">
        <v>41690</v>
      </c>
      <c r="C680" s="3">
        <v>41690</v>
      </c>
      <c r="D680" t="s">
        <v>10</v>
      </c>
      <c r="E680" s="1">
        <v>18.009599999999999</v>
      </c>
      <c r="F680" s="1">
        <v>0</v>
      </c>
      <c r="G680" s="1">
        <v>14648</v>
      </c>
      <c r="H680" s="2">
        <v>0</v>
      </c>
      <c r="I680" s="2">
        <v>-266442.40000000002</v>
      </c>
      <c r="J680" s="1">
        <v>16837109.829999998</v>
      </c>
      <c r="K680" s="1">
        <v>934895.77</v>
      </c>
    </row>
    <row r="681" spans="1:11">
      <c r="A681" t="s">
        <v>1</v>
      </c>
      <c r="B681" s="3">
        <v>41690</v>
      </c>
      <c r="C681" s="3">
        <v>41690</v>
      </c>
      <c r="D681" t="s">
        <v>2</v>
      </c>
      <c r="E681" s="1">
        <v>16.871700000000001</v>
      </c>
      <c r="F681" s="1">
        <v>11497.236999999999</v>
      </c>
      <c r="G681" s="1">
        <v>485.404</v>
      </c>
      <c r="H681" s="2">
        <v>195182.4</v>
      </c>
      <c r="I681" s="2">
        <v>-8240.44</v>
      </c>
      <c r="J681" s="1">
        <v>44189023.039999999</v>
      </c>
      <c r="K681" s="1">
        <v>2619120.3089999999</v>
      </c>
    </row>
    <row r="682" spans="1:11">
      <c r="A682" t="s">
        <v>1</v>
      </c>
      <c r="B682" s="3">
        <v>41690</v>
      </c>
      <c r="C682" s="3">
        <v>41690</v>
      </c>
      <c r="D682" t="s">
        <v>9</v>
      </c>
      <c r="E682" s="1">
        <v>17.919599999999999</v>
      </c>
      <c r="F682" s="1">
        <v>0</v>
      </c>
      <c r="G682" s="1">
        <v>249.27500000000001</v>
      </c>
      <c r="H682" s="2">
        <v>0</v>
      </c>
      <c r="I682" s="2">
        <v>-4494.67</v>
      </c>
      <c r="J682" s="1">
        <v>1071747.48</v>
      </c>
      <c r="K682" s="1">
        <v>59808.54</v>
      </c>
    </row>
    <row r="683" spans="1:11">
      <c r="A683" t="s">
        <v>1</v>
      </c>
      <c r="B683" s="3">
        <v>41691</v>
      </c>
      <c r="C683" s="3">
        <v>41691</v>
      </c>
      <c r="D683" t="s">
        <v>8</v>
      </c>
      <c r="E683" s="1">
        <v>18.015999999999998</v>
      </c>
      <c r="F683" s="1">
        <v>22.992000000000001</v>
      </c>
      <c r="G683" s="1">
        <v>0</v>
      </c>
      <c r="H683" s="2">
        <v>410.93</v>
      </c>
      <c r="I683" s="2">
        <v>0</v>
      </c>
      <c r="J683" s="1">
        <v>6932430.6399999997</v>
      </c>
      <c r="K683" s="1">
        <v>384793.80800000002</v>
      </c>
    </row>
    <row r="684" spans="1:11">
      <c r="A684" t="s">
        <v>1</v>
      </c>
      <c r="B684" s="3">
        <v>41691</v>
      </c>
      <c r="C684" s="3">
        <v>41691</v>
      </c>
      <c r="D684" t="s">
        <v>7</v>
      </c>
      <c r="E684" s="1">
        <v>22.269400000000001</v>
      </c>
      <c r="F684" s="1">
        <v>197.77099999999999</v>
      </c>
      <c r="G684" s="1">
        <v>12798.209000000001</v>
      </c>
      <c r="H684" s="2">
        <v>4369.26</v>
      </c>
      <c r="I684" s="2">
        <v>-282745.7</v>
      </c>
      <c r="J684" s="1">
        <v>308352300.25999999</v>
      </c>
      <c r="K684" s="1">
        <v>13846452.698000001</v>
      </c>
    </row>
    <row r="685" spans="1:11">
      <c r="A685" t="s">
        <v>1</v>
      </c>
      <c r="B685" s="3">
        <v>41691</v>
      </c>
      <c r="C685" s="3">
        <v>41691</v>
      </c>
      <c r="D685" t="s">
        <v>12</v>
      </c>
      <c r="E685" s="1">
        <v>17.807500000000001</v>
      </c>
      <c r="F685" s="1">
        <v>735.09799999999996</v>
      </c>
      <c r="G685" s="1">
        <v>118937.545</v>
      </c>
      <c r="H685" s="2">
        <v>12986.83</v>
      </c>
      <c r="I685" s="2">
        <v>-2101245.83</v>
      </c>
      <c r="J685" s="1">
        <v>12443100.15</v>
      </c>
      <c r="K685" s="1">
        <v>698755.63800000004</v>
      </c>
    </row>
    <row r="686" spans="1:11">
      <c r="A686" t="s">
        <v>1</v>
      </c>
      <c r="B686" s="3">
        <v>41691</v>
      </c>
      <c r="C686" s="3">
        <v>41691</v>
      </c>
      <c r="D686" t="s">
        <v>6</v>
      </c>
      <c r="E686" s="1">
        <v>18.492699999999999</v>
      </c>
      <c r="F686" s="1">
        <v>3170.279</v>
      </c>
      <c r="G686" s="1">
        <v>29658.062999999998</v>
      </c>
      <c r="H686" s="2">
        <v>58163.85</v>
      </c>
      <c r="I686" s="2">
        <v>-544124.6</v>
      </c>
      <c r="J686" s="1">
        <v>36765884.600000001</v>
      </c>
      <c r="K686" s="1">
        <v>1988125.7250000001</v>
      </c>
    </row>
    <row r="687" spans="1:11">
      <c r="A687" t="s">
        <v>1</v>
      </c>
      <c r="B687" s="3">
        <v>41691</v>
      </c>
      <c r="C687" s="3">
        <v>41691</v>
      </c>
      <c r="D687" t="s">
        <v>10</v>
      </c>
      <c r="E687" s="1">
        <v>18.165400000000002</v>
      </c>
      <c r="F687" s="1">
        <v>62518.538999999997</v>
      </c>
      <c r="G687" s="1">
        <v>152.113</v>
      </c>
      <c r="H687" s="2">
        <v>1125934.5</v>
      </c>
      <c r="I687" s="2">
        <v>-2739.5</v>
      </c>
      <c r="J687" s="1">
        <v>18115653.73</v>
      </c>
      <c r="K687" s="1">
        <v>997262.196</v>
      </c>
    </row>
    <row r="688" spans="1:11">
      <c r="A688" t="s">
        <v>1</v>
      </c>
      <c r="B688" s="3">
        <v>41691</v>
      </c>
      <c r="C688" s="3">
        <v>41691</v>
      </c>
      <c r="D688" t="s">
        <v>4</v>
      </c>
      <c r="E688" s="1">
        <v>11.077400000000001</v>
      </c>
      <c r="F688" s="1">
        <v>24.013999999999999</v>
      </c>
      <c r="G688" s="1">
        <v>0</v>
      </c>
      <c r="H688" s="2">
        <v>263.89999999999998</v>
      </c>
      <c r="I688" s="2">
        <v>0</v>
      </c>
      <c r="J688" s="1">
        <v>357017.9</v>
      </c>
      <c r="K688" s="1">
        <v>32229.42</v>
      </c>
    </row>
    <row r="689" spans="1:11">
      <c r="A689" t="s">
        <v>1</v>
      </c>
      <c r="B689" s="3">
        <v>41691</v>
      </c>
      <c r="C689" s="3">
        <v>41691</v>
      </c>
      <c r="D689" t="s">
        <v>2</v>
      </c>
      <c r="E689" s="1">
        <v>17.007100000000001</v>
      </c>
      <c r="F689" s="1">
        <v>31728.523000000001</v>
      </c>
      <c r="G689" s="1">
        <v>344.64</v>
      </c>
      <c r="H689" s="2">
        <v>535313.52</v>
      </c>
      <c r="I689" s="2">
        <v>-5814.66</v>
      </c>
      <c r="J689" s="1">
        <v>45077350.549999997</v>
      </c>
      <c r="K689" s="1">
        <v>2650504.1919999998</v>
      </c>
    </row>
    <row r="690" spans="1:11">
      <c r="A690" t="s">
        <v>1</v>
      </c>
      <c r="B690" s="3">
        <v>41691</v>
      </c>
      <c r="C690" s="3">
        <v>41691</v>
      </c>
      <c r="D690" t="s">
        <v>9</v>
      </c>
      <c r="E690" s="1">
        <v>18.063300000000002</v>
      </c>
      <c r="F690" s="1">
        <v>18.297000000000001</v>
      </c>
      <c r="G690" s="1">
        <v>10.148999999999999</v>
      </c>
      <c r="H690" s="2">
        <v>327.87</v>
      </c>
      <c r="I690" s="2">
        <v>-181.87</v>
      </c>
      <c r="J690" s="1">
        <v>1080487.18</v>
      </c>
      <c r="K690" s="1">
        <v>59816.688000000002</v>
      </c>
    </row>
    <row r="691" spans="1:11">
      <c r="A691" t="s">
        <v>1</v>
      </c>
      <c r="B691" s="3">
        <v>41694</v>
      </c>
      <c r="C691" s="3">
        <v>41694</v>
      </c>
      <c r="D691" t="s">
        <v>7</v>
      </c>
      <c r="E691" s="1">
        <v>22.236999999999998</v>
      </c>
      <c r="F691" s="1">
        <v>111071.845</v>
      </c>
      <c r="G691" s="1">
        <v>9503.3970000000008</v>
      </c>
      <c r="H691" s="2">
        <v>2473503.3199999998</v>
      </c>
      <c r="I691" s="2">
        <v>-211634.95</v>
      </c>
      <c r="J691" s="1">
        <v>310162626.99000001</v>
      </c>
      <c r="K691" s="1">
        <v>13948021.146</v>
      </c>
    </row>
    <row r="692" spans="1:11">
      <c r="A692" t="s">
        <v>1</v>
      </c>
      <c r="B692" s="3">
        <v>41694</v>
      </c>
      <c r="C692" s="3">
        <v>41694</v>
      </c>
      <c r="D692" t="s">
        <v>12</v>
      </c>
      <c r="E692" s="1">
        <v>17.779399999999999</v>
      </c>
      <c r="F692" s="1">
        <v>99999.370999999999</v>
      </c>
      <c r="G692" s="1">
        <v>966.31399999999996</v>
      </c>
      <c r="H692" s="2">
        <v>1780738.77</v>
      </c>
      <c r="I692" s="2">
        <v>-17207.64</v>
      </c>
      <c r="J692" s="1">
        <v>14184227.52</v>
      </c>
      <c r="K692" s="1">
        <v>797788.69499999995</v>
      </c>
    </row>
    <row r="693" spans="1:11">
      <c r="A693" t="s">
        <v>1</v>
      </c>
      <c r="B693" s="3">
        <v>41694</v>
      </c>
      <c r="C693" s="3">
        <v>41694</v>
      </c>
      <c r="D693" t="s">
        <v>6</v>
      </c>
      <c r="E693" s="1">
        <v>18.4636</v>
      </c>
      <c r="F693" s="1">
        <v>18078.559000000001</v>
      </c>
      <c r="G693" s="1">
        <v>12474.704</v>
      </c>
      <c r="H693" s="2">
        <v>334321.3</v>
      </c>
      <c r="I693" s="2">
        <v>-230690.95</v>
      </c>
      <c r="J693" s="1">
        <v>36811371.93</v>
      </c>
      <c r="K693" s="1">
        <v>1993729.58</v>
      </c>
    </row>
    <row r="694" spans="1:11">
      <c r="A694" t="s">
        <v>1</v>
      </c>
      <c r="B694" s="3">
        <v>41694</v>
      </c>
      <c r="C694" s="3">
        <v>41694</v>
      </c>
      <c r="D694" t="s">
        <v>5</v>
      </c>
      <c r="E694" s="1">
        <v>17.107099999999999</v>
      </c>
      <c r="F694" s="1">
        <v>9338</v>
      </c>
      <c r="G694" s="1">
        <v>0</v>
      </c>
      <c r="H694" s="2">
        <v>159969.28</v>
      </c>
      <c r="I694" s="2">
        <v>0</v>
      </c>
      <c r="J694" s="1">
        <v>18356838.09</v>
      </c>
      <c r="K694" s="1">
        <v>1073053.1359999999</v>
      </c>
    </row>
    <row r="695" spans="1:11">
      <c r="A695" t="s">
        <v>1</v>
      </c>
      <c r="B695" s="3">
        <v>41694</v>
      </c>
      <c r="C695" s="3">
        <v>41694</v>
      </c>
      <c r="D695" t="s">
        <v>4</v>
      </c>
      <c r="E695" s="1">
        <v>11.061299999999999</v>
      </c>
      <c r="F695" s="1">
        <v>105.157</v>
      </c>
      <c r="G695" s="1">
        <v>0</v>
      </c>
      <c r="H695" s="2">
        <v>1164.8699999999999</v>
      </c>
      <c r="I695" s="2">
        <v>0</v>
      </c>
      <c r="J695" s="1">
        <v>357662.07</v>
      </c>
      <c r="K695" s="1">
        <v>32334.577000000001</v>
      </c>
    </row>
    <row r="696" spans="1:11">
      <c r="A696" t="s">
        <v>1</v>
      </c>
      <c r="B696" s="3">
        <v>41694</v>
      </c>
      <c r="C696" s="3">
        <v>41694</v>
      </c>
      <c r="D696" t="s">
        <v>3</v>
      </c>
      <c r="E696" s="1">
        <v>10.764900000000001</v>
      </c>
      <c r="F696" s="1">
        <v>0</v>
      </c>
      <c r="G696" s="1">
        <v>501.95100000000002</v>
      </c>
      <c r="H696" s="2">
        <v>0</v>
      </c>
      <c r="I696" s="2">
        <v>-5411.99</v>
      </c>
      <c r="J696" s="1">
        <v>2111419.4900000002</v>
      </c>
      <c r="K696" s="1">
        <v>196139.12</v>
      </c>
    </row>
    <row r="697" spans="1:11">
      <c r="A697" t="s">
        <v>1</v>
      </c>
      <c r="B697" s="3">
        <v>41694</v>
      </c>
      <c r="C697" s="3">
        <v>41694</v>
      </c>
      <c r="D697" t="s">
        <v>14</v>
      </c>
      <c r="E697" s="1">
        <v>10.9533</v>
      </c>
      <c r="F697" s="1">
        <v>473.88600000000002</v>
      </c>
      <c r="G697" s="1">
        <v>0</v>
      </c>
      <c r="H697" s="2">
        <v>5198.8100000000004</v>
      </c>
      <c r="I697" s="2">
        <v>0</v>
      </c>
      <c r="J697" s="1">
        <v>422717.59</v>
      </c>
      <c r="K697" s="1">
        <v>38592.730000000003</v>
      </c>
    </row>
    <row r="698" spans="1:11">
      <c r="A698" t="s">
        <v>1</v>
      </c>
      <c r="B698" s="3">
        <v>41694</v>
      </c>
      <c r="C698" s="3">
        <v>41694</v>
      </c>
      <c r="D698" t="s">
        <v>2</v>
      </c>
      <c r="E698" s="1">
        <v>16.9834</v>
      </c>
      <c r="F698" s="1">
        <v>15894.683999999999</v>
      </c>
      <c r="G698" s="1">
        <v>1267.0329999999999</v>
      </c>
      <c r="H698" s="2">
        <v>270322.65999999997</v>
      </c>
      <c r="I698" s="2">
        <v>-21548.59</v>
      </c>
      <c r="J698" s="1">
        <v>45263027.829999998</v>
      </c>
      <c r="K698" s="1">
        <v>2665131.8429999999</v>
      </c>
    </row>
    <row r="699" spans="1:11">
      <c r="A699" t="s">
        <v>1</v>
      </c>
      <c r="B699" s="3">
        <v>41694</v>
      </c>
      <c r="C699" s="3">
        <v>41694</v>
      </c>
      <c r="D699" t="s">
        <v>9</v>
      </c>
      <c r="E699" s="1">
        <v>18.037800000000001</v>
      </c>
      <c r="F699" s="1">
        <v>0</v>
      </c>
      <c r="G699" s="1">
        <v>9.0879999999999992</v>
      </c>
      <c r="H699" s="2">
        <v>0</v>
      </c>
      <c r="I699" s="2">
        <v>-164.16</v>
      </c>
      <c r="J699" s="1">
        <v>1078796.93</v>
      </c>
      <c r="K699" s="1">
        <v>59807.6</v>
      </c>
    </row>
    <row r="700" spans="1:11">
      <c r="A700" t="s">
        <v>1</v>
      </c>
      <c r="B700" s="3">
        <v>41695</v>
      </c>
      <c r="C700" s="3">
        <v>41695</v>
      </c>
      <c r="D700" t="s">
        <v>7</v>
      </c>
      <c r="E700" s="1">
        <v>22.387799999999999</v>
      </c>
      <c r="F700" s="1">
        <v>130.42699999999999</v>
      </c>
      <c r="G700" s="1">
        <v>650530.505</v>
      </c>
      <c r="H700" s="2">
        <v>2900.32</v>
      </c>
      <c r="I700" s="2">
        <v>-14465846.859999999</v>
      </c>
      <c r="J700" s="1">
        <v>297704639.88999999</v>
      </c>
      <c r="K700" s="1">
        <v>13297621.068</v>
      </c>
    </row>
    <row r="701" spans="1:11">
      <c r="A701" t="s">
        <v>1</v>
      </c>
      <c r="B701" s="3">
        <v>41695</v>
      </c>
      <c r="C701" s="3">
        <v>41695</v>
      </c>
      <c r="D701" t="s">
        <v>12</v>
      </c>
      <c r="E701" s="1">
        <v>17.8992</v>
      </c>
      <c r="F701" s="1">
        <v>0</v>
      </c>
      <c r="G701" s="1">
        <v>2196.6559999999999</v>
      </c>
      <c r="H701" s="2">
        <v>0</v>
      </c>
      <c r="I701" s="2">
        <v>-39055.230000000003</v>
      </c>
      <c r="J701" s="1">
        <v>14240500.789999999</v>
      </c>
      <c r="K701" s="1">
        <v>795592.03899999999</v>
      </c>
    </row>
    <row r="702" spans="1:11">
      <c r="A702" t="s">
        <v>1</v>
      </c>
      <c r="B702" s="3">
        <v>41695</v>
      </c>
      <c r="C702" s="3">
        <v>41695</v>
      </c>
      <c r="D702" t="s">
        <v>6</v>
      </c>
      <c r="E702" s="1">
        <v>18.588000000000001</v>
      </c>
      <c r="F702" s="1">
        <v>2708.0309999999999</v>
      </c>
      <c r="G702" s="1">
        <v>11037.72</v>
      </c>
      <c r="H702" s="2">
        <v>50000</v>
      </c>
      <c r="I702" s="2">
        <v>-203796.06</v>
      </c>
      <c r="J702" s="1">
        <v>36904622.090000004</v>
      </c>
      <c r="K702" s="1">
        <v>1985399.8910000001</v>
      </c>
    </row>
    <row r="703" spans="1:11">
      <c r="A703" t="s">
        <v>1</v>
      </c>
      <c r="B703" s="3">
        <v>41695</v>
      </c>
      <c r="C703" s="3">
        <v>41695</v>
      </c>
      <c r="D703" t="s">
        <v>10</v>
      </c>
      <c r="E703" s="1">
        <v>18.3154</v>
      </c>
      <c r="F703" s="1">
        <v>1624.6949999999999</v>
      </c>
      <c r="G703" s="1">
        <v>0</v>
      </c>
      <c r="H703" s="2">
        <v>29534.080000000002</v>
      </c>
      <c r="I703" s="2">
        <v>0</v>
      </c>
      <c r="J703" s="1">
        <v>18295011.41</v>
      </c>
      <c r="K703" s="1">
        <v>998886.89099999995</v>
      </c>
    </row>
    <row r="704" spans="1:11">
      <c r="A704" t="s">
        <v>1</v>
      </c>
      <c r="B704" s="3">
        <v>41695</v>
      </c>
      <c r="C704" s="3">
        <v>41695</v>
      </c>
      <c r="D704" t="s">
        <v>5</v>
      </c>
      <c r="E704" s="1">
        <v>17.223500000000001</v>
      </c>
      <c r="F704" s="1">
        <v>17008</v>
      </c>
      <c r="G704" s="1">
        <v>0</v>
      </c>
      <c r="H704" s="2">
        <v>290957.56</v>
      </c>
      <c r="I704" s="2">
        <v>0</v>
      </c>
      <c r="J704" s="1">
        <v>18774618.16</v>
      </c>
      <c r="K704" s="1">
        <v>1090061.1359999999</v>
      </c>
    </row>
    <row r="705" spans="1:11">
      <c r="A705" t="s">
        <v>1</v>
      </c>
      <c r="B705" s="3">
        <v>41695</v>
      </c>
      <c r="C705" s="3">
        <v>41695</v>
      </c>
      <c r="D705" t="s">
        <v>4</v>
      </c>
      <c r="E705" s="1">
        <v>11.1363</v>
      </c>
      <c r="F705" s="1">
        <v>8.9329999999999998</v>
      </c>
      <c r="G705" s="1">
        <v>0</v>
      </c>
      <c r="H705" s="2">
        <v>98.81</v>
      </c>
      <c r="I705" s="2">
        <v>0</v>
      </c>
      <c r="J705" s="1">
        <v>360186.62</v>
      </c>
      <c r="K705" s="1">
        <v>32343.51</v>
      </c>
    </row>
    <row r="706" spans="1:11">
      <c r="A706" t="s">
        <v>1</v>
      </c>
      <c r="B706" s="3">
        <v>41695</v>
      </c>
      <c r="C706" s="3">
        <v>41695</v>
      </c>
      <c r="D706" t="s">
        <v>2</v>
      </c>
      <c r="E706" s="1">
        <v>17.0989</v>
      </c>
      <c r="F706" s="1">
        <v>4065</v>
      </c>
      <c r="G706" s="1">
        <v>97.974999999999994</v>
      </c>
      <c r="H706" s="2">
        <v>69037.679999999993</v>
      </c>
      <c r="I706" s="2">
        <v>-1663.95</v>
      </c>
      <c r="J706" s="1">
        <v>45638690.840000004</v>
      </c>
      <c r="K706" s="1">
        <v>2669098.8679999998</v>
      </c>
    </row>
    <row r="707" spans="1:11">
      <c r="A707" t="s">
        <v>1</v>
      </c>
      <c r="B707" s="3">
        <v>41696</v>
      </c>
      <c r="C707" s="3">
        <v>41696</v>
      </c>
      <c r="D707" t="s">
        <v>8</v>
      </c>
      <c r="E707" s="1">
        <v>18.104399999999998</v>
      </c>
      <c r="F707" s="1">
        <v>0</v>
      </c>
      <c r="G707" s="1">
        <v>398.96</v>
      </c>
      <c r="H707" s="2">
        <v>0</v>
      </c>
      <c r="I707" s="2">
        <v>-7225.85</v>
      </c>
      <c r="J707" s="1">
        <v>6959236.7800000003</v>
      </c>
      <c r="K707" s="1">
        <v>384394.848</v>
      </c>
    </row>
    <row r="708" spans="1:11">
      <c r="A708" t="s">
        <v>1</v>
      </c>
      <c r="B708" s="3">
        <v>41696</v>
      </c>
      <c r="C708" s="3">
        <v>41696</v>
      </c>
      <c r="D708" t="s">
        <v>7</v>
      </c>
      <c r="E708" s="1">
        <v>22.378699999999998</v>
      </c>
      <c r="F708" s="1">
        <v>18829.29</v>
      </c>
      <c r="G708" s="1">
        <v>94099.376999999993</v>
      </c>
      <c r="H708" s="2">
        <v>421546.38</v>
      </c>
      <c r="I708" s="2">
        <v>-2106678.0299999998</v>
      </c>
      <c r="J708" s="1">
        <v>295899326.45999998</v>
      </c>
      <c r="K708" s="1">
        <v>13222350.981000001</v>
      </c>
    </row>
    <row r="709" spans="1:11">
      <c r="A709" t="s">
        <v>1</v>
      </c>
      <c r="B709" s="3">
        <v>41696</v>
      </c>
      <c r="C709" s="3">
        <v>41696</v>
      </c>
      <c r="D709" t="s">
        <v>12</v>
      </c>
      <c r="E709" s="1">
        <v>17.891200000000001</v>
      </c>
      <c r="F709" s="1">
        <v>0</v>
      </c>
      <c r="G709" s="1">
        <v>905.06</v>
      </c>
      <c r="H709" s="2">
        <v>0</v>
      </c>
      <c r="I709" s="2">
        <v>-16199.85</v>
      </c>
      <c r="J709" s="1">
        <v>14217941.41</v>
      </c>
      <c r="K709" s="1">
        <v>794686.97900000005</v>
      </c>
    </row>
    <row r="710" spans="1:11">
      <c r="A710" t="s">
        <v>1</v>
      </c>
      <c r="B710" s="3">
        <v>41696</v>
      </c>
      <c r="C710" s="3">
        <v>41696</v>
      </c>
      <c r="D710" t="s">
        <v>6</v>
      </c>
      <c r="E710" s="1">
        <v>18.579699999999999</v>
      </c>
      <c r="F710" s="1">
        <v>2463.9549999999999</v>
      </c>
      <c r="G710" s="1">
        <v>8737.6239999999998</v>
      </c>
      <c r="H710" s="2">
        <v>45800</v>
      </c>
      <c r="I710" s="2">
        <v>-162414.96</v>
      </c>
      <c r="J710" s="1">
        <v>36771559.600000001</v>
      </c>
      <c r="K710" s="1">
        <v>1979126.2220000001</v>
      </c>
    </row>
    <row r="711" spans="1:11">
      <c r="A711" t="s">
        <v>1</v>
      </c>
      <c r="B711" s="3">
        <v>41696</v>
      </c>
      <c r="C711" s="3">
        <v>41696</v>
      </c>
      <c r="D711" t="s">
        <v>3</v>
      </c>
      <c r="E711" s="1">
        <v>10.832599999999999</v>
      </c>
      <c r="F711" s="1">
        <v>0</v>
      </c>
      <c r="G711" s="1">
        <v>393.27699999999999</v>
      </c>
      <c r="H711" s="2">
        <v>0</v>
      </c>
      <c r="I711" s="2">
        <v>-4262.1400000000003</v>
      </c>
      <c r="J711" s="1">
        <v>2120438.39</v>
      </c>
      <c r="K711" s="1">
        <v>195745.84299999999</v>
      </c>
    </row>
    <row r="712" spans="1:11">
      <c r="A712" t="s">
        <v>1</v>
      </c>
      <c r="B712" s="3">
        <v>41696</v>
      </c>
      <c r="C712" s="3">
        <v>41696</v>
      </c>
      <c r="D712" t="s">
        <v>14</v>
      </c>
      <c r="E712" s="1">
        <v>11.0222</v>
      </c>
      <c r="F712" s="1">
        <v>3215.7310000000002</v>
      </c>
      <c r="G712" s="1">
        <v>0</v>
      </c>
      <c r="H712" s="2">
        <v>35460.19</v>
      </c>
      <c r="I712" s="2">
        <v>0</v>
      </c>
      <c r="J712" s="1">
        <v>460820.47999999998</v>
      </c>
      <c r="K712" s="1">
        <v>41808.461000000003</v>
      </c>
    </row>
    <row r="713" spans="1:11">
      <c r="A713" t="s">
        <v>1</v>
      </c>
      <c r="B713" s="3">
        <v>41696</v>
      </c>
      <c r="C713" s="3">
        <v>41696</v>
      </c>
      <c r="D713" t="s">
        <v>2</v>
      </c>
      <c r="E713" s="1">
        <v>17.092300000000002</v>
      </c>
      <c r="F713" s="1">
        <v>18583.447</v>
      </c>
      <c r="G713" s="1">
        <v>0</v>
      </c>
      <c r="H713" s="2">
        <v>317755.71999999997</v>
      </c>
      <c r="I713" s="2">
        <v>0</v>
      </c>
      <c r="J713" s="1">
        <v>45938732.859999999</v>
      </c>
      <c r="K713" s="1">
        <v>2687682.3149999999</v>
      </c>
    </row>
    <row r="714" spans="1:11">
      <c r="A714" t="s">
        <v>1</v>
      </c>
      <c r="B714" s="3">
        <v>41696</v>
      </c>
      <c r="C714" s="3">
        <v>41696</v>
      </c>
      <c r="D714" t="s">
        <v>0</v>
      </c>
      <c r="E714" s="1">
        <v>16.7927</v>
      </c>
      <c r="F714" s="1">
        <v>13.439</v>
      </c>
      <c r="G714" s="1">
        <v>0</v>
      </c>
      <c r="H714" s="2">
        <v>225.76</v>
      </c>
      <c r="I714" s="2">
        <v>0</v>
      </c>
      <c r="J714" s="1">
        <v>1904.95</v>
      </c>
      <c r="K714" s="1">
        <v>113.43899999999999</v>
      </c>
    </row>
    <row r="715" spans="1:11">
      <c r="A715" t="s">
        <v>1</v>
      </c>
      <c r="B715" s="3">
        <v>41697</v>
      </c>
      <c r="C715" s="3">
        <v>41697</v>
      </c>
      <c r="D715" t="s">
        <v>8</v>
      </c>
      <c r="E715" s="1">
        <v>18.1038</v>
      </c>
      <c r="F715" s="1">
        <v>22.77</v>
      </c>
      <c r="G715" s="1">
        <v>0</v>
      </c>
      <c r="H715" s="2">
        <v>412.25</v>
      </c>
      <c r="I715" s="2">
        <v>0</v>
      </c>
      <c r="J715" s="1">
        <v>6959437</v>
      </c>
      <c r="K715" s="1">
        <v>384417.61800000002</v>
      </c>
    </row>
    <row r="716" spans="1:11">
      <c r="A716" t="s">
        <v>1</v>
      </c>
      <c r="B716" s="3">
        <v>41697</v>
      </c>
      <c r="C716" s="3">
        <v>41697</v>
      </c>
      <c r="D716" t="s">
        <v>7</v>
      </c>
      <c r="E716" s="1">
        <v>22.378</v>
      </c>
      <c r="F716" s="1">
        <v>48547.779000000002</v>
      </c>
      <c r="G716" s="1">
        <v>981.23800000000006</v>
      </c>
      <c r="H716" s="2">
        <v>1086436.1599999999</v>
      </c>
      <c r="I716" s="2">
        <v>-21958.83</v>
      </c>
      <c r="J716" s="1">
        <v>296954756.92000002</v>
      </c>
      <c r="K716" s="1">
        <v>13269917.522</v>
      </c>
    </row>
    <row r="717" spans="1:11">
      <c r="A717" t="s">
        <v>1</v>
      </c>
      <c r="B717" s="3">
        <v>41697</v>
      </c>
      <c r="C717" s="3">
        <v>41697</v>
      </c>
      <c r="D717" t="s">
        <v>12</v>
      </c>
      <c r="E717" s="1">
        <v>17.89</v>
      </c>
      <c r="F717" s="1">
        <v>14472.718999999999</v>
      </c>
      <c r="G717" s="1">
        <v>1084.712</v>
      </c>
      <c r="H717" s="2">
        <v>258934.27</v>
      </c>
      <c r="I717" s="2">
        <v>-19406.8</v>
      </c>
      <c r="J717" s="1">
        <v>14456434.310000001</v>
      </c>
      <c r="K717" s="1">
        <v>808074.98600000003</v>
      </c>
    </row>
    <row r="718" spans="1:11">
      <c r="A718" t="s">
        <v>1</v>
      </c>
      <c r="B718" s="3">
        <v>41697</v>
      </c>
      <c r="C718" s="3">
        <v>41697</v>
      </c>
      <c r="D718" t="s">
        <v>6</v>
      </c>
      <c r="E718" s="1">
        <v>18.578399999999998</v>
      </c>
      <c r="F718" s="1">
        <v>12513.939</v>
      </c>
      <c r="G718" s="1">
        <v>525.49599999999998</v>
      </c>
      <c r="H718" s="2">
        <v>232505.19</v>
      </c>
      <c r="I718" s="2">
        <v>-9763.56</v>
      </c>
      <c r="J718" s="1">
        <v>36991653.909999996</v>
      </c>
      <c r="K718" s="1">
        <v>1991114.665</v>
      </c>
    </row>
    <row r="719" spans="1:11">
      <c r="A719" t="s">
        <v>1</v>
      </c>
      <c r="B719" s="3">
        <v>41697</v>
      </c>
      <c r="C719" s="3">
        <v>41697</v>
      </c>
      <c r="D719" t="s">
        <v>4</v>
      </c>
      <c r="E719" s="1">
        <v>11.131399999999999</v>
      </c>
      <c r="F719" s="1">
        <v>119.465</v>
      </c>
      <c r="G719" s="1">
        <v>0</v>
      </c>
      <c r="H719" s="2">
        <v>1329.86</v>
      </c>
      <c r="I719" s="2">
        <v>0</v>
      </c>
      <c r="J719" s="1">
        <v>361359.22</v>
      </c>
      <c r="K719" s="1">
        <v>32462.974999999999</v>
      </c>
    </row>
    <row r="720" spans="1:11">
      <c r="A720" t="s">
        <v>1</v>
      </c>
      <c r="B720" s="3">
        <v>41697</v>
      </c>
      <c r="C720" s="3">
        <v>41697</v>
      </c>
      <c r="D720" t="s">
        <v>3</v>
      </c>
      <c r="E720" s="1">
        <v>10.831799999999999</v>
      </c>
      <c r="F720" s="1">
        <v>2406.6689999999999</v>
      </c>
      <c r="G720" s="1">
        <v>0</v>
      </c>
      <c r="H720" s="2">
        <v>26070.49</v>
      </c>
      <c r="I720" s="2">
        <v>0</v>
      </c>
      <c r="J720" s="1">
        <v>2146355.29</v>
      </c>
      <c r="K720" s="1">
        <v>198152.51199999999</v>
      </c>
    </row>
    <row r="721" spans="1:11">
      <c r="A721" t="s">
        <v>1</v>
      </c>
      <c r="B721" s="3">
        <v>41697</v>
      </c>
      <c r="C721" s="3">
        <v>41697</v>
      </c>
      <c r="D721" t="s">
        <v>2</v>
      </c>
      <c r="E721" s="1">
        <v>17.092199999999998</v>
      </c>
      <c r="F721" s="1">
        <v>21840.312999999998</v>
      </c>
      <c r="G721" s="1">
        <v>970</v>
      </c>
      <c r="H721" s="2">
        <v>373299.64</v>
      </c>
      <c r="I721" s="2">
        <v>-16579.46</v>
      </c>
      <c r="J721" s="1">
        <v>46294993.939999998</v>
      </c>
      <c r="K721" s="1">
        <v>2708552.628</v>
      </c>
    </row>
    <row r="722" spans="1:11">
      <c r="A722" t="s">
        <v>1</v>
      </c>
      <c r="B722" s="3">
        <v>41697</v>
      </c>
      <c r="C722" s="3">
        <v>41697</v>
      </c>
      <c r="D722" t="s">
        <v>0</v>
      </c>
      <c r="E722" s="1">
        <v>16.7928</v>
      </c>
      <c r="F722" s="1">
        <v>3.1709999999999998</v>
      </c>
      <c r="G722" s="1">
        <v>0</v>
      </c>
      <c r="H722" s="2">
        <v>53.26</v>
      </c>
      <c r="I722" s="2">
        <v>0</v>
      </c>
      <c r="J722" s="1">
        <v>1958.21</v>
      </c>
      <c r="K722" s="1">
        <v>116.61</v>
      </c>
    </row>
    <row r="723" spans="1:11">
      <c r="A723" t="s">
        <v>1</v>
      </c>
      <c r="B723" s="3">
        <v>41698</v>
      </c>
      <c r="C723" s="3">
        <v>41698</v>
      </c>
      <c r="D723" t="s">
        <v>7</v>
      </c>
      <c r="E723" s="1">
        <v>22.4815</v>
      </c>
      <c r="F723" s="1">
        <v>326660.11200000002</v>
      </c>
      <c r="G723" s="1">
        <v>375134.80200000003</v>
      </c>
      <c r="H723" s="2">
        <v>7310000</v>
      </c>
      <c r="I723" s="2">
        <v>-8394766.5999999996</v>
      </c>
      <c r="J723" s="1">
        <v>297238328.18000001</v>
      </c>
      <c r="K723" s="1">
        <v>13221442.832</v>
      </c>
    </row>
    <row r="724" spans="1:11">
      <c r="A724" t="s">
        <v>1</v>
      </c>
      <c r="B724" s="3">
        <v>41698</v>
      </c>
      <c r="C724" s="3">
        <v>41698</v>
      </c>
      <c r="D724" t="s">
        <v>6</v>
      </c>
      <c r="E724" s="1">
        <v>18.663499999999999</v>
      </c>
      <c r="F724" s="1">
        <v>5279.4030000000002</v>
      </c>
      <c r="G724" s="1">
        <v>35737.084999999999</v>
      </c>
      <c r="H724" s="2">
        <v>98082.86</v>
      </c>
      <c r="I724" s="2">
        <v>-663937.85</v>
      </c>
      <c r="J724" s="1">
        <v>36592763.810000002</v>
      </c>
      <c r="K724" s="1">
        <v>1960656.983</v>
      </c>
    </row>
    <row r="725" spans="1:11">
      <c r="A725" t="s">
        <v>1</v>
      </c>
      <c r="B725" s="3">
        <v>41698</v>
      </c>
      <c r="C725" s="3">
        <v>41698</v>
      </c>
      <c r="D725" t="s">
        <v>10</v>
      </c>
      <c r="E725" s="1">
        <v>18.450299999999999</v>
      </c>
      <c r="F725" s="1">
        <v>1</v>
      </c>
      <c r="G725" s="1">
        <v>15261.822</v>
      </c>
      <c r="H725" s="2">
        <v>18.2</v>
      </c>
      <c r="I725" s="2">
        <v>-277678.42</v>
      </c>
      <c r="J725" s="1">
        <v>18148149.02</v>
      </c>
      <c r="K725" s="1">
        <v>983626.06900000002</v>
      </c>
    </row>
    <row r="726" spans="1:11">
      <c r="A726" t="s">
        <v>1</v>
      </c>
      <c r="B726" s="3">
        <v>41698</v>
      </c>
      <c r="C726" s="3">
        <v>41698</v>
      </c>
      <c r="D726" t="s">
        <v>5</v>
      </c>
      <c r="E726" s="1">
        <v>17.296600000000002</v>
      </c>
      <c r="F726" s="1">
        <v>96930</v>
      </c>
      <c r="G726" s="1">
        <v>16351</v>
      </c>
      <c r="H726" s="2">
        <v>1668805.04</v>
      </c>
      <c r="I726" s="2">
        <v>-281508.63</v>
      </c>
      <c r="J726" s="1">
        <v>20248116.399999999</v>
      </c>
      <c r="K726" s="1">
        <v>1170640.1359999999</v>
      </c>
    </row>
    <row r="727" spans="1:11">
      <c r="A727" t="s">
        <v>1</v>
      </c>
      <c r="B727" s="3">
        <v>41698</v>
      </c>
      <c r="C727" s="3">
        <v>41698</v>
      </c>
      <c r="D727" t="s">
        <v>2</v>
      </c>
      <c r="E727" s="1">
        <v>17.171600000000002</v>
      </c>
      <c r="F727" s="1">
        <v>27159.41</v>
      </c>
      <c r="G727" s="1">
        <v>2291.355</v>
      </c>
      <c r="H727" s="2">
        <v>464212.01</v>
      </c>
      <c r="I727" s="2">
        <v>-39164.120000000003</v>
      </c>
      <c r="J727" s="1">
        <v>46937072.399999999</v>
      </c>
      <c r="K727" s="1">
        <v>2733420.6830000002</v>
      </c>
    </row>
    <row r="728" spans="1:11">
      <c r="A728" t="s">
        <v>1</v>
      </c>
      <c r="B728" s="3">
        <v>41698</v>
      </c>
      <c r="C728" s="3">
        <v>41698</v>
      </c>
      <c r="D728" t="s">
        <v>0</v>
      </c>
      <c r="E728" s="1">
        <v>16.870799999999999</v>
      </c>
      <c r="F728" s="1">
        <v>402.86900000000003</v>
      </c>
      <c r="G728" s="1">
        <v>0.99399999999999999</v>
      </c>
      <c r="H728" s="2">
        <v>6765.28</v>
      </c>
      <c r="I728" s="2">
        <v>-16.690000000000001</v>
      </c>
      <c r="J728" s="1">
        <v>8747.27</v>
      </c>
      <c r="K728" s="1">
        <v>518.48500000000001</v>
      </c>
    </row>
    <row r="729" spans="1:11">
      <c r="A729" t="s">
        <v>1</v>
      </c>
      <c r="B729" s="3">
        <v>41701</v>
      </c>
      <c r="C729" s="3">
        <v>41701</v>
      </c>
      <c r="D729" t="s">
        <v>8</v>
      </c>
      <c r="E729" s="1">
        <v>18.2529</v>
      </c>
      <c r="F729" s="1">
        <v>0</v>
      </c>
      <c r="G729" s="1">
        <v>10162.601000000001</v>
      </c>
      <c r="H729" s="2">
        <v>0</v>
      </c>
      <c r="I729" s="2">
        <v>-184832.9</v>
      </c>
      <c r="J729" s="1">
        <v>6831221.2599999998</v>
      </c>
      <c r="K729" s="1">
        <v>374255.01699999999</v>
      </c>
    </row>
    <row r="730" spans="1:11">
      <c r="A730" t="s">
        <v>1</v>
      </c>
      <c r="B730" s="3">
        <v>41701</v>
      </c>
      <c r="C730" s="3">
        <v>41701</v>
      </c>
      <c r="D730" t="s">
        <v>7</v>
      </c>
      <c r="E730" s="1">
        <v>22.562200000000001</v>
      </c>
      <c r="F730" s="1">
        <v>14988.448</v>
      </c>
      <c r="G730" s="1">
        <v>2772.4879999999998</v>
      </c>
      <c r="H730" s="2">
        <v>336962.8</v>
      </c>
      <c r="I730" s="2">
        <v>-62329.69</v>
      </c>
      <c r="J730" s="1">
        <v>298580806.11000001</v>
      </c>
      <c r="K730" s="1">
        <v>13233658.791999999</v>
      </c>
    </row>
    <row r="731" spans="1:11">
      <c r="A731" t="s">
        <v>1</v>
      </c>
      <c r="B731" s="3">
        <v>41701</v>
      </c>
      <c r="C731" s="3">
        <v>41701</v>
      </c>
      <c r="D731" t="s">
        <v>6</v>
      </c>
      <c r="E731" s="1">
        <v>18.728200000000001</v>
      </c>
      <c r="F731" s="1">
        <v>1421.7360000000001</v>
      </c>
      <c r="G731" s="1">
        <v>210.34200000000001</v>
      </c>
      <c r="H731" s="2">
        <v>26534.57</v>
      </c>
      <c r="I731" s="2">
        <v>-3925.71</v>
      </c>
      <c r="J731" s="1">
        <v>36742279.740000002</v>
      </c>
      <c r="K731" s="1">
        <v>1961868.3770000001</v>
      </c>
    </row>
    <row r="732" spans="1:11">
      <c r="A732" t="s">
        <v>1</v>
      </c>
      <c r="B732" s="3">
        <v>41701</v>
      </c>
      <c r="C732" s="3">
        <v>41701</v>
      </c>
      <c r="D732" t="s">
        <v>5</v>
      </c>
      <c r="E732" s="1">
        <v>17.3598</v>
      </c>
      <c r="F732" s="1">
        <v>155986</v>
      </c>
      <c r="G732" s="1">
        <v>0</v>
      </c>
      <c r="H732" s="2">
        <v>2698027.45</v>
      </c>
      <c r="I732" s="2">
        <v>0</v>
      </c>
      <c r="J732" s="1">
        <v>23029917.52</v>
      </c>
      <c r="K732" s="1">
        <v>1326626.1359999999</v>
      </c>
    </row>
    <row r="733" spans="1:11">
      <c r="A733" t="s">
        <v>1</v>
      </c>
      <c r="B733" s="3">
        <v>41701</v>
      </c>
      <c r="C733" s="3">
        <v>41701</v>
      </c>
      <c r="D733" t="s">
        <v>2</v>
      </c>
      <c r="E733" s="1">
        <v>17.234200000000001</v>
      </c>
      <c r="F733" s="1">
        <v>2463.643</v>
      </c>
      <c r="G733" s="1">
        <v>1495.0509999999999</v>
      </c>
      <c r="H733" s="2">
        <v>42304.63</v>
      </c>
      <c r="I733" s="2">
        <v>-25672.38</v>
      </c>
      <c r="J733" s="1">
        <v>47125127.079999998</v>
      </c>
      <c r="K733" s="1">
        <v>2734389.2749999999</v>
      </c>
    </row>
    <row r="734" spans="1:11">
      <c r="A734" t="s">
        <v>1</v>
      </c>
      <c r="B734" s="3">
        <v>41701</v>
      </c>
      <c r="C734" s="3">
        <v>41701</v>
      </c>
      <c r="D734" t="s">
        <v>9</v>
      </c>
      <c r="E734" s="1">
        <v>18.3033</v>
      </c>
      <c r="F734" s="1">
        <v>2505.8220000000001</v>
      </c>
      <c r="G734" s="1">
        <v>0</v>
      </c>
      <c r="H734" s="2">
        <v>45699.12</v>
      </c>
      <c r="I734" s="2">
        <v>0</v>
      </c>
      <c r="J734" s="1">
        <v>1140542.72</v>
      </c>
      <c r="K734" s="1">
        <v>62313.421999999999</v>
      </c>
    </row>
    <row r="735" spans="1:11">
      <c r="A735" t="s">
        <v>1</v>
      </c>
      <c r="B735" s="3">
        <v>41701</v>
      </c>
      <c r="C735" s="3">
        <v>41701</v>
      </c>
      <c r="D735" t="s">
        <v>0</v>
      </c>
      <c r="E735" s="1">
        <v>16.932600000000001</v>
      </c>
      <c r="F735" s="1">
        <v>16.614999999999998</v>
      </c>
      <c r="G735" s="1">
        <v>0</v>
      </c>
      <c r="H735" s="2">
        <v>280.3</v>
      </c>
      <c r="I735" s="2">
        <v>0</v>
      </c>
      <c r="J735" s="1">
        <v>9060.64</v>
      </c>
      <c r="K735" s="1">
        <v>535.1</v>
      </c>
    </row>
    <row r="736" spans="1:11">
      <c r="A736" t="s">
        <v>1</v>
      </c>
      <c r="B736" s="3">
        <v>41702</v>
      </c>
      <c r="C736" s="3">
        <v>41702</v>
      </c>
      <c r="D736" t="s">
        <v>7</v>
      </c>
      <c r="E736" s="1">
        <v>22.391300000000001</v>
      </c>
      <c r="F736" s="1">
        <v>7532.3760000000002</v>
      </c>
      <c r="G736" s="1">
        <v>204841.03700000001</v>
      </c>
      <c r="H736" s="2">
        <v>169946.98</v>
      </c>
      <c r="I736" s="2">
        <v>-4621664.43</v>
      </c>
      <c r="J736" s="1">
        <v>291901344.85000002</v>
      </c>
      <c r="K736" s="1">
        <v>13036350.130999999</v>
      </c>
    </row>
    <row r="737" spans="1:11">
      <c r="A737" t="s">
        <v>1</v>
      </c>
      <c r="B737" s="3">
        <v>41702</v>
      </c>
      <c r="C737" s="3">
        <v>41702</v>
      </c>
      <c r="D737" t="s">
        <v>12</v>
      </c>
      <c r="E737" s="1">
        <v>17.896899999999999</v>
      </c>
      <c r="F737" s="1">
        <v>2452.134</v>
      </c>
      <c r="G737" s="1">
        <v>38812.186999999998</v>
      </c>
      <c r="H737" s="2">
        <v>44222.53</v>
      </c>
      <c r="I737" s="2">
        <v>-699950.61</v>
      </c>
      <c r="J737" s="1">
        <v>13811323.07</v>
      </c>
      <c r="K737" s="1">
        <v>771714.93299999996</v>
      </c>
    </row>
    <row r="738" spans="1:11">
      <c r="A738" t="s">
        <v>1</v>
      </c>
      <c r="B738" s="3">
        <v>41702</v>
      </c>
      <c r="C738" s="3">
        <v>41702</v>
      </c>
      <c r="D738" t="s">
        <v>6</v>
      </c>
      <c r="E738" s="1">
        <v>18.585599999999999</v>
      </c>
      <c r="F738" s="1">
        <v>6318.8770000000004</v>
      </c>
      <c r="G738" s="1">
        <v>38349.392999999996</v>
      </c>
      <c r="H738" s="2">
        <v>118341.19</v>
      </c>
      <c r="I738" s="2">
        <v>-718215.11</v>
      </c>
      <c r="J738" s="1">
        <v>35867176.700000003</v>
      </c>
      <c r="K738" s="1">
        <v>1929837.861</v>
      </c>
    </row>
    <row r="739" spans="1:11">
      <c r="A739" t="s">
        <v>1</v>
      </c>
      <c r="B739" s="3">
        <v>41702</v>
      </c>
      <c r="C739" s="3">
        <v>41702</v>
      </c>
      <c r="D739" t="s">
        <v>10</v>
      </c>
      <c r="E739" s="1">
        <v>18.333300000000001</v>
      </c>
      <c r="F739" s="1">
        <v>0</v>
      </c>
      <c r="G739" s="1">
        <v>14751</v>
      </c>
      <c r="H739" s="2">
        <v>0</v>
      </c>
      <c r="I739" s="2">
        <v>-272519.45</v>
      </c>
      <c r="J739" s="1">
        <v>17762674</v>
      </c>
      <c r="K739" s="1">
        <v>968875.06900000002</v>
      </c>
    </row>
    <row r="740" spans="1:11">
      <c r="A740" t="s">
        <v>1</v>
      </c>
      <c r="B740" s="3">
        <v>41702</v>
      </c>
      <c r="C740" s="3">
        <v>41702</v>
      </c>
      <c r="D740" t="s">
        <v>5</v>
      </c>
      <c r="E740" s="1">
        <v>17.2286</v>
      </c>
      <c r="F740" s="1">
        <v>285931</v>
      </c>
      <c r="G740" s="1">
        <v>13349</v>
      </c>
      <c r="H740" s="2">
        <v>4963704.97</v>
      </c>
      <c r="I740" s="2">
        <v>-231735.97</v>
      </c>
      <c r="J740" s="1">
        <v>27552187.5</v>
      </c>
      <c r="K740" s="1">
        <v>1599208.1359999999</v>
      </c>
    </row>
    <row r="741" spans="1:11">
      <c r="A741" t="s">
        <v>1</v>
      </c>
      <c r="B741" s="3">
        <v>41702</v>
      </c>
      <c r="C741" s="3">
        <v>41702</v>
      </c>
      <c r="D741" t="s">
        <v>4</v>
      </c>
      <c r="E741" s="1">
        <v>11.138</v>
      </c>
      <c r="F741" s="1">
        <v>103.798</v>
      </c>
      <c r="G741" s="1">
        <v>682.29700000000003</v>
      </c>
      <c r="H741" s="2">
        <v>1164.93</v>
      </c>
      <c r="I741" s="2">
        <v>-7657.42</v>
      </c>
      <c r="J741" s="1">
        <v>355130.63</v>
      </c>
      <c r="K741" s="1">
        <v>31884.475999999999</v>
      </c>
    </row>
    <row r="742" spans="1:11">
      <c r="A742" t="s">
        <v>1</v>
      </c>
      <c r="B742" s="3">
        <v>41702</v>
      </c>
      <c r="C742" s="3">
        <v>41702</v>
      </c>
      <c r="D742" t="s">
        <v>3</v>
      </c>
      <c r="E742" s="1">
        <v>10.836</v>
      </c>
      <c r="F742" s="1">
        <v>1733.0519999999999</v>
      </c>
      <c r="G742" s="1">
        <v>0</v>
      </c>
      <c r="H742" s="2">
        <v>18923.54</v>
      </c>
      <c r="I742" s="2">
        <v>0</v>
      </c>
      <c r="J742" s="1">
        <v>2165969.63</v>
      </c>
      <c r="K742" s="1">
        <v>199885.56400000001</v>
      </c>
    </row>
    <row r="743" spans="1:11">
      <c r="A743" t="s">
        <v>1</v>
      </c>
      <c r="B743" s="3">
        <v>41702</v>
      </c>
      <c r="C743" s="3">
        <v>41702</v>
      </c>
      <c r="D743" t="s">
        <v>14</v>
      </c>
      <c r="E743" s="1">
        <v>11.025700000000001</v>
      </c>
      <c r="F743" s="1">
        <v>780.37800000000004</v>
      </c>
      <c r="G743" s="1">
        <v>0</v>
      </c>
      <c r="H743" s="2">
        <v>8670.23</v>
      </c>
      <c r="I743" s="2">
        <v>0</v>
      </c>
      <c r="J743" s="1">
        <v>469570.93</v>
      </c>
      <c r="K743" s="1">
        <v>42588.839</v>
      </c>
    </row>
    <row r="744" spans="1:11">
      <c r="A744" t="s">
        <v>1</v>
      </c>
      <c r="B744" s="3">
        <v>41702</v>
      </c>
      <c r="C744" s="3">
        <v>41702</v>
      </c>
      <c r="D744" t="s">
        <v>2</v>
      </c>
      <c r="E744" s="1">
        <v>17.104099999999999</v>
      </c>
      <c r="F744" s="1">
        <v>5219.9210000000003</v>
      </c>
      <c r="G744" s="1">
        <v>0</v>
      </c>
      <c r="H744" s="2">
        <v>89961.2</v>
      </c>
      <c r="I744" s="2">
        <v>0</v>
      </c>
      <c r="J744" s="1">
        <v>46858449.770000003</v>
      </c>
      <c r="K744" s="1">
        <v>2739609.196</v>
      </c>
    </row>
    <row r="745" spans="1:11">
      <c r="A745" t="s">
        <v>1</v>
      </c>
      <c r="B745" s="3">
        <v>41702</v>
      </c>
      <c r="C745" s="3">
        <v>41702</v>
      </c>
      <c r="D745" t="s">
        <v>0</v>
      </c>
      <c r="E745" s="1">
        <v>16.8048</v>
      </c>
      <c r="F745" s="1">
        <v>418.27800000000002</v>
      </c>
      <c r="G745" s="1">
        <v>0</v>
      </c>
      <c r="H745" s="2">
        <v>7082.55</v>
      </c>
      <c r="I745" s="2">
        <v>0</v>
      </c>
      <c r="J745" s="1">
        <v>16021.33</v>
      </c>
      <c r="K745" s="1">
        <v>953.37800000000004</v>
      </c>
    </row>
    <row r="746" spans="1:11">
      <c r="A746" t="s">
        <v>1</v>
      </c>
      <c r="B746" s="3">
        <v>41703</v>
      </c>
      <c r="C746" s="3">
        <v>41703</v>
      </c>
      <c r="D746" t="s">
        <v>7</v>
      </c>
      <c r="E746" s="1">
        <v>22.718499999999999</v>
      </c>
      <c r="F746" s="1">
        <v>272040.13</v>
      </c>
      <c r="G746" s="1">
        <v>584897.04399999999</v>
      </c>
      <c r="H746" s="2">
        <v>6091332.1699999999</v>
      </c>
      <c r="I746" s="2">
        <v>-13096605.16</v>
      </c>
      <c r="J746" s="1">
        <v>289059181.31</v>
      </c>
      <c r="K746" s="1">
        <v>12723493.217</v>
      </c>
    </row>
    <row r="747" spans="1:11">
      <c r="A747" t="s">
        <v>1</v>
      </c>
      <c r="B747" s="3">
        <v>41703</v>
      </c>
      <c r="C747" s="3">
        <v>41703</v>
      </c>
      <c r="D747" t="s">
        <v>12</v>
      </c>
      <c r="E747" s="1">
        <v>18.157699999999998</v>
      </c>
      <c r="F747" s="1">
        <v>70736.721999999994</v>
      </c>
      <c r="G747" s="1">
        <v>1037.1030000000001</v>
      </c>
      <c r="H747" s="2">
        <v>1265967.98</v>
      </c>
      <c r="I747" s="2">
        <v>-18560.93</v>
      </c>
      <c r="J747" s="1">
        <v>15278160.43</v>
      </c>
      <c r="K747" s="1">
        <v>841414.55200000003</v>
      </c>
    </row>
    <row r="748" spans="1:11">
      <c r="A748" t="s">
        <v>1</v>
      </c>
      <c r="B748" s="3">
        <v>41703</v>
      </c>
      <c r="C748" s="3">
        <v>41703</v>
      </c>
      <c r="D748" t="s">
        <v>6</v>
      </c>
      <c r="E748" s="1">
        <v>18.856400000000001</v>
      </c>
      <c r="F748" s="1">
        <v>47337.96</v>
      </c>
      <c r="G748" s="1">
        <v>3193.2359999999999</v>
      </c>
      <c r="H748" s="2">
        <v>879804.47</v>
      </c>
      <c r="I748" s="2">
        <v>-59348.21</v>
      </c>
      <c r="J748" s="1">
        <v>37222231.719999999</v>
      </c>
      <c r="K748" s="1">
        <v>1973982.585</v>
      </c>
    </row>
    <row r="749" spans="1:11">
      <c r="A749" t="s">
        <v>1</v>
      </c>
      <c r="B749" s="3">
        <v>41703</v>
      </c>
      <c r="C749" s="3">
        <v>41703</v>
      </c>
      <c r="D749" t="s">
        <v>4</v>
      </c>
      <c r="E749" s="1">
        <v>11.300800000000001</v>
      </c>
      <c r="F749" s="1">
        <v>1421.614</v>
      </c>
      <c r="G749" s="1">
        <v>0</v>
      </c>
      <c r="H749" s="2">
        <v>15833.94</v>
      </c>
      <c r="I749" s="2">
        <v>0</v>
      </c>
      <c r="J749" s="1">
        <v>376385.38</v>
      </c>
      <c r="K749" s="1">
        <v>33306.089999999997</v>
      </c>
    </row>
    <row r="750" spans="1:11">
      <c r="A750" t="s">
        <v>1</v>
      </c>
      <c r="B750" s="3">
        <v>41703</v>
      </c>
      <c r="C750" s="3">
        <v>41703</v>
      </c>
      <c r="D750" t="s">
        <v>2</v>
      </c>
      <c r="E750" s="1">
        <v>17.354399999999998</v>
      </c>
      <c r="F750" s="1">
        <v>36170.374000000003</v>
      </c>
      <c r="G750" s="1">
        <v>0</v>
      </c>
      <c r="H750" s="2">
        <v>618661.78</v>
      </c>
      <c r="I750" s="2">
        <v>0</v>
      </c>
      <c r="J750" s="1">
        <v>48171857.350000001</v>
      </c>
      <c r="K750" s="1">
        <v>2775779.57</v>
      </c>
    </row>
    <row r="751" spans="1:11">
      <c r="A751" t="s">
        <v>1</v>
      </c>
      <c r="B751" s="3">
        <v>41703</v>
      </c>
      <c r="C751" s="3">
        <v>41703</v>
      </c>
      <c r="D751" t="s">
        <v>0</v>
      </c>
      <c r="E751" s="1">
        <v>17.050799999999999</v>
      </c>
      <c r="F751" s="1">
        <v>140.458</v>
      </c>
      <c r="G751" s="1">
        <v>0</v>
      </c>
      <c r="H751" s="2">
        <v>2360.37</v>
      </c>
      <c r="I751" s="2">
        <v>0</v>
      </c>
      <c r="J751" s="1">
        <v>18650.75</v>
      </c>
      <c r="K751" s="1">
        <v>1093.836</v>
      </c>
    </row>
    <row r="752" spans="1:11">
      <c r="A752" t="s">
        <v>1</v>
      </c>
      <c r="B752" s="3">
        <v>41704</v>
      </c>
      <c r="C752" s="3">
        <v>41704</v>
      </c>
      <c r="D752" t="s">
        <v>7</v>
      </c>
      <c r="E752" s="1">
        <v>22.736000000000001</v>
      </c>
      <c r="F752" s="1">
        <v>13495.569</v>
      </c>
      <c r="G752" s="1">
        <v>10452.808000000001</v>
      </c>
      <c r="H752" s="2">
        <v>306599.07</v>
      </c>
      <c r="I752" s="2">
        <v>-237472.11</v>
      </c>
      <c r="J752" s="1">
        <v>289351013.63999999</v>
      </c>
      <c r="K752" s="1">
        <v>12726535.978</v>
      </c>
    </row>
    <row r="753" spans="1:11">
      <c r="A753" t="s">
        <v>1</v>
      </c>
      <c r="B753" s="3">
        <v>41704</v>
      </c>
      <c r="C753" s="3">
        <v>41704</v>
      </c>
      <c r="D753" t="s">
        <v>12</v>
      </c>
      <c r="E753" s="1">
        <v>18.1709</v>
      </c>
      <c r="F753" s="1">
        <v>1392.029</v>
      </c>
      <c r="G753" s="1">
        <v>0</v>
      </c>
      <c r="H753" s="2">
        <v>25276.05</v>
      </c>
      <c r="I753" s="2">
        <v>0</v>
      </c>
      <c r="J753" s="1">
        <v>15314595.27</v>
      </c>
      <c r="K753" s="1">
        <v>842806.58100000001</v>
      </c>
    </row>
    <row r="754" spans="1:11">
      <c r="A754" t="s">
        <v>1</v>
      </c>
      <c r="B754" s="3">
        <v>41704</v>
      </c>
      <c r="C754" s="3">
        <v>41704</v>
      </c>
      <c r="D754" t="s">
        <v>6</v>
      </c>
      <c r="E754" s="1">
        <v>18.870200000000001</v>
      </c>
      <c r="F754" s="1">
        <v>1700.626</v>
      </c>
      <c r="G754" s="1">
        <v>13242.868</v>
      </c>
      <c r="H754" s="2">
        <v>32067.66</v>
      </c>
      <c r="I754" s="2">
        <v>-249712.82</v>
      </c>
      <c r="J754" s="1">
        <v>37031569.149999999</v>
      </c>
      <c r="K754" s="1">
        <v>1962440.3430000001</v>
      </c>
    </row>
    <row r="755" spans="1:11">
      <c r="A755" t="s">
        <v>1</v>
      </c>
      <c r="B755" s="3">
        <v>41704</v>
      </c>
      <c r="C755" s="3">
        <v>41704</v>
      </c>
      <c r="D755" t="s">
        <v>10</v>
      </c>
      <c r="E755" s="1">
        <v>18.598299999999998</v>
      </c>
      <c r="F755" s="1">
        <v>2</v>
      </c>
      <c r="G755" s="1">
        <v>10313</v>
      </c>
      <c r="H755" s="2">
        <v>37.11</v>
      </c>
      <c r="I755" s="2">
        <v>-191365.3</v>
      </c>
      <c r="J755" s="1">
        <v>17827687.010000002</v>
      </c>
      <c r="K755" s="1">
        <v>958564.06900000002</v>
      </c>
    </row>
    <row r="756" spans="1:11">
      <c r="A756" t="s">
        <v>1</v>
      </c>
      <c r="B756" s="3">
        <v>41704</v>
      </c>
      <c r="C756" s="3">
        <v>41704</v>
      </c>
      <c r="D756" t="s">
        <v>5</v>
      </c>
      <c r="E756" s="1">
        <v>17.494599999999998</v>
      </c>
      <c r="F756" s="1">
        <v>0</v>
      </c>
      <c r="G756" s="1">
        <v>190389</v>
      </c>
      <c r="H756" s="2">
        <v>0</v>
      </c>
      <c r="I756" s="2">
        <v>-3328152.03</v>
      </c>
      <c r="J756" s="1">
        <v>24646689.82</v>
      </c>
      <c r="K756" s="1">
        <v>1408819.1359999999</v>
      </c>
    </row>
    <row r="757" spans="1:11">
      <c r="A757" t="s">
        <v>1</v>
      </c>
      <c r="B757" s="3">
        <v>41704</v>
      </c>
      <c r="C757" s="3">
        <v>41704</v>
      </c>
      <c r="D757" t="s">
        <v>4</v>
      </c>
      <c r="E757" s="1">
        <v>11.3095</v>
      </c>
      <c r="F757" s="1">
        <v>7001.9719999999998</v>
      </c>
      <c r="G757" s="1">
        <v>0</v>
      </c>
      <c r="H757" s="2">
        <v>79127.88</v>
      </c>
      <c r="I757" s="2">
        <v>0</v>
      </c>
      <c r="J757" s="1">
        <v>455864.13</v>
      </c>
      <c r="K757" s="1">
        <v>40308.061999999998</v>
      </c>
    </row>
    <row r="758" spans="1:11">
      <c r="A758" t="s">
        <v>1</v>
      </c>
      <c r="B758" s="3">
        <v>41704</v>
      </c>
      <c r="C758" s="3">
        <v>41704</v>
      </c>
      <c r="D758" t="s">
        <v>14</v>
      </c>
      <c r="E758" s="1">
        <v>11.1945</v>
      </c>
      <c r="F758" s="1">
        <v>540.18100000000004</v>
      </c>
      <c r="G758" s="1">
        <v>0</v>
      </c>
      <c r="H758" s="2">
        <v>6042.63</v>
      </c>
      <c r="I758" s="2">
        <v>0</v>
      </c>
      <c r="J758" s="1">
        <v>482807.78</v>
      </c>
      <c r="K758" s="1">
        <v>43129.02</v>
      </c>
    </row>
    <row r="759" spans="1:11">
      <c r="A759" t="s">
        <v>1</v>
      </c>
      <c r="B759" s="3">
        <v>41704</v>
      </c>
      <c r="C759" s="3">
        <v>41704</v>
      </c>
      <c r="D759" t="s">
        <v>2</v>
      </c>
      <c r="E759" s="1">
        <v>17.368099999999998</v>
      </c>
      <c r="F759" s="1">
        <v>12073.388000000001</v>
      </c>
      <c r="G759" s="1">
        <v>1749.9949999999999</v>
      </c>
      <c r="H759" s="2">
        <v>209527.3</v>
      </c>
      <c r="I759" s="2">
        <v>-30370.25</v>
      </c>
      <c r="J759" s="1">
        <v>48389250.990000002</v>
      </c>
      <c r="K759" s="1">
        <v>2786102.963</v>
      </c>
    </row>
    <row r="760" spans="1:11">
      <c r="A760" t="s">
        <v>1</v>
      </c>
      <c r="B760" s="3">
        <v>41704</v>
      </c>
      <c r="C760" s="3">
        <v>41704</v>
      </c>
      <c r="D760" t="s">
        <v>0</v>
      </c>
      <c r="E760" s="1">
        <v>17.064299999999999</v>
      </c>
      <c r="F760" s="1">
        <v>28.291</v>
      </c>
      <c r="G760" s="1">
        <v>0</v>
      </c>
      <c r="H760" s="2">
        <v>482.38</v>
      </c>
      <c r="I760" s="2">
        <v>0</v>
      </c>
      <c r="J760" s="1">
        <v>19148.34</v>
      </c>
      <c r="K760" s="1">
        <v>1122.127</v>
      </c>
    </row>
    <row r="761" spans="1:11">
      <c r="A761" t="s">
        <v>1</v>
      </c>
      <c r="B761" s="3">
        <v>41705</v>
      </c>
      <c r="C761" s="3">
        <v>41705</v>
      </c>
      <c r="D761" t="s">
        <v>8</v>
      </c>
      <c r="E761" s="1">
        <v>18.451599999999999</v>
      </c>
      <c r="F761" s="1">
        <v>22.423999999999999</v>
      </c>
      <c r="G761" s="1">
        <v>0</v>
      </c>
      <c r="H761" s="2">
        <v>412.46</v>
      </c>
      <c r="I761" s="2">
        <v>0</v>
      </c>
      <c r="J761" s="1">
        <v>6906011.7199999997</v>
      </c>
      <c r="K761" s="1">
        <v>374277.44099999999</v>
      </c>
    </row>
    <row r="762" spans="1:11">
      <c r="A762" t="s">
        <v>1</v>
      </c>
      <c r="B762" s="3">
        <v>41705</v>
      </c>
      <c r="C762" s="3">
        <v>41705</v>
      </c>
      <c r="D762" t="s">
        <v>7</v>
      </c>
      <c r="E762" s="1">
        <v>22.8079</v>
      </c>
      <c r="F762" s="1">
        <v>55123.311000000002</v>
      </c>
      <c r="G762" s="1">
        <v>94573.956000000006</v>
      </c>
      <c r="H762" s="2">
        <v>1253283.6100000001</v>
      </c>
      <c r="I762" s="2">
        <v>-2150233.4500000002</v>
      </c>
      <c r="J762" s="1">
        <v>289365520.66000003</v>
      </c>
      <c r="K762" s="1">
        <v>12687085.333000001</v>
      </c>
    </row>
    <row r="763" spans="1:11">
      <c r="A763" t="s">
        <v>1</v>
      </c>
      <c r="B763" s="3">
        <v>41705</v>
      </c>
      <c r="C763" s="3">
        <v>41705</v>
      </c>
      <c r="D763" t="s">
        <v>12</v>
      </c>
      <c r="E763" s="1">
        <v>18.227599999999999</v>
      </c>
      <c r="F763" s="1">
        <v>25098.085999999999</v>
      </c>
      <c r="G763" s="1">
        <v>15419.684999999999</v>
      </c>
      <c r="H763" s="2">
        <v>456054.82</v>
      </c>
      <c r="I763" s="2">
        <v>-280189.56</v>
      </c>
      <c r="J763" s="1">
        <v>15538770.68</v>
      </c>
      <c r="K763" s="1">
        <v>852484.98199999996</v>
      </c>
    </row>
    <row r="764" spans="1:11">
      <c r="A764" t="s">
        <v>1</v>
      </c>
      <c r="B764" s="3">
        <v>41705</v>
      </c>
      <c r="C764" s="3">
        <v>41705</v>
      </c>
      <c r="D764" t="s">
        <v>6</v>
      </c>
      <c r="E764" s="1">
        <v>18.928999999999998</v>
      </c>
      <c r="F764" s="1">
        <v>13539.856</v>
      </c>
      <c r="G764" s="1">
        <v>12920.513000000001</v>
      </c>
      <c r="H764" s="2">
        <v>255499.84</v>
      </c>
      <c r="I764" s="2">
        <v>-243812.63</v>
      </c>
      <c r="J764" s="1">
        <v>37158783.280000001</v>
      </c>
      <c r="K764" s="1">
        <v>1963059.686</v>
      </c>
    </row>
    <row r="765" spans="1:11">
      <c r="A765" t="s">
        <v>1</v>
      </c>
      <c r="B765" s="3">
        <v>41705</v>
      </c>
      <c r="C765" s="3">
        <v>41705</v>
      </c>
      <c r="D765" t="s">
        <v>10</v>
      </c>
      <c r="E765" s="1">
        <v>18.866</v>
      </c>
      <c r="F765" s="1">
        <v>245.94800000000001</v>
      </c>
      <c r="G765" s="1">
        <v>0</v>
      </c>
      <c r="H765" s="2">
        <v>4574.21</v>
      </c>
      <c r="I765" s="2">
        <v>0</v>
      </c>
      <c r="J765" s="1">
        <v>18088927.899999999</v>
      </c>
      <c r="K765" s="1">
        <v>958810.01699999999</v>
      </c>
    </row>
    <row r="766" spans="1:11">
      <c r="A766" t="s">
        <v>1</v>
      </c>
      <c r="B766" s="3">
        <v>41705</v>
      </c>
      <c r="C766" s="3">
        <v>41705</v>
      </c>
      <c r="D766" t="s">
        <v>4</v>
      </c>
      <c r="E766" s="1">
        <v>11.3452</v>
      </c>
      <c r="F766" s="1">
        <v>2020.24</v>
      </c>
      <c r="G766" s="1">
        <v>0</v>
      </c>
      <c r="H766" s="2">
        <v>22847.91</v>
      </c>
      <c r="I766" s="2">
        <v>0</v>
      </c>
      <c r="J766" s="1">
        <v>480224.67</v>
      </c>
      <c r="K766" s="1">
        <v>42328.302000000003</v>
      </c>
    </row>
    <row r="767" spans="1:11">
      <c r="A767" t="s">
        <v>1</v>
      </c>
      <c r="B767" s="3">
        <v>41705</v>
      </c>
      <c r="C767" s="3">
        <v>41705</v>
      </c>
      <c r="D767" t="s">
        <v>2</v>
      </c>
      <c r="E767" s="1">
        <v>17.423300000000001</v>
      </c>
      <c r="F767" s="1">
        <v>10550.486000000001</v>
      </c>
      <c r="G767" s="1">
        <v>0</v>
      </c>
      <c r="H767" s="2">
        <v>183242.01</v>
      </c>
      <c r="I767" s="2">
        <v>0</v>
      </c>
      <c r="J767" s="1">
        <v>48726970.369999997</v>
      </c>
      <c r="K767" s="1">
        <v>2796653.449</v>
      </c>
    </row>
    <row r="768" spans="1:11">
      <c r="A768" t="s">
        <v>1</v>
      </c>
      <c r="B768" s="3">
        <v>41705</v>
      </c>
      <c r="C768" s="3">
        <v>41705</v>
      </c>
      <c r="D768" t="s">
        <v>9</v>
      </c>
      <c r="E768" s="1">
        <v>18.503599999999999</v>
      </c>
      <c r="F768" s="1">
        <v>0</v>
      </c>
      <c r="G768" s="1">
        <v>3.4390000000000001</v>
      </c>
      <c r="H768" s="2">
        <v>0</v>
      </c>
      <c r="I768" s="2">
        <v>-63.43</v>
      </c>
      <c r="J768" s="1">
        <v>1152960.08</v>
      </c>
      <c r="K768" s="1">
        <v>62309.983</v>
      </c>
    </row>
    <row r="769" spans="1:11">
      <c r="A769" t="s">
        <v>1</v>
      </c>
      <c r="B769" s="3">
        <v>41705</v>
      </c>
      <c r="C769" s="3">
        <v>41705</v>
      </c>
      <c r="D769" t="s">
        <v>0</v>
      </c>
      <c r="E769" s="1">
        <v>17.1187</v>
      </c>
      <c r="F769" s="1">
        <v>343.66699999999997</v>
      </c>
      <c r="G769" s="1">
        <v>0</v>
      </c>
      <c r="H769" s="2">
        <v>5864.45</v>
      </c>
      <c r="I769" s="2">
        <v>0</v>
      </c>
      <c r="J769" s="1">
        <v>25092.46</v>
      </c>
      <c r="K769" s="1">
        <v>1465.7940000000001</v>
      </c>
    </row>
    <row r="770" spans="1:11">
      <c r="A770" t="s">
        <v>1</v>
      </c>
      <c r="B770" s="3">
        <v>41708</v>
      </c>
      <c r="C770" s="3">
        <v>41708</v>
      </c>
      <c r="D770" t="s">
        <v>7</v>
      </c>
      <c r="E770" s="1">
        <v>22.8446</v>
      </c>
      <c r="F770" s="1">
        <v>27386.813999999998</v>
      </c>
      <c r="G770" s="1">
        <v>407323.739</v>
      </c>
      <c r="H770" s="2">
        <v>624635.71</v>
      </c>
      <c r="I770" s="2">
        <v>-9290199.1099999994</v>
      </c>
      <c r="J770" s="1">
        <v>281151745.42000002</v>
      </c>
      <c r="K770" s="1">
        <v>12307148.408</v>
      </c>
    </row>
    <row r="771" spans="1:11">
      <c r="A771" t="s">
        <v>1</v>
      </c>
      <c r="B771" s="3">
        <v>41708</v>
      </c>
      <c r="C771" s="3">
        <v>41708</v>
      </c>
      <c r="D771" t="s">
        <v>12</v>
      </c>
      <c r="E771" s="1">
        <v>18.2547</v>
      </c>
      <c r="F771" s="1">
        <v>15851.087</v>
      </c>
      <c r="G771" s="1">
        <v>1917.04</v>
      </c>
      <c r="H771" s="2">
        <v>288927.25</v>
      </c>
      <c r="I771" s="2">
        <v>-34943.040000000001</v>
      </c>
      <c r="J771" s="1">
        <v>15816226.369999999</v>
      </c>
      <c r="K771" s="1">
        <v>866419.02899999998</v>
      </c>
    </row>
    <row r="772" spans="1:11">
      <c r="A772" t="s">
        <v>1</v>
      </c>
      <c r="B772" s="3">
        <v>41708</v>
      </c>
      <c r="C772" s="3">
        <v>41708</v>
      </c>
      <c r="D772" t="s">
        <v>6</v>
      </c>
      <c r="E772" s="1">
        <v>18.957100000000001</v>
      </c>
      <c r="F772" s="1">
        <v>11200.707</v>
      </c>
      <c r="G772" s="1">
        <v>5470.5529999999999</v>
      </c>
      <c r="H772" s="2">
        <v>212018.16</v>
      </c>
      <c r="I772" s="2">
        <v>-103552.09</v>
      </c>
      <c r="J772" s="1">
        <v>37322636.609999999</v>
      </c>
      <c r="K772" s="1">
        <v>1968789.84</v>
      </c>
    </row>
    <row r="773" spans="1:11">
      <c r="A773" t="s">
        <v>1</v>
      </c>
      <c r="B773" s="3">
        <v>41708</v>
      </c>
      <c r="C773" s="3">
        <v>41708</v>
      </c>
      <c r="D773" t="s">
        <v>5</v>
      </c>
      <c r="E773" s="1">
        <v>17.579499999999999</v>
      </c>
      <c r="F773" s="1">
        <v>46803</v>
      </c>
      <c r="G773" s="1">
        <v>0</v>
      </c>
      <c r="H773" s="2">
        <v>821402.01</v>
      </c>
      <c r="I773" s="2">
        <v>0</v>
      </c>
      <c r="J773" s="1">
        <v>25589168.829999998</v>
      </c>
      <c r="K773" s="1">
        <v>1455622.1359999999</v>
      </c>
    </row>
    <row r="774" spans="1:11">
      <c r="A774" t="s">
        <v>1</v>
      </c>
      <c r="B774" s="3">
        <v>41708</v>
      </c>
      <c r="C774" s="3">
        <v>41708</v>
      </c>
      <c r="D774" t="s">
        <v>4</v>
      </c>
      <c r="E774" s="1">
        <v>11.3635</v>
      </c>
      <c r="F774" s="1">
        <v>2995.2139999999999</v>
      </c>
      <c r="G774" s="1">
        <v>29.512</v>
      </c>
      <c r="H774" s="2">
        <v>33981.300000000003</v>
      </c>
      <c r="I774" s="2">
        <v>-334.82</v>
      </c>
      <c r="J774" s="1">
        <v>514698.23999999999</v>
      </c>
      <c r="K774" s="1">
        <v>45294.004000000001</v>
      </c>
    </row>
    <row r="775" spans="1:11">
      <c r="A775" t="s">
        <v>1</v>
      </c>
      <c r="B775" s="3">
        <v>41708</v>
      </c>
      <c r="C775" s="3">
        <v>41708</v>
      </c>
      <c r="D775" t="s">
        <v>3</v>
      </c>
      <c r="E775" s="1">
        <v>11.0527</v>
      </c>
      <c r="F775" s="1">
        <v>771.06</v>
      </c>
      <c r="G775" s="1">
        <v>862.48800000000006</v>
      </c>
      <c r="H775" s="2">
        <v>8509.65</v>
      </c>
      <c r="I775" s="2">
        <v>-9518.68</v>
      </c>
      <c r="J775" s="1">
        <v>2208260.21</v>
      </c>
      <c r="K775" s="1">
        <v>199794.136</v>
      </c>
    </row>
    <row r="776" spans="1:11">
      <c r="A776" t="s">
        <v>1</v>
      </c>
      <c r="B776" s="3">
        <v>41708</v>
      </c>
      <c r="C776" s="3">
        <v>41708</v>
      </c>
      <c r="D776" t="s">
        <v>14</v>
      </c>
      <c r="E776" s="1">
        <v>11.2461</v>
      </c>
      <c r="F776" s="1">
        <v>0</v>
      </c>
      <c r="G776" s="1">
        <v>472.29199999999997</v>
      </c>
      <c r="H776" s="2">
        <v>0</v>
      </c>
      <c r="I776" s="2">
        <v>-5303.56</v>
      </c>
      <c r="J776" s="1">
        <v>479721.87</v>
      </c>
      <c r="K776" s="1">
        <v>42656.728000000003</v>
      </c>
    </row>
    <row r="777" spans="1:11">
      <c r="A777" t="s">
        <v>1</v>
      </c>
      <c r="B777" s="3">
        <v>41708</v>
      </c>
      <c r="C777" s="3">
        <v>41708</v>
      </c>
      <c r="D777" t="s">
        <v>2</v>
      </c>
      <c r="E777" s="1">
        <v>17.452400000000001</v>
      </c>
      <c r="F777" s="1">
        <v>4425.9669999999996</v>
      </c>
      <c r="G777" s="1">
        <v>393.03399999999999</v>
      </c>
      <c r="H777" s="2">
        <v>77115.16</v>
      </c>
      <c r="I777" s="2">
        <v>-6847.96</v>
      </c>
      <c r="J777" s="1">
        <v>48878785.060000002</v>
      </c>
      <c r="K777" s="1">
        <v>2800686.3820000002</v>
      </c>
    </row>
    <row r="778" spans="1:11">
      <c r="A778" t="s">
        <v>1</v>
      </c>
      <c r="B778" s="3">
        <v>41708</v>
      </c>
      <c r="C778" s="3">
        <v>41708</v>
      </c>
      <c r="D778" t="s">
        <v>0</v>
      </c>
      <c r="E778" s="1">
        <v>17.147500000000001</v>
      </c>
      <c r="F778" s="1">
        <v>351.12299999999999</v>
      </c>
      <c r="G778" s="1">
        <v>0</v>
      </c>
      <c r="H778" s="2">
        <v>6010.78</v>
      </c>
      <c r="I778" s="2">
        <v>0</v>
      </c>
      <c r="J778" s="1">
        <v>31155.59</v>
      </c>
      <c r="K778" s="1">
        <v>1816.9169999999999</v>
      </c>
    </row>
    <row r="779" spans="1:11">
      <c r="A779" t="s">
        <v>1</v>
      </c>
      <c r="B779" s="3">
        <v>41709</v>
      </c>
      <c r="C779" s="3">
        <v>41709</v>
      </c>
      <c r="D779" t="s">
        <v>8</v>
      </c>
      <c r="E779" s="1">
        <v>18.494299999999999</v>
      </c>
      <c r="F779" s="1">
        <v>22.518999999999998</v>
      </c>
      <c r="G779" s="1">
        <v>0</v>
      </c>
      <c r="H779" s="2">
        <v>416.19</v>
      </c>
      <c r="I779" s="2">
        <v>0</v>
      </c>
      <c r="J779" s="1">
        <v>6922419.8700000001</v>
      </c>
      <c r="K779" s="1">
        <v>374299.96</v>
      </c>
    </row>
    <row r="780" spans="1:11">
      <c r="A780" t="s">
        <v>1</v>
      </c>
      <c r="B780" s="3">
        <v>41709</v>
      </c>
      <c r="C780" s="3">
        <v>41709</v>
      </c>
      <c r="D780" t="s">
        <v>7</v>
      </c>
      <c r="E780" s="1">
        <v>22.860700000000001</v>
      </c>
      <c r="F780" s="1">
        <v>244355.704</v>
      </c>
      <c r="G780" s="1">
        <v>203151.25899999999</v>
      </c>
      <c r="H780" s="2">
        <v>5582208.3399999999</v>
      </c>
      <c r="I780" s="2">
        <v>-4640909.24</v>
      </c>
      <c r="J780" s="1">
        <v>282291913.42000002</v>
      </c>
      <c r="K780" s="1">
        <v>12348352.853</v>
      </c>
    </row>
    <row r="781" spans="1:11">
      <c r="A781" t="s">
        <v>1</v>
      </c>
      <c r="B781" s="3">
        <v>41709</v>
      </c>
      <c r="C781" s="3">
        <v>41709</v>
      </c>
      <c r="D781" t="s">
        <v>12</v>
      </c>
      <c r="E781" s="1">
        <v>18.2668</v>
      </c>
      <c r="F781" s="1">
        <v>1055.316</v>
      </c>
      <c r="G781" s="1">
        <v>117110.82799999999</v>
      </c>
      <c r="H781" s="2">
        <v>19264.47</v>
      </c>
      <c r="I781" s="2">
        <v>-2137823.0699999998</v>
      </c>
      <c r="J781" s="1">
        <v>13706761.369999999</v>
      </c>
      <c r="K781" s="1">
        <v>750363.51699999999</v>
      </c>
    </row>
    <row r="782" spans="1:11">
      <c r="A782" t="s">
        <v>1</v>
      </c>
      <c r="B782" s="3">
        <v>41709</v>
      </c>
      <c r="C782" s="3">
        <v>41709</v>
      </c>
      <c r="D782" t="s">
        <v>6</v>
      </c>
      <c r="E782" s="1">
        <v>18.9697</v>
      </c>
      <c r="F782" s="1">
        <v>2208.6640000000002</v>
      </c>
      <c r="G782" s="1">
        <v>16259.502</v>
      </c>
      <c r="H782" s="2">
        <v>41869.89</v>
      </c>
      <c r="I782" s="2">
        <v>-308233</v>
      </c>
      <c r="J782" s="1">
        <v>37080874.43</v>
      </c>
      <c r="K782" s="1">
        <v>1954739.0020000001</v>
      </c>
    </row>
    <row r="783" spans="1:11">
      <c r="A783" t="s">
        <v>1</v>
      </c>
      <c r="B783" s="3">
        <v>41709</v>
      </c>
      <c r="C783" s="3">
        <v>41709</v>
      </c>
      <c r="D783" t="s">
        <v>10</v>
      </c>
      <c r="E783" s="1">
        <v>18.837700000000002</v>
      </c>
      <c r="F783" s="1">
        <v>0</v>
      </c>
      <c r="G783" s="1">
        <v>12500</v>
      </c>
      <c r="H783" s="2">
        <v>0</v>
      </c>
      <c r="I783" s="2">
        <v>-235690.13</v>
      </c>
      <c r="J783" s="1">
        <v>17826320.399999999</v>
      </c>
      <c r="K783" s="1">
        <v>946310.01699999999</v>
      </c>
    </row>
    <row r="784" spans="1:11">
      <c r="A784" t="s">
        <v>1</v>
      </c>
      <c r="B784" s="3">
        <v>41709</v>
      </c>
      <c r="C784" s="3">
        <v>41709</v>
      </c>
      <c r="D784" t="s">
        <v>5</v>
      </c>
      <c r="E784" s="1">
        <v>17.592300000000002</v>
      </c>
      <c r="F784" s="1">
        <v>59589</v>
      </c>
      <c r="G784" s="1">
        <v>0</v>
      </c>
      <c r="H784" s="2">
        <v>1047544.83</v>
      </c>
      <c r="I784" s="2">
        <v>0</v>
      </c>
      <c r="J784" s="1">
        <v>26656039.23</v>
      </c>
      <c r="K784" s="1">
        <v>1515211.1359999999</v>
      </c>
    </row>
    <row r="785" spans="1:11">
      <c r="A785" t="s">
        <v>1</v>
      </c>
      <c r="B785" s="3">
        <v>41709</v>
      </c>
      <c r="C785" s="3">
        <v>41709</v>
      </c>
      <c r="D785" t="s">
        <v>4</v>
      </c>
      <c r="E785" s="1">
        <v>11.371499999999999</v>
      </c>
      <c r="F785" s="1">
        <v>5500.0659999999998</v>
      </c>
      <c r="G785" s="1">
        <v>562.73400000000004</v>
      </c>
      <c r="H785" s="2">
        <v>62500</v>
      </c>
      <c r="I785" s="2">
        <v>-6394.63</v>
      </c>
      <c r="J785" s="1">
        <v>571206.02</v>
      </c>
      <c r="K785" s="1">
        <v>50231.336000000003</v>
      </c>
    </row>
    <row r="786" spans="1:11">
      <c r="A786" t="s">
        <v>1</v>
      </c>
      <c r="B786" s="3">
        <v>41709</v>
      </c>
      <c r="C786" s="3">
        <v>41709</v>
      </c>
      <c r="D786" t="s">
        <v>3</v>
      </c>
      <c r="E786" s="1">
        <v>11.06</v>
      </c>
      <c r="F786" s="1">
        <v>1246.232</v>
      </c>
      <c r="G786" s="1">
        <v>0</v>
      </c>
      <c r="H786" s="2">
        <v>13774.23</v>
      </c>
      <c r="I786" s="2">
        <v>0</v>
      </c>
      <c r="J786" s="1">
        <v>2223509.61</v>
      </c>
      <c r="K786" s="1">
        <v>201040.36799999999</v>
      </c>
    </row>
    <row r="787" spans="1:11">
      <c r="A787" t="s">
        <v>1</v>
      </c>
      <c r="B787" s="3">
        <v>41709</v>
      </c>
      <c r="C787" s="3">
        <v>41709</v>
      </c>
      <c r="D787" t="s">
        <v>2</v>
      </c>
      <c r="E787" s="1">
        <v>17.4651</v>
      </c>
      <c r="F787" s="1">
        <v>7014.0309999999999</v>
      </c>
      <c r="G787" s="1">
        <v>0</v>
      </c>
      <c r="H787" s="2">
        <v>122412.16</v>
      </c>
      <c r="I787" s="2">
        <v>0</v>
      </c>
      <c r="J787" s="1">
        <v>49036748.770000003</v>
      </c>
      <c r="K787" s="1">
        <v>2807700.4130000002</v>
      </c>
    </row>
    <row r="788" spans="1:11">
      <c r="A788" t="s">
        <v>1</v>
      </c>
      <c r="B788" s="3">
        <v>41709</v>
      </c>
      <c r="C788" s="3">
        <v>41709</v>
      </c>
      <c r="D788" t="s">
        <v>9</v>
      </c>
      <c r="E788" s="1">
        <v>18.547499999999999</v>
      </c>
      <c r="F788" s="1">
        <v>22.58</v>
      </c>
      <c r="G788" s="1">
        <v>0</v>
      </c>
      <c r="H788" s="2">
        <v>418.5</v>
      </c>
      <c r="I788" s="2">
        <v>0</v>
      </c>
      <c r="J788" s="1">
        <v>1156111.93</v>
      </c>
      <c r="K788" s="1">
        <v>62332.563000000002</v>
      </c>
    </row>
    <row r="789" spans="1:11">
      <c r="A789" t="s">
        <v>1</v>
      </c>
      <c r="B789" s="3">
        <v>41709</v>
      </c>
      <c r="C789" s="3">
        <v>41709</v>
      </c>
      <c r="D789" t="s">
        <v>0</v>
      </c>
      <c r="E789" s="1">
        <v>17.16</v>
      </c>
      <c r="F789" s="1">
        <v>489.01600000000002</v>
      </c>
      <c r="G789" s="1">
        <v>0</v>
      </c>
      <c r="H789" s="2">
        <v>8385.42</v>
      </c>
      <c r="I789" s="2">
        <v>0</v>
      </c>
      <c r="J789" s="1">
        <v>39569.86</v>
      </c>
      <c r="K789" s="1">
        <v>2305.933</v>
      </c>
    </row>
    <row r="790" spans="1:11">
      <c r="A790" t="s">
        <v>1</v>
      </c>
      <c r="B790" s="3">
        <v>41710</v>
      </c>
      <c r="C790" s="3">
        <v>41710</v>
      </c>
      <c r="D790" t="s">
        <v>7</v>
      </c>
      <c r="E790" s="1">
        <v>22.702500000000001</v>
      </c>
      <c r="F790" s="1">
        <v>3365.8629999999998</v>
      </c>
      <c r="G790" s="1">
        <v>27690.292000000001</v>
      </c>
      <c r="H790" s="2">
        <v>76945.960000000006</v>
      </c>
      <c r="I790" s="2">
        <v>-633019.43999999994</v>
      </c>
      <c r="J790" s="1">
        <v>279786174.06</v>
      </c>
      <c r="K790" s="1">
        <v>12324028.424000001</v>
      </c>
    </row>
    <row r="791" spans="1:11">
      <c r="A791" t="s">
        <v>1</v>
      </c>
      <c r="B791" s="3">
        <v>41710</v>
      </c>
      <c r="C791" s="3">
        <v>41710</v>
      </c>
      <c r="D791" t="s">
        <v>12</v>
      </c>
      <c r="E791" s="1">
        <v>18.139700000000001</v>
      </c>
      <c r="F791" s="1">
        <v>0</v>
      </c>
      <c r="G791" s="1">
        <v>1641.511</v>
      </c>
      <c r="H791" s="2">
        <v>0</v>
      </c>
      <c r="I791" s="2">
        <v>-29985.15</v>
      </c>
      <c r="J791" s="1">
        <v>13581568.27</v>
      </c>
      <c r="K791" s="1">
        <v>748722.00600000005</v>
      </c>
    </row>
    <row r="792" spans="1:11">
      <c r="A792" t="s">
        <v>1</v>
      </c>
      <c r="B792" s="3">
        <v>41710</v>
      </c>
      <c r="C792" s="3">
        <v>41710</v>
      </c>
      <c r="D792" t="s">
        <v>6</v>
      </c>
      <c r="E792" s="1">
        <v>18.837700000000002</v>
      </c>
      <c r="F792" s="1">
        <v>14050.082</v>
      </c>
      <c r="G792" s="1">
        <v>8678.6129999999994</v>
      </c>
      <c r="H792" s="2">
        <v>266525.84000000003</v>
      </c>
      <c r="I792" s="2">
        <v>-164630.65</v>
      </c>
      <c r="J792" s="1">
        <v>36923929.68</v>
      </c>
      <c r="K792" s="1">
        <v>1960110.4709999999</v>
      </c>
    </row>
    <row r="793" spans="1:11">
      <c r="A793" t="s">
        <v>1</v>
      </c>
      <c r="B793" s="3">
        <v>41710</v>
      </c>
      <c r="C793" s="3">
        <v>41710</v>
      </c>
      <c r="D793" t="s">
        <v>5</v>
      </c>
      <c r="E793" s="1">
        <v>17.4709</v>
      </c>
      <c r="F793" s="1">
        <v>0</v>
      </c>
      <c r="G793" s="1">
        <v>21703</v>
      </c>
      <c r="H793" s="2">
        <v>0</v>
      </c>
      <c r="I793" s="2">
        <v>-381805.69</v>
      </c>
      <c r="J793" s="1">
        <v>26092950.710000001</v>
      </c>
      <c r="K793" s="1">
        <v>1493508.1359999999</v>
      </c>
    </row>
    <row r="794" spans="1:11">
      <c r="A794" t="s">
        <v>1</v>
      </c>
      <c r="B794" s="3">
        <v>41710</v>
      </c>
      <c r="C794" s="3">
        <v>41710</v>
      </c>
      <c r="D794" t="s">
        <v>4</v>
      </c>
      <c r="E794" s="1">
        <v>11.2928</v>
      </c>
      <c r="F794" s="1">
        <v>16369.189</v>
      </c>
      <c r="G794" s="1">
        <v>88.852999999999994</v>
      </c>
      <c r="H794" s="2">
        <v>186142.23</v>
      </c>
      <c r="I794" s="2">
        <v>-1010.39</v>
      </c>
      <c r="J794" s="1">
        <v>751103.86</v>
      </c>
      <c r="K794" s="1">
        <v>66511.672000000006</v>
      </c>
    </row>
    <row r="795" spans="1:11">
      <c r="A795" t="s">
        <v>1</v>
      </c>
      <c r="B795" s="3">
        <v>41710</v>
      </c>
      <c r="C795" s="3">
        <v>41710</v>
      </c>
      <c r="D795" t="s">
        <v>3</v>
      </c>
      <c r="E795" s="1">
        <v>10.983000000000001</v>
      </c>
      <c r="F795" s="1">
        <v>1656.308</v>
      </c>
      <c r="G795" s="1">
        <v>0</v>
      </c>
      <c r="H795" s="2">
        <v>18318.77</v>
      </c>
      <c r="I795" s="2">
        <v>0</v>
      </c>
      <c r="J795" s="1">
        <v>2226222.36</v>
      </c>
      <c r="K795" s="1">
        <v>202696.67600000001</v>
      </c>
    </row>
    <row r="796" spans="1:11">
      <c r="A796" t="s">
        <v>1</v>
      </c>
      <c r="B796" s="3">
        <v>41710</v>
      </c>
      <c r="C796" s="3">
        <v>41710</v>
      </c>
      <c r="D796" t="s">
        <v>14</v>
      </c>
      <c r="E796" s="1">
        <v>11.1752</v>
      </c>
      <c r="F796" s="1">
        <v>4292.634</v>
      </c>
      <c r="G796" s="1">
        <v>4521.7529999999997</v>
      </c>
      <c r="H796" s="2">
        <v>48307.59</v>
      </c>
      <c r="I796" s="2">
        <v>-50886</v>
      </c>
      <c r="J796" s="1">
        <v>474138.19</v>
      </c>
      <c r="K796" s="1">
        <v>42427.608999999997</v>
      </c>
    </row>
    <row r="797" spans="1:11">
      <c r="A797" t="s">
        <v>1</v>
      </c>
      <c r="B797" s="3">
        <v>41710</v>
      </c>
      <c r="C797" s="3">
        <v>41710</v>
      </c>
      <c r="D797" t="s">
        <v>2</v>
      </c>
      <c r="E797" s="1">
        <v>17.3446</v>
      </c>
      <c r="F797" s="1">
        <v>21138.399000000001</v>
      </c>
      <c r="G797" s="1">
        <v>0</v>
      </c>
      <c r="H797" s="2">
        <v>369183.91</v>
      </c>
      <c r="I797" s="2">
        <v>0</v>
      </c>
      <c r="J797" s="1">
        <v>49065049.390000001</v>
      </c>
      <c r="K797" s="1">
        <v>2828838.8119999999</v>
      </c>
    </row>
    <row r="798" spans="1:11">
      <c r="A798" t="s">
        <v>1</v>
      </c>
      <c r="B798" s="3">
        <v>41710</v>
      </c>
      <c r="C798" s="3">
        <v>41710</v>
      </c>
      <c r="D798" t="s">
        <v>9</v>
      </c>
      <c r="E798" s="1">
        <v>18.4194</v>
      </c>
      <c r="F798" s="1">
        <v>0</v>
      </c>
      <c r="G798" s="1">
        <v>23.149000000000001</v>
      </c>
      <c r="H798" s="2">
        <v>0</v>
      </c>
      <c r="I798" s="2">
        <v>-429.37</v>
      </c>
      <c r="J798" s="1">
        <v>1147700.8600000001</v>
      </c>
      <c r="K798" s="1">
        <v>62309.413999999997</v>
      </c>
    </row>
    <row r="799" spans="1:11">
      <c r="A799" t="s">
        <v>1</v>
      </c>
      <c r="B799" s="3">
        <v>41710</v>
      </c>
      <c r="C799" s="3">
        <v>41710</v>
      </c>
      <c r="D799" t="s">
        <v>0</v>
      </c>
      <c r="E799" s="1">
        <v>17.041699999999999</v>
      </c>
      <c r="F799" s="1">
        <v>631.88</v>
      </c>
      <c r="G799" s="1">
        <v>0</v>
      </c>
      <c r="H799" s="2">
        <v>10843.02</v>
      </c>
      <c r="I799" s="2">
        <v>0</v>
      </c>
      <c r="J799" s="1">
        <v>50065.26</v>
      </c>
      <c r="K799" s="1">
        <v>2937.8130000000001</v>
      </c>
    </row>
    <row r="800" spans="1:11">
      <c r="A800" t="s">
        <v>1</v>
      </c>
      <c r="B800" s="3">
        <v>41711</v>
      </c>
      <c r="C800" s="3">
        <v>41711</v>
      </c>
      <c r="D800" t="s">
        <v>7</v>
      </c>
      <c r="E800" s="1">
        <v>22.6906</v>
      </c>
      <c r="F800" s="1">
        <v>137475.236</v>
      </c>
      <c r="G800" s="1">
        <v>64200.131000000001</v>
      </c>
      <c r="H800" s="2">
        <v>3121031.57</v>
      </c>
      <c r="I800" s="2">
        <v>-1457503.49</v>
      </c>
      <c r="J800" s="1">
        <v>281302166.93000001</v>
      </c>
      <c r="K800" s="1">
        <v>12397303.528999999</v>
      </c>
    </row>
    <row r="801" spans="1:11">
      <c r="A801" t="s">
        <v>1</v>
      </c>
      <c r="B801" s="3">
        <v>41711</v>
      </c>
      <c r="C801" s="3">
        <v>41711</v>
      </c>
      <c r="D801" t="s">
        <v>12</v>
      </c>
      <c r="E801" s="1">
        <v>18.1294</v>
      </c>
      <c r="F801" s="1">
        <v>0</v>
      </c>
      <c r="G801" s="1">
        <v>10018.391</v>
      </c>
      <c r="H801" s="2">
        <v>0</v>
      </c>
      <c r="I801" s="2">
        <v>-181730.6</v>
      </c>
      <c r="J801" s="1">
        <v>13392262.84</v>
      </c>
      <c r="K801" s="1">
        <v>738703.61499999999</v>
      </c>
    </row>
    <row r="802" spans="1:11">
      <c r="A802" t="s">
        <v>1</v>
      </c>
      <c r="B802" s="3">
        <v>41711</v>
      </c>
      <c r="C802" s="3">
        <v>41711</v>
      </c>
      <c r="D802" t="s">
        <v>6</v>
      </c>
      <c r="E802" s="1">
        <v>18.827000000000002</v>
      </c>
      <c r="F802" s="1">
        <v>54.566000000000003</v>
      </c>
      <c r="G802" s="1">
        <v>3058.0410000000002</v>
      </c>
      <c r="H802" s="2">
        <v>1027.9000000000001</v>
      </c>
      <c r="I802" s="2">
        <v>-57606.47</v>
      </c>
      <c r="J802" s="1">
        <v>36846510.240000002</v>
      </c>
      <c r="K802" s="1">
        <v>1957106.996</v>
      </c>
    </row>
    <row r="803" spans="1:11">
      <c r="A803" t="s">
        <v>1</v>
      </c>
      <c r="B803" s="3">
        <v>41711</v>
      </c>
      <c r="C803" s="3">
        <v>41711</v>
      </c>
      <c r="D803" t="s">
        <v>5</v>
      </c>
      <c r="E803" s="1">
        <v>17.4621</v>
      </c>
      <c r="F803" s="1">
        <v>25337</v>
      </c>
      <c r="G803" s="1">
        <v>149500</v>
      </c>
      <c r="H803" s="2">
        <v>442660.19</v>
      </c>
      <c r="I803" s="2">
        <v>-2611899.5499999998</v>
      </c>
      <c r="J803" s="1">
        <v>23911662.199999999</v>
      </c>
      <c r="K803" s="1">
        <v>1369345.1359999999</v>
      </c>
    </row>
    <row r="804" spans="1:11">
      <c r="A804" t="s">
        <v>1</v>
      </c>
      <c r="B804" s="3">
        <v>41711</v>
      </c>
      <c r="C804" s="3">
        <v>41711</v>
      </c>
      <c r="D804" t="s">
        <v>4</v>
      </c>
      <c r="E804" s="1">
        <v>11.286899999999999</v>
      </c>
      <c r="F804" s="1">
        <v>19582.776999999998</v>
      </c>
      <c r="G804" s="1">
        <v>0</v>
      </c>
      <c r="H804" s="2">
        <v>221144.38</v>
      </c>
      <c r="I804" s="2">
        <v>0</v>
      </c>
      <c r="J804" s="1">
        <v>971738.58</v>
      </c>
      <c r="K804" s="1">
        <v>86094.448999999993</v>
      </c>
    </row>
    <row r="805" spans="1:11">
      <c r="A805" t="s">
        <v>1</v>
      </c>
      <c r="B805" s="3">
        <v>41711</v>
      </c>
      <c r="C805" s="3">
        <v>41711</v>
      </c>
      <c r="D805" t="s">
        <v>3</v>
      </c>
      <c r="E805" s="1">
        <v>10.976800000000001</v>
      </c>
      <c r="F805" s="1">
        <v>2593.319</v>
      </c>
      <c r="G805" s="1">
        <v>2604.4760000000001</v>
      </c>
      <c r="H805" s="2">
        <v>28482.42</v>
      </c>
      <c r="I805" s="2">
        <v>-28604.959999999999</v>
      </c>
      <c r="J805" s="1">
        <v>2224841.4300000002</v>
      </c>
      <c r="K805" s="1">
        <v>202685.519</v>
      </c>
    </row>
    <row r="806" spans="1:11">
      <c r="A806" t="s">
        <v>1</v>
      </c>
      <c r="B806" s="3">
        <v>41711</v>
      </c>
      <c r="C806" s="3">
        <v>41711</v>
      </c>
      <c r="D806" t="s">
        <v>14</v>
      </c>
      <c r="E806" s="1">
        <v>11.168900000000001</v>
      </c>
      <c r="F806" s="1">
        <v>0</v>
      </c>
      <c r="G806" s="1">
        <v>1577.117</v>
      </c>
      <c r="H806" s="2">
        <v>0</v>
      </c>
      <c r="I806" s="2">
        <v>-17624.599999999999</v>
      </c>
      <c r="J806" s="1">
        <v>456255.52</v>
      </c>
      <c r="K806" s="1">
        <v>40850.491999999998</v>
      </c>
    </row>
    <row r="807" spans="1:11">
      <c r="A807" t="s">
        <v>1</v>
      </c>
      <c r="B807" s="3">
        <v>41711</v>
      </c>
      <c r="C807" s="3">
        <v>41711</v>
      </c>
      <c r="D807" t="s">
        <v>2</v>
      </c>
      <c r="E807" s="1">
        <v>17.335899999999999</v>
      </c>
      <c r="F807" s="1">
        <v>6261.9449999999997</v>
      </c>
      <c r="G807" s="1">
        <v>0</v>
      </c>
      <c r="H807" s="2">
        <v>108611.15</v>
      </c>
      <c r="I807" s="2">
        <v>0</v>
      </c>
      <c r="J807" s="1">
        <v>49148894.280000001</v>
      </c>
      <c r="K807" s="1">
        <v>2835100.7570000002</v>
      </c>
    </row>
    <row r="808" spans="1:11">
      <c r="A808" t="s">
        <v>1</v>
      </c>
      <c r="B808" s="3">
        <v>41711</v>
      </c>
      <c r="C808" s="3">
        <v>41711</v>
      </c>
      <c r="D808" t="s">
        <v>9</v>
      </c>
      <c r="E808" s="1">
        <v>18.41</v>
      </c>
      <c r="F808" s="1">
        <v>1.7989999999999999</v>
      </c>
      <c r="G808" s="1">
        <v>3.7120000000000002</v>
      </c>
      <c r="H808" s="2">
        <v>33.14</v>
      </c>
      <c r="I808" s="2">
        <v>-68.38</v>
      </c>
      <c r="J808" s="1">
        <v>1147079.75</v>
      </c>
      <c r="K808" s="1">
        <v>62307.500999999997</v>
      </c>
    </row>
    <row r="809" spans="1:11">
      <c r="A809" t="s">
        <v>1</v>
      </c>
      <c r="B809" s="3">
        <v>41711</v>
      </c>
      <c r="C809" s="3">
        <v>41711</v>
      </c>
      <c r="D809" t="s">
        <v>0</v>
      </c>
      <c r="E809" s="1">
        <v>17.033200000000001</v>
      </c>
      <c r="F809" s="1">
        <v>809.52</v>
      </c>
      <c r="G809" s="1">
        <v>0</v>
      </c>
      <c r="H809" s="2">
        <v>13795.55</v>
      </c>
      <c r="I809" s="2">
        <v>0</v>
      </c>
      <c r="J809" s="1">
        <v>63828.9</v>
      </c>
      <c r="K809" s="1">
        <v>3747.3330000000001</v>
      </c>
    </row>
    <row r="810" spans="1:11">
      <c r="A810" t="s">
        <v>1</v>
      </c>
      <c r="B810" s="3">
        <v>41712</v>
      </c>
      <c r="C810" s="3">
        <v>41712</v>
      </c>
      <c r="D810" t="s">
        <v>7</v>
      </c>
      <c r="E810" s="1">
        <v>22.423500000000001</v>
      </c>
      <c r="F810" s="1">
        <v>204715.05900000001</v>
      </c>
      <c r="G810" s="1">
        <v>428049.72399999999</v>
      </c>
      <c r="H810" s="2">
        <v>4645107.5199999996</v>
      </c>
      <c r="I810" s="2">
        <v>-9712705.0299999993</v>
      </c>
      <c r="J810" s="1">
        <v>272983107.31999999</v>
      </c>
      <c r="K810" s="1">
        <v>12173968.864</v>
      </c>
    </row>
    <row r="811" spans="1:11">
      <c r="A811" t="s">
        <v>1</v>
      </c>
      <c r="B811" s="3">
        <v>41712</v>
      </c>
      <c r="C811" s="3">
        <v>41712</v>
      </c>
      <c r="D811" t="s">
        <v>12</v>
      </c>
      <c r="E811" s="1">
        <v>17.915299999999998</v>
      </c>
      <c r="F811" s="1">
        <v>47947.192000000003</v>
      </c>
      <c r="G811" s="1">
        <v>2905.1619999999998</v>
      </c>
      <c r="H811" s="2">
        <v>869253.82</v>
      </c>
      <c r="I811" s="2">
        <v>-52668.83</v>
      </c>
      <c r="J811" s="1">
        <v>14041016.449999999</v>
      </c>
      <c r="K811" s="1">
        <v>783745.64500000002</v>
      </c>
    </row>
    <row r="812" spans="1:11">
      <c r="A812" t="s">
        <v>1</v>
      </c>
      <c r="B812" s="3">
        <v>41712</v>
      </c>
      <c r="C812" s="3">
        <v>41712</v>
      </c>
      <c r="D812" t="s">
        <v>6</v>
      </c>
      <c r="E812" s="1">
        <v>18.604600000000001</v>
      </c>
      <c r="F812" s="1">
        <v>9991.5619999999999</v>
      </c>
      <c r="G812" s="1">
        <v>18568.440999999999</v>
      </c>
      <c r="H812" s="2">
        <v>188111.16</v>
      </c>
      <c r="I812" s="2">
        <v>-349588.05</v>
      </c>
      <c r="J812" s="1">
        <v>36251718.850000001</v>
      </c>
      <c r="K812" s="1">
        <v>1948530.1170000001</v>
      </c>
    </row>
    <row r="813" spans="1:11">
      <c r="A813" t="s">
        <v>1</v>
      </c>
      <c r="B813" s="3">
        <v>41712</v>
      </c>
      <c r="C813" s="3">
        <v>41712</v>
      </c>
      <c r="D813" t="s">
        <v>10</v>
      </c>
      <c r="E813" s="1">
        <v>18.522500000000001</v>
      </c>
      <c r="F813" s="1">
        <v>0</v>
      </c>
      <c r="G813" s="1">
        <v>266.66300000000001</v>
      </c>
      <c r="H813" s="2">
        <v>0</v>
      </c>
      <c r="I813" s="2">
        <v>-5024.34</v>
      </c>
      <c r="J813" s="1">
        <v>17523065.899999999</v>
      </c>
      <c r="K813" s="1">
        <v>946043.35400000005</v>
      </c>
    </row>
    <row r="814" spans="1:11">
      <c r="A814" t="s">
        <v>1</v>
      </c>
      <c r="B814" s="3">
        <v>41712</v>
      </c>
      <c r="C814" s="3">
        <v>41712</v>
      </c>
      <c r="D814" t="s">
        <v>5</v>
      </c>
      <c r="E814" s="1">
        <v>17.256900000000002</v>
      </c>
      <c r="F814" s="1">
        <v>0</v>
      </c>
      <c r="G814" s="1">
        <v>19135</v>
      </c>
      <c r="H814" s="2">
        <v>0</v>
      </c>
      <c r="I814" s="2">
        <v>-334137.28000000003</v>
      </c>
      <c r="J814" s="1">
        <v>23300486.460000001</v>
      </c>
      <c r="K814" s="1">
        <v>1350210.1359999999</v>
      </c>
    </row>
    <row r="815" spans="1:11">
      <c r="A815" t="s">
        <v>1</v>
      </c>
      <c r="B815" s="3">
        <v>41712</v>
      </c>
      <c r="C815" s="3">
        <v>41712</v>
      </c>
      <c r="D815" t="s">
        <v>4</v>
      </c>
      <c r="E815" s="1">
        <v>11.154</v>
      </c>
      <c r="F815" s="1">
        <v>11334.32</v>
      </c>
      <c r="G815" s="1">
        <v>91.933000000000007</v>
      </c>
      <c r="H815" s="2">
        <v>127929.34</v>
      </c>
      <c r="I815" s="2">
        <v>-1037.6400000000001</v>
      </c>
      <c r="J815" s="1">
        <v>1085698.68</v>
      </c>
      <c r="K815" s="1">
        <v>97336.835999999996</v>
      </c>
    </row>
    <row r="816" spans="1:11">
      <c r="A816" t="s">
        <v>1</v>
      </c>
      <c r="B816" s="3">
        <v>41712</v>
      </c>
      <c r="C816" s="3">
        <v>41712</v>
      </c>
      <c r="D816" t="s">
        <v>3</v>
      </c>
      <c r="E816" s="1">
        <v>10.847200000000001</v>
      </c>
      <c r="F816" s="1">
        <v>0</v>
      </c>
      <c r="G816" s="1">
        <v>4603.8289999999997</v>
      </c>
      <c r="H816" s="2">
        <v>0</v>
      </c>
      <c r="I816" s="2">
        <v>-50535.31</v>
      </c>
      <c r="J816" s="1">
        <v>2148623.77</v>
      </c>
      <c r="K816" s="1">
        <v>198081.69</v>
      </c>
    </row>
    <row r="817" spans="1:11">
      <c r="A817" t="s">
        <v>1</v>
      </c>
      <c r="B817" s="3">
        <v>41712</v>
      </c>
      <c r="C817" s="3">
        <v>41712</v>
      </c>
      <c r="D817" t="s">
        <v>2</v>
      </c>
      <c r="E817" s="1">
        <v>17.132200000000001</v>
      </c>
      <c r="F817" s="1">
        <v>5367.424</v>
      </c>
      <c r="G817" s="1">
        <v>0</v>
      </c>
      <c r="H817" s="2">
        <v>93049.17</v>
      </c>
      <c r="I817" s="2">
        <v>0</v>
      </c>
      <c r="J817" s="1">
        <v>48663345.299999997</v>
      </c>
      <c r="K817" s="1">
        <v>2840468.1809999999</v>
      </c>
    </row>
    <row r="818" spans="1:11">
      <c r="A818" t="s">
        <v>1</v>
      </c>
      <c r="B818" s="3">
        <v>41712</v>
      </c>
      <c r="C818" s="3">
        <v>41712</v>
      </c>
      <c r="D818" t="s">
        <v>9</v>
      </c>
      <c r="E818" s="1">
        <v>18.1935</v>
      </c>
      <c r="F818" s="1">
        <v>851.85</v>
      </c>
      <c r="G818" s="1">
        <v>0</v>
      </c>
      <c r="H818" s="2">
        <v>15682.49</v>
      </c>
      <c r="I818" s="2">
        <v>0</v>
      </c>
      <c r="J818" s="1">
        <v>1149091.71</v>
      </c>
      <c r="K818" s="1">
        <v>63159.351000000002</v>
      </c>
    </row>
    <row r="819" spans="1:11">
      <c r="A819" t="s">
        <v>1</v>
      </c>
      <c r="B819" s="3">
        <v>41712</v>
      </c>
      <c r="C819" s="3">
        <v>41712</v>
      </c>
      <c r="D819" t="s">
        <v>0</v>
      </c>
      <c r="E819" s="1">
        <v>16.833100000000002</v>
      </c>
      <c r="F819" s="1">
        <v>785.65499999999997</v>
      </c>
      <c r="G819" s="1">
        <v>0</v>
      </c>
      <c r="H819" s="2">
        <v>13382.25</v>
      </c>
      <c r="I819" s="2">
        <v>0</v>
      </c>
      <c r="J819" s="1">
        <v>76304.22</v>
      </c>
      <c r="K819" s="1">
        <v>4532.9880000000003</v>
      </c>
    </row>
    <row r="820" spans="1:11">
      <c r="A820" t="s">
        <v>1</v>
      </c>
      <c r="B820" s="3">
        <v>41716</v>
      </c>
      <c r="C820" s="3">
        <v>41716</v>
      </c>
      <c r="D820" t="s">
        <v>7</v>
      </c>
      <c r="E820" s="1">
        <v>22.633700000000001</v>
      </c>
      <c r="F820" s="1">
        <v>14772.01</v>
      </c>
      <c r="G820" s="1">
        <v>11935.380999999999</v>
      </c>
      <c r="H820" s="2">
        <v>331240.13</v>
      </c>
      <c r="I820" s="2">
        <v>-267633.02</v>
      </c>
      <c r="J820" s="1">
        <v>275606037.82999998</v>
      </c>
      <c r="K820" s="1">
        <v>12176805.493000001</v>
      </c>
    </row>
    <row r="821" spans="1:11">
      <c r="A821" t="s">
        <v>1</v>
      </c>
      <c r="B821" s="3">
        <v>41716</v>
      </c>
      <c r="C821" s="3">
        <v>41716</v>
      </c>
      <c r="D821" t="s">
        <v>12</v>
      </c>
      <c r="E821" s="1">
        <v>18.080200000000001</v>
      </c>
      <c r="F821" s="1">
        <v>517.43399999999997</v>
      </c>
      <c r="G821" s="1">
        <v>43804.764999999999</v>
      </c>
      <c r="H821" s="2">
        <v>9269.98</v>
      </c>
      <c r="I821" s="2">
        <v>-784775.51</v>
      </c>
      <c r="J821" s="1">
        <v>13387670.640000001</v>
      </c>
      <c r="K821" s="1">
        <v>740458.31400000001</v>
      </c>
    </row>
    <row r="822" spans="1:11">
      <c r="A822" t="s">
        <v>1</v>
      </c>
      <c r="B822" s="3">
        <v>41716</v>
      </c>
      <c r="C822" s="3">
        <v>41716</v>
      </c>
      <c r="D822" t="s">
        <v>6</v>
      </c>
      <c r="E822" s="1">
        <v>18.776</v>
      </c>
      <c r="F822" s="1">
        <v>5077.8829999999998</v>
      </c>
      <c r="G822" s="1">
        <v>8141.73</v>
      </c>
      <c r="H822" s="2">
        <v>94471.97</v>
      </c>
      <c r="I822" s="2">
        <v>-151473.62</v>
      </c>
      <c r="J822" s="1">
        <v>36528027.960000001</v>
      </c>
      <c r="K822" s="1">
        <v>1945466.27</v>
      </c>
    </row>
    <row r="823" spans="1:11">
      <c r="A823" t="s">
        <v>1</v>
      </c>
      <c r="B823" s="3">
        <v>41716</v>
      </c>
      <c r="C823" s="3">
        <v>41716</v>
      </c>
      <c r="D823" t="s">
        <v>4</v>
      </c>
      <c r="E823" s="1">
        <v>11.258599999999999</v>
      </c>
      <c r="F823" s="1">
        <v>2304.2510000000002</v>
      </c>
      <c r="G823" s="1">
        <v>0</v>
      </c>
      <c r="H823" s="2">
        <v>25701.62</v>
      </c>
      <c r="I823" s="2">
        <v>0</v>
      </c>
      <c r="J823" s="1">
        <v>1121817.68</v>
      </c>
      <c r="K823" s="1">
        <v>99641.087</v>
      </c>
    </row>
    <row r="824" spans="1:11">
      <c r="A824" t="s">
        <v>1</v>
      </c>
      <c r="B824" s="3">
        <v>41716</v>
      </c>
      <c r="C824" s="3">
        <v>41716</v>
      </c>
      <c r="D824" t="s">
        <v>3</v>
      </c>
      <c r="E824" s="1">
        <v>10.946999999999999</v>
      </c>
      <c r="F824" s="1">
        <v>233.49</v>
      </c>
      <c r="G824" s="1">
        <v>0</v>
      </c>
      <c r="H824" s="2">
        <v>2532.71</v>
      </c>
      <c r="I824" s="2">
        <v>0</v>
      </c>
      <c r="J824" s="1">
        <v>2170966.12</v>
      </c>
      <c r="K824" s="1">
        <v>198315.18</v>
      </c>
    </row>
    <row r="825" spans="1:11">
      <c r="A825" t="s">
        <v>1</v>
      </c>
      <c r="B825" s="3">
        <v>41716</v>
      </c>
      <c r="C825" s="3">
        <v>41716</v>
      </c>
      <c r="D825" t="s">
        <v>14</v>
      </c>
      <c r="E825" s="1">
        <v>11.1386</v>
      </c>
      <c r="F825" s="1">
        <v>299.50200000000001</v>
      </c>
      <c r="G825" s="1">
        <v>0</v>
      </c>
      <c r="H825" s="2">
        <v>3305.6</v>
      </c>
      <c r="I825" s="2">
        <v>0</v>
      </c>
      <c r="J825" s="1">
        <v>458354.34</v>
      </c>
      <c r="K825" s="1">
        <v>41149.993999999999</v>
      </c>
    </row>
    <row r="826" spans="1:11">
      <c r="A826" t="s">
        <v>1</v>
      </c>
      <c r="B826" s="3">
        <v>41716</v>
      </c>
      <c r="C826" s="3">
        <v>41716</v>
      </c>
      <c r="D826" t="s">
        <v>2</v>
      </c>
      <c r="E826" s="1">
        <v>17.2941</v>
      </c>
      <c r="F826" s="1">
        <v>4887.6469999999999</v>
      </c>
      <c r="G826" s="1">
        <v>0</v>
      </c>
      <c r="H826" s="2">
        <v>83735.78</v>
      </c>
      <c r="I826" s="2">
        <v>0</v>
      </c>
      <c r="J826" s="1">
        <v>49208004.170000002</v>
      </c>
      <c r="K826" s="1">
        <v>2845355.8280000002</v>
      </c>
    </row>
    <row r="827" spans="1:11">
      <c r="A827" t="s">
        <v>1</v>
      </c>
      <c r="B827" s="3">
        <v>41716</v>
      </c>
      <c r="C827" s="3">
        <v>41716</v>
      </c>
      <c r="D827" t="s">
        <v>0</v>
      </c>
      <c r="E827" s="1">
        <v>16.9925</v>
      </c>
      <c r="F827" s="1">
        <v>953.274</v>
      </c>
      <c r="G827" s="1">
        <v>15.942</v>
      </c>
      <c r="H827" s="2">
        <v>16046.47</v>
      </c>
      <c r="I827" s="2">
        <v>-268.33999999999997</v>
      </c>
      <c r="J827" s="1">
        <v>92954.52</v>
      </c>
      <c r="K827" s="1">
        <v>5470.32</v>
      </c>
    </row>
    <row r="828" spans="1:11">
      <c r="A828" t="s">
        <v>1</v>
      </c>
      <c r="B828" s="3">
        <v>41717</v>
      </c>
      <c r="C828" s="3">
        <v>41717</v>
      </c>
      <c r="D828" t="s">
        <v>8</v>
      </c>
      <c r="E828" s="1">
        <v>18.409700000000001</v>
      </c>
      <c r="F828" s="1">
        <v>22.827000000000002</v>
      </c>
      <c r="G828" s="1">
        <v>0</v>
      </c>
      <c r="H828" s="2">
        <v>417.98</v>
      </c>
      <c r="I828" s="2">
        <v>0</v>
      </c>
      <c r="J828" s="1">
        <v>6891184.0300000003</v>
      </c>
      <c r="K828" s="1">
        <v>374322.78700000001</v>
      </c>
    </row>
    <row r="829" spans="1:11">
      <c r="A829" t="s">
        <v>1</v>
      </c>
      <c r="B829" s="3">
        <v>41717</v>
      </c>
      <c r="C829" s="3">
        <v>41717</v>
      </c>
      <c r="D829" t="s">
        <v>7</v>
      </c>
      <c r="E829" s="1">
        <v>22.7562</v>
      </c>
      <c r="F829" s="1">
        <v>18081.911</v>
      </c>
      <c r="G829" s="1">
        <v>106281.039</v>
      </c>
      <c r="H829" s="2">
        <v>409260.59</v>
      </c>
      <c r="I829" s="2">
        <v>-2405533.14</v>
      </c>
      <c r="J829" s="1">
        <v>275090163.49000001</v>
      </c>
      <c r="K829" s="1">
        <v>12088606.365</v>
      </c>
    </row>
    <row r="830" spans="1:11">
      <c r="A830" t="s">
        <v>1</v>
      </c>
      <c r="B830" s="3">
        <v>41717</v>
      </c>
      <c r="C830" s="3">
        <v>41717</v>
      </c>
      <c r="D830" t="s">
        <v>12</v>
      </c>
      <c r="E830" s="1">
        <v>18.177299999999999</v>
      </c>
      <c r="F830" s="1">
        <v>23096.321</v>
      </c>
      <c r="G830" s="1">
        <v>9695.9560000000001</v>
      </c>
      <c r="H830" s="2">
        <v>417586.1</v>
      </c>
      <c r="I830" s="2">
        <v>-175304.83</v>
      </c>
      <c r="J830" s="1">
        <v>13703138.24</v>
      </c>
      <c r="K830" s="1">
        <v>753858.679</v>
      </c>
    </row>
    <row r="831" spans="1:11">
      <c r="A831" t="s">
        <v>1</v>
      </c>
      <c r="B831" s="3">
        <v>41717</v>
      </c>
      <c r="C831" s="3">
        <v>41717</v>
      </c>
      <c r="D831" t="s">
        <v>6</v>
      </c>
      <c r="E831" s="1">
        <v>18.876799999999999</v>
      </c>
      <c r="F831" s="1">
        <v>22135.096000000001</v>
      </c>
      <c r="G831" s="1">
        <v>16206.942999999999</v>
      </c>
      <c r="H831" s="2">
        <v>415608.56</v>
      </c>
      <c r="I831" s="2">
        <v>-304301.58</v>
      </c>
      <c r="J831" s="1">
        <v>36836070.689999998</v>
      </c>
      <c r="K831" s="1">
        <v>1951394.423</v>
      </c>
    </row>
    <row r="832" spans="1:11">
      <c r="A832" t="s">
        <v>1</v>
      </c>
      <c r="B832" s="3">
        <v>41717</v>
      </c>
      <c r="C832" s="3">
        <v>41717</v>
      </c>
      <c r="D832" t="s">
        <v>5</v>
      </c>
      <c r="E832" s="1">
        <v>17.514700000000001</v>
      </c>
      <c r="F832" s="1">
        <v>0</v>
      </c>
      <c r="G832" s="1">
        <v>63678</v>
      </c>
      <c r="H832" s="2">
        <v>0</v>
      </c>
      <c r="I832" s="2">
        <v>-1109277.1299999999</v>
      </c>
      <c r="J832" s="1">
        <v>22533245.440000001</v>
      </c>
      <c r="K832" s="1">
        <v>1286532.1359999999</v>
      </c>
    </row>
    <row r="833" spans="1:11">
      <c r="A833" t="s">
        <v>1</v>
      </c>
      <c r="B833" s="3">
        <v>41717</v>
      </c>
      <c r="C833" s="3">
        <v>41717</v>
      </c>
      <c r="D833" t="s">
        <v>4</v>
      </c>
      <c r="E833" s="1">
        <v>11.3195</v>
      </c>
      <c r="F833" s="1">
        <v>35012.516000000003</v>
      </c>
      <c r="G833" s="1">
        <v>0</v>
      </c>
      <c r="H833" s="2">
        <v>394191.91</v>
      </c>
      <c r="I833" s="2">
        <v>0</v>
      </c>
      <c r="J833" s="1">
        <v>1524212.13</v>
      </c>
      <c r="K833" s="1">
        <v>134653.603</v>
      </c>
    </row>
    <row r="834" spans="1:11">
      <c r="A834" t="s">
        <v>1</v>
      </c>
      <c r="B834" s="3">
        <v>41717</v>
      </c>
      <c r="C834" s="3">
        <v>41717</v>
      </c>
      <c r="D834" t="s">
        <v>3</v>
      </c>
      <c r="E834" s="1">
        <v>11.005800000000001</v>
      </c>
      <c r="F834" s="1">
        <v>812.82</v>
      </c>
      <c r="G834" s="1">
        <v>8135.5479999999998</v>
      </c>
      <c r="H834" s="2">
        <v>8897.94</v>
      </c>
      <c r="I834" s="2">
        <v>-89059.839999999997</v>
      </c>
      <c r="J834" s="1">
        <v>2102030.84</v>
      </c>
      <c r="K834" s="1">
        <v>190992.45199999999</v>
      </c>
    </row>
    <row r="835" spans="1:11">
      <c r="A835" t="s">
        <v>1</v>
      </c>
      <c r="B835" s="3">
        <v>41717</v>
      </c>
      <c r="C835" s="3">
        <v>41717</v>
      </c>
      <c r="D835" t="s">
        <v>14</v>
      </c>
      <c r="E835" s="1">
        <v>11.198399999999999</v>
      </c>
      <c r="F835" s="1">
        <v>2005</v>
      </c>
      <c r="G835" s="1">
        <v>0</v>
      </c>
      <c r="H835" s="2">
        <v>22332.89</v>
      </c>
      <c r="I835" s="2">
        <v>0</v>
      </c>
      <c r="J835" s="1">
        <v>483268.29</v>
      </c>
      <c r="K835" s="1">
        <v>43154.993999999999</v>
      </c>
    </row>
    <row r="836" spans="1:11">
      <c r="A836" t="s">
        <v>1</v>
      </c>
      <c r="B836" s="3">
        <v>41717</v>
      </c>
      <c r="C836" s="3">
        <v>41717</v>
      </c>
      <c r="D836" t="s">
        <v>2</v>
      </c>
      <c r="E836" s="1">
        <v>17.388100000000001</v>
      </c>
      <c r="F836" s="1">
        <v>27576.128000000001</v>
      </c>
      <c r="G836" s="1">
        <v>0</v>
      </c>
      <c r="H836" s="2">
        <v>476902.5</v>
      </c>
      <c r="I836" s="2">
        <v>0</v>
      </c>
      <c r="J836" s="1">
        <v>49954753.689999998</v>
      </c>
      <c r="K836" s="1">
        <v>2872931.9559999998</v>
      </c>
    </row>
    <row r="837" spans="1:11">
      <c r="A837" t="s">
        <v>1</v>
      </c>
      <c r="B837" s="3">
        <v>41717</v>
      </c>
      <c r="C837" s="3">
        <v>41717</v>
      </c>
      <c r="D837" t="s">
        <v>9</v>
      </c>
      <c r="E837" s="1">
        <v>18.464700000000001</v>
      </c>
      <c r="F837" s="1">
        <v>131.303</v>
      </c>
      <c r="G837" s="1">
        <v>0</v>
      </c>
      <c r="H837" s="2">
        <v>2411.39</v>
      </c>
      <c r="I837" s="2">
        <v>0</v>
      </c>
      <c r="J837" s="1">
        <v>1168641.6000000001</v>
      </c>
      <c r="K837" s="1">
        <v>63290.654000000002</v>
      </c>
    </row>
    <row r="838" spans="1:11">
      <c r="A838" t="s">
        <v>1</v>
      </c>
      <c r="B838" s="3">
        <v>41717</v>
      </c>
      <c r="C838" s="3">
        <v>41717</v>
      </c>
      <c r="D838" t="s">
        <v>0</v>
      </c>
      <c r="E838" s="1">
        <v>17.084900000000001</v>
      </c>
      <c r="F838" s="1">
        <v>886.30799999999999</v>
      </c>
      <c r="G838" s="1">
        <v>12.510999999999999</v>
      </c>
      <c r="H838" s="2">
        <v>15060.53</v>
      </c>
      <c r="I838" s="2">
        <v>-212.6</v>
      </c>
      <c r="J838" s="1">
        <v>108388.4</v>
      </c>
      <c r="K838" s="1">
        <v>6344.1170000000002</v>
      </c>
    </row>
    <row r="839" spans="1:11">
      <c r="A839" t="s">
        <v>1</v>
      </c>
      <c r="B839" s="3">
        <v>41718</v>
      </c>
      <c r="C839" s="3">
        <v>41718</v>
      </c>
      <c r="D839" t="s">
        <v>7</v>
      </c>
      <c r="E839" s="1">
        <v>22.606200000000001</v>
      </c>
      <c r="F839" s="1">
        <v>33713.067000000003</v>
      </c>
      <c r="G839" s="1">
        <v>630815.84699999995</v>
      </c>
      <c r="H839" s="2">
        <v>767181.3</v>
      </c>
      <c r="I839" s="2">
        <v>-14354971.59</v>
      </c>
      <c r="J839" s="1">
        <v>259778667.19999999</v>
      </c>
      <c r="K839" s="1">
        <v>11491503.585000001</v>
      </c>
    </row>
    <row r="840" spans="1:11">
      <c r="A840" t="s">
        <v>1</v>
      </c>
      <c r="B840" s="3">
        <v>41718</v>
      </c>
      <c r="C840" s="3">
        <v>41718</v>
      </c>
      <c r="D840" t="s">
        <v>12</v>
      </c>
      <c r="E840" s="1">
        <v>18.043199999999999</v>
      </c>
      <c r="F840" s="1">
        <v>6476.5940000000001</v>
      </c>
      <c r="G840" s="1">
        <v>1196.0550000000001</v>
      </c>
      <c r="H840" s="2">
        <v>117726.99</v>
      </c>
      <c r="I840" s="2">
        <v>-21741.05</v>
      </c>
      <c r="J840" s="1">
        <v>13697292.119999999</v>
      </c>
      <c r="K840" s="1">
        <v>759139.21799999999</v>
      </c>
    </row>
    <row r="841" spans="1:11">
      <c r="A841" t="s">
        <v>1</v>
      </c>
      <c r="B841" s="3">
        <v>41718</v>
      </c>
      <c r="C841" s="3">
        <v>41718</v>
      </c>
      <c r="D841" t="s">
        <v>6</v>
      </c>
      <c r="E841" s="1">
        <v>18.752700000000001</v>
      </c>
      <c r="F841" s="1">
        <v>2886.444</v>
      </c>
      <c r="G841" s="1">
        <v>5391.09</v>
      </c>
      <c r="H841" s="2">
        <v>54486.83</v>
      </c>
      <c r="I841" s="2">
        <v>-101766.53</v>
      </c>
      <c r="J841" s="1">
        <v>36547001.770000003</v>
      </c>
      <c r="K841" s="1">
        <v>1948889.777</v>
      </c>
    </row>
    <row r="842" spans="1:11">
      <c r="A842" t="s">
        <v>1</v>
      </c>
      <c r="B842" s="3">
        <v>41718</v>
      </c>
      <c r="C842" s="3">
        <v>41718</v>
      </c>
      <c r="D842" t="s">
        <v>10</v>
      </c>
      <c r="E842" s="1">
        <v>18.521100000000001</v>
      </c>
      <c r="F842" s="1">
        <v>0</v>
      </c>
      <c r="G842" s="1">
        <v>2240</v>
      </c>
      <c r="H842" s="2">
        <v>0</v>
      </c>
      <c r="I842" s="2">
        <v>-42230.18</v>
      </c>
      <c r="J842" s="1">
        <v>17480278.300000001</v>
      </c>
      <c r="K842" s="1">
        <v>943803.35400000005</v>
      </c>
    </row>
    <row r="843" spans="1:11">
      <c r="A843" t="s">
        <v>1</v>
      </c>
      <c r="B843" s="3">
        <v>41718</v>
      </c>
      <c r="C843" s="3">
        <v>41718</v>
      </c>
      <c r="D843" t="s">
        <v>4</v>
      </c>
      <c r="E843" s="1">
        <v>11.2356</v>
      </c>
      <c r="F843" s="1">
        <v>23173.679</v>
      </c>
      <c r="G843" s="1">
        <v>325.79199999999997</v>
      </c>
      <c r="H843" s="2">
        <v>262314.46000000002</v>
      </c>
      <c r="I843" s="2">
        <v>-3687.8</v>
      </c>
      <c r="J843" s="1">
        <v>1769619.95</v>
      </c>
      <c r="K843" s="1">
        <v>157501.49</v>
      </c>
    </row>
    <row r="844" spans="1:11">
      <c r="A844" t="s">
        <v>1</v>
      </c>
      <c r="B844" s="3">
        <v>41718</v>
      </c>
      <c r="C844" s="3">
        <v>41718</v>
      </c>
      <c r="D844" t="s">
        <v>2</v>
      </c>
      <c r="E844" s="1">
        <v>17.272300000000001</v>
      </c>
      <c r="F844" s="1">
        <v>20833.005000000001</v>
      </c>
      <c r="G844" s="1">
        <v>0</v>
      </c>
      <c r="H844" s="2">
        <v>362245.13</v>
      </c>
      <c r="I844" s="2">
        <v>0</v>
      </c>
      <c r="J844" s="1">
        <v>49981956.950000003</v>
      </c>
      <c r="K844" s="1">
        <v>2893764.9610000001</v>
      </c>
    </row>
    <row r="845" spans="1:11">
      <c r="A845" t="s">
        <v>1</v>
      </c>
      <c r="B845" s="3">
        <v>41718</v>
      </c>
      <c r="C845" s="3">
        <v>41718</v>
      </c>
      <c r="D845" t="s">
        <v>9</v>
      </c>
      <c r="E845" s="1">
        <v>18.3368</v>
      </c>
      <c r="F845" s="1">
        <v>0</v>
      </c>
      <c r="G845" s="1">
        <v>61.417999999999999</v>
      </c>
      <c r="H845" s="2">
        <v>0</v>
      </c>
      <c r="I845" s="2">
        <v>-1134.07</v>
      </c>
      <c r="J845" s="1">
        <v>1159419.8</v>
      </c>
      <c r="K845" s="1">
        <v>63229.235999999997</v>
      </c>
    </row>
    <row r="846" spans="1:11">
      <c r="A846" t="s">
        <v>1</v>
      </c>
      <c r="B846" s="3">
        <v>41718</v>
      </c>
      <c r="C846" s="3">
        <v>41718</v>
      </c>
      <c r="D846" t="s">
        <v>0</v>
      </c>
      <c r="E846" s="1">
        <v>16.973700000000001</v>
      </c>
      <c r="F846" s="1">
        <v>795.12400000000002</v>
      </c>
      <c r="G846" s="1">
        <v>12.525</v>
      </c>
      <c r="H846" s="2">
        <v>13584.66</v>
      </c>
      <c r="I846" s="2">
        <v>-213.98</v>
      </c>
      <c r="J846" s="1">
        <v>120966.84</v>
      </c>
      <c r="K846" s="1">
        <v>7126.7160000000003</v>
      </c>
    </row>
    <row r="847" spans="1:11">
      <c r="A847" t="s">
        <v>1</v>
      </c>
      <c r="B847" s="3">
        <v>41719</v>
      </c>
      <c r="C847" s="3">
        <v>41719</v>
      </c>
      <c r="D847" t="s">
        <v>8</v>
      </c>
      <c r="E847" s="1">
        <v>18.396799999999999</v>
      </c>
      <c r="F847" s="1">
        <v>22.597000000000001</v>
      </c>
      <c r="G847" s="1">
        <v>677.90499999999997</v>
      </c>
      <c r="H847" s="2">
        <v>413.18</v>
      </c>
      <c r="I847" s="2">
        <v>-12395.25</v>
      </c>
      <c r="J847" s="1">
        <v>6874293.5199999996</v>
      </c>
      <c r="K847" s="1">
        <v>373667.47899999999</v>
      </c>
    </row>
    <row r="848" spans="1:11">
      <c r="A848" t="s">
        <v>1</v>
      </c>
      <c r="B848" s="3">
        <v>41719</v>
      </c>
      <c r="C848" s="3">
        <v>41719</v>
      </c>
      <c r="D848" t="s">
        <v>7</v>
      </c>
      <c r="E848" s="1">
        <v>22.744900000000001</v>
      </c>
      <c r="F848" s="1">
        <v>9653.0910000000003</v>
      </c>
      <c r="G848" s="1">
        <v>40268.129999999997</v>
      </c>
      <c r="H848" s="2">
        <v>218219.72</v>
      </c>
      <c r="I848" s="2">
        <v>-910309.41</v>
      </c>
      <c r="J848" s="1">
        <v>260676671.97999999</v>
      </c>
      <c r="K848" s="1">
        <v>11460888.546</v>
      </c>
    </row>
    <row r="849" spans="1:11">
      <c r="A849" t="s">
        <v>1</v>
      </c>
      <c r="B849" s="3">
        <v>41719</v>
      </c>
      <c r="C849" s="3">
        <v>41719</v>
      </c>
      <c r="D849" t="s">
        <v>12</v>
      </c>
      <c r="E849" s="1">
        <v>18.153199999999998</v>
      </c>
      <c r="F849" s="1">
        <v>774.17600000000004</v>
      </c>
      <c r="G849" s="1">
        <v>51574.826000000001</v>
      </c>
      <c r="H849" s="2">
        <v>13968.62</v>
      </c>
      <c r="I849" s="2">
        <v>-930574.88</v>
      </c>
      <c r="J849" s="1">
        <v>12858599.66</v>
      </c>
      <c r="K849" s="1">
        <v>708338.56799999997</v>
      </c>
    </row>
    <row r="850" spans="1:11">
      <c r="A850" t="s">
        <v>1</v>
      </c>
      <c r="B850" s="3">
        <v>41719</v>
      </c>
      <c r="C850" s="3">
        <v>41719</v>
      </c>
      <c r="D850" t="s">
        <v>6</v>
      </c>
      <c r="E850" s="1">
        <v>18.867000000000001</v>
      </c>
      <c r="F850" s="1">
        <v>3563.6669999999999</v>
      </c>
      <c r="G850" s="1">
        <v>8023.7020000000002</v>
      </c>
      <c r="H850" s="2">
        <v>66828.38</v>
      </c>
      <c r="I850" s="2">
        <v>-150466.07999999999</v>
      </c>
      <c r="J850" s="1">
        <v>36685652.539999999</v>
      </c>
      <c r="K850" s="1">
        <v>1944429.7420000001</v>
      </c>
    </row>
    <row r="851" spans="1:11">
      <c r="A851" t="s">
        <v>1</v>
      </c>
      <c r="B851" s="3">
        <v>41719</v>
      </c>
      <c r="C851" s="3">
        <v>41719</v>
      </c>
      <c r="D851" t="s">
        <v>10</v>
      </c>
      <c r="E851" s="1">
        <v>18.665500000000002</v>
      </c>
      <c r="F851" s="1">
        <v>0</v>
      </c>
      <c r="G851" s="1">
        <v>82</v>
      </c>
      <c r="H851" s="2">
        <v>0</v>
      </c>
      <c r="I851" s="2">
        <v>-1518.73</v>
      </c>
      <c r="J851" s="1">
        <v>17615043.559999999</v>
      </c>
      <c r="K851" s="1">
        <v>943721.35400000005</v>
      </c>
    </row>
    <row r="852" spans="1:11">
      <c r="A852" t="s">
        <v>1</v>
      </c>
      <c r="B852" s="3">
        <v>41719</v>
      </c>
      <c r="C852" s="3">
        <v>41719</v>
      </c>
      <c r="D852" t="s">
        <v>5</v>
      </c>
      <c r="E852" s="1">
        <v>17.506499999999999</v>
      </c>
      <c r="F852" s="1">
        <v>116954</v>
      </c>
      <c r="G852" s="1">
        <v>0</v>
      </c>
      <c r="H852" s="2">
        <v>2034929.43</v>
      </c>
      <c r="I852" s="2">
        <v>0</v>
      </c>
      <c r="J852" s="1">
        <v>24570168.719999999</v>
      </c>
      <c r="K852" s="1">
        <v>1403486.1359999999</v>
      </c>
    </row>
    <row r="853" spans="1:11">
      <c r="A853" t="s">
        <v>1</v>
      </c>
      <c r="B853" s="3">
        <v>41719</v>
      </c>
      <c r="C853" s="3">
        <v>41719</v>
      </c>
      <c r="D853" t="s">
        <v>4</v>
      </c>
      <c r="E853" s="1">
        <v>11.304500000000001</v>
      </c>
      <c r="F853" s="1">
        <v>0</v>
      </c>
      <c r="G853" s="1">
        <v>14168.32</v>
      </c>
      <c r="H853" s="2">
        <v>0</v>
      </c>
      <c r="I853" s="2">
        <v>-159189.57999999999</v>
      </c>
      <c r="J853" s="1">
        <v>1620314.09</v>
      </c>
      <c r="K853" s="1">
        <v>143333.17000000001</v>
      </c>
    </row>
    <row r="854" spans="1:11">
      <c r="A854" t="s">
        <v>1</v>
      </c>
      <c r="B854" s="3">
        <v>41719</v>
      </c>
      <c r="C854" s="3">
        <v>41719</v>
      </c>
      <c r="D854" t="s">
        <v>2</v>
      </c>
      <c r="E854" s="1">
        <v>17.378699999999998</v>
      </c>
      <c r="F854" s="1">
        <v>10021.602999999999</v>
      </c>
      <c r="G854" s="1">
        <v>3300</v>
      </c>
      <c r="H854" s="2">
        <v>173095.82</v>
      </c>
      <c r="I854" s="2">
        <v>-56998.48</v>
      </c>
      <c r="J854" s="1">
        <v>50406550.979999997</v>
      </c>
      <c r="K854" s="1">
        <v>2900486.5639999998</v>
      </c>
    </row>
    <row r="855" spans="1:11">
      <c r="A855" t="s">
        <v>1</v>
      </c>
      <c r="B855" s="3">
        <v>41719</v>
      </c>
      <c r="C855" s="3">
        <v>41719</v>
      </c>
      <c r="D855" t="s">
        <v>9</v>
      </c>
      <c r="E855" s="1">
        <v>18.4496</v>
      </c>
      <c r="F855" s="1">
        <v>17.728999999999999</v>
      </c>
      <c r="G855" s="1">
        <v>110.825</v>
      </c>
      <c r="H855" s="2">
        <v>325.08</v>
      </c>
      <c r="I855" s="2">
        <v>-2032.16</v>
      </c>
      <c r="J855" s="1">
        <v>1164833.82</v>
      </c>
      <c r="K855" s="1">
        <v>63136.14</v>
      </c>
    </row>
    <row r="856" spans="1:11">
      <c r="A856" t="s">
        <v>1</v>
      </c>
      <c r="B856" s="3">
        <v>41719</v>
      </c>
      <c r="C856" s="3">
        <v>41719</v>
      </c>
      <c r="D856" t="s">
        <v>0</v>
      </c>
      <c r="E856" s="1">
        <v>17.078299999999999</v>
      </c>
      <c r="F856" s="1">
        <v>837.298</v>
      </c>
      <c r="G856" s="1">
        <v>0</v>
      </c>
      <c r="H856" s="2">
        <v>14212.02</v>
      </c>
      <c r="I856" s="2">
        <v>0</v>
      </c>
      <c r="J856" s="1">
        <v>136011.81</v>
      </c>
      <c r="K856" s="1">
        <v>7964.0140000000001</v>
      </c>
    </row>
    <row r="857" spans="1:11">
      <c r="A857" t="s">
        <v>1</v>
      </c>
      <c r="B857" s="3">
        <v>41722</v>
      </c>
      <c r="C857" s="3">
        <v>41722</v>
      </c>
      <c r="D857" t="s">
        <v>7</v>
      </c>
      <c r="E857" s="1">
        <v>22.6859</v>
      </c>
      <c r="F857" s="1">
        <v>97322.680999999997</v>
      </c>
      <c r="G857" s="1">
        <v>14753.24</v>
      </c>
      <c r="H857" s="2">
        <v>2213594.64</v>
      </c>
      <c r="I857" s="2">
        <v>-335560.95</v>
      </c>
      <c r="J857" s="1">
        <v>261873867.53</v>
      </c>
      <c r="K857" s="1">
        <v>11543457.987</v>
      </c>
    </row>
    <row r="858" spans="1:11">
      <c r="A858" t="s">
        <v>1</v>
      </c>
      <c r="B858" s="3">
        <v>41722</v>
      </c>
      <c r="C858" s="3">
        <v>41722</v>
      </c>
      <c r="D858" t="s">
        <v>12</v>
      </c>
      <c r="E858" s="1">
        <v>18.103899999999999</v>
      </c>
      <c r="F858" s="1">
        <v>47670.762999999999</v>
      </c>
      <c r="G858" s="1">
        <v>855.27599999999995</v>
      </c>
      <c r="H858" s="2">
        <v>865376.87</v>
      </c>
      <c r="I858" s="2">
        <v>-15526</v>
      </c>
      <c r="J858" s="1">
        <v>13671212.65</v>
      </c>
      <c r="K858" s="1">
        <v>755154.05500000005</v>
      </c>
    </row>
    <row r="859" spans="1:11">
      <c r="A859" t="s">
        <v>1</v>
      </c>
      <c r="B859" s="3">
        <v>41722</v>
      </c>
      <c r="C859" s="3">
        <v>41722</v>
      </c>
      <c r="D859" t="s">
        <v>6</v>
      </c>
      <c r="E859" s="1">
        <v>18.805700000000002</v>
      </c>
      <c r="F859" s="1">
        <v>25057.050999999999</v>
      </c>
      <c r="G859" s="1">
        <v>766.976</v>
      </c>
      <c r="H859" s="2">
        <v>472751.39</v>
      </c>
      <c r="I859" s="2">
        <v>-14470.54</v>
      </c>
      <c r="J859" s="1">
        <v>37023166.240000002</v>
      </c>
      <c r="K859" s="1">
        <v>1968719.817</v>
      </c>
    </row>
    <row r="860" spans="1:11">
      <c r="A860" t="s">
        <v>1</v>
      </c>
      <c r="B860" s="3">
        <v>41722</v>
      </c>
      <c r="C860" s="3">
        <v>41722</v>
      </c>
      <c r="D860" t="s">
        <v>5</v>
      </c>
      <c r="E860" s="1">
        <v>17.462199999999999</v>
      </c>
      <c r="F860" s="1">
        <v>0</v>
      </c>
      <c r="G860" s="1">
        <v>23628</v>
      </c>
      <c r="H860" s="2">
        <v>0</v>
      </c>
      <c r="I860" s="2">
        <v>-413643.58</v>
      </c>
      <c r="J860" s="1">
        <v>24095373.27</v>
      </c>
      <c r="K860" s="1">
        <v>1379858.1359999999</v>
      </c>
    </row>
    <row r="861" spans="1:11">
      <c r="A861" t="s">
        <v>1</v>
      </c>
      <c r="B861" s="3">
        <v>41722</v>
      </c>
      <c r="C861" s="3">
        <v>41722</v>
      </c>
      <c r="D861" t="s">
        <v>4</v>
      </c>
      <c r="E861" s="1">
        <v>11.2752</v>
      </c>
      <c r="F861" s="1">
        <v>7166.7240000000002</v>
      </c>
      <c r="G861" s="1">
        <v>0</v>
      </c>
      <c r="H861" s="2">
        <v>81016.240000000005</v>
      </c>
      <c r="I861" s="2">
        <v>0</v>
      </c>
      <c r="J861" s="1">
        <v>1696918.54</v>
      </c>
      <c r="K861" s="1">
        <v>150499.894</v>
      </c>
    </row>
    <row r="862" spans="1:11">
      <c r="A862" t="s">
        <v>1</v>
      </c>
      <c r="B862" s="3">
        <v>41722</v>
      </c>
      <c r="C862" s="3">
        <v>41722</v>
      </c>
      <c r="D862" t="s">
        <v>2</v>
      </c>
      <c r="E862" s="1">
        <v>17.334700000000002</v>
      </c>
      <c r="F862" s="1">
        <v>9416.0450000000001</v>
      </c>
      <c r="G862" s="1">
        <v>1303.1569999999999</v>
      </c>
      <c r="H862" s="2">
        <v>163639.32</v>
      </c>
      <c r="I862" s="2">
        <v>-22647.27</v>
      </c>
      <c r="J862" s="1">
        <v>50419582.659999996</v>
      </c>
      <c r="K862" s="1">
        <v>2908599.452</v>
      </c>
    </row>
    <row r="863" spans="1:11">
      <c r="A863" t="s">
        <v>1</v>
      </c>
      <c r="B863" s="3">
        <v>41722</v>
      </c>
      <c r="C863" s="3">
        <v>41722</v>
      </c>
      <c r="D863" t="s">
        <v>9</v>
      </c>
      <c r="E863" s="1">
        <v>18.4025</v>
      </c>
      <c r="F863" s="1">
        <v>0</v>
      </c>
      <c r="G863" s="1">
        <v>9.0129999999999999</v>
      </c>
      <c r="H863" s="2">
        <v>0</v>
      </c>
      <c r="I863" s="2">
        <v>-166.29</v>
      </c>
      <c r="J863" s="1">
        <v>1161695.24</v>
      </c>
      <c r="K863" s="1">
        <v>63127.127</v>
      </c>
    </row>
    <row r="864" spans="1:11">
      <c r="A864" t="s">
        <v>1</v>
      </c>
      <c r="B864" s="3">
        <v>41722</v>
      </c>
      <c r="C864" s="3">
        <v>41722</v>
      </c>
      <c r="D864" t="s">
        <v>0</v>
      </c>
      <c r="E864" s="1">
        <v>17.035299999999999</v>
      </c>
      <c r="F864" s="1">
        <v>853.50699999999995</v>
      </c>
      <c r="G864" s="1">
        <v>0.97299999999999998</v>
      </c>
      <c r="H864" s="2">
        <v>14576.39</v>
      </c>
      <c r="I864" s="2">
        <v>-16.62</v>
      </c>
      <c r="J864" s="1">
        <v>150192.26999999999</v>
      </c>
      <c r="K864" s="1">
        <v>8816.5480000000007</v>
      </c>
    </row>
    <row r="865" spans="1:11">
      <c r="A865" t="s">
        <v>1</v>
      </c>
      <c r="B865" s="3">
        <v>41723</v>
      </c>
      <c r="C865" s="3">
        <v>41723</v>
      </c>
      <c r="D865" t="s">
        <v>7</v>
      </c>
      <c r="E865" s="1">
        <v>22.607399999999998</v>
      </c>
      <c r="F865" s="1">
        <v>132604.12599999999</v>
      </c>
      <c r="G865" s="1">
        <v>1229.3320000000001</v>
      </c>
      <c r="H865" s="2">
        <v>3008243.95</v>
      </c>
      <c r="I865" s="2">
        <v>-27888.5</v>
      </c>
      <c r="J865" s="1">
        <v>263938135.75</v>
      </c>
      <c r="K865" s="1">
        <v>11674832.780999999</v>
      </c>
    </row>
    <row r="866" spans="1:11">
      <c r="A866" t="s">
        <v>1</v>
      </c>
      <c r="B866" s="3">
        <v>41723</v>
      </c>
      <c r="C866" s="3">
        <v>41723</v>
      </c>
      <c r="D866" t="s">
        <v>12</v>
      </c>
      <c r="E866" s="1">
        <v>18.040500000000002</v>
      </c>
      <c r="F866" s="1">
        <v>29345.331999999999</v>
      </c>
      <c r="G866" s="1">
        <v>1898.1569999999999</v>
      </c>
      <c r="H866" s="2">
        <v>531264.94999999995</v>
      </c>
      <c r="I866" s="2">
        <v>-34364.050000000003</v>
      </c>
      <c r="J866" s="1">
        <v>14118526.119999999</v>
      </c>
      <c r="K866" s="1">
        <v>782601.23</v>
      </c>
    </row>
    <row r="867" spans="1:11">
      <c r="A867" t="s">
        <v>1</v>
      </c>
      <c r="B867" s="3">
        <v>41723</v>
      </c>
      <c r="C867" s="3">
        <v>41723</v>
      </c>
      <c r="D867" t="s">
        <v>6</v>
      </c>
      <c r="E867" s="1">
        <v>18.739899999999999</v>
      </c>
      <c r="F867" s="1">
        <v>38792.987999999998</v>
      </c>
      <c r="G867" s="1">
        <v>1092.962</v>
      </c>
      <c r="H867" s="2">
        <v>729529.26</v>
      </c>
      <c r="I867" s="2">
        <v>-20553.919999999998</v>
      </c>
      <c r="J867" s="1">
        <v>37600081.649999999</v>
      </c>
      <c r="K867" s="1">
        <v>2006419.8430000001</v>
      </c>
    </row>
    <row r="868" spans="1:11">
      <c r="A868" t="s">
        <v>1</v>
      </c>
      <c r="B868" s="3">
        <v>41723</v>
      </c>
      <c r="C868" s="3">
        <v>41723</v>
      </c>
      <c r="D868" t="s">
        <v>10</v>
      </c>
      <c r="E868" s="1">
        <v>18.567699999999999</v>
      </c>
      <c r="F868" s="1">
        <v>0</v>
      </c>
      <c r="G868" s="1">
        <v>10974.152</v>
      </c>
      <c r="H868" s="2">
        <v>0</v>
      </c>
      <c r="I868" s="2">
        <v>-203855.89</v>
      </c>
      <c r="J868" s="1">
        <v>17318977.93</v>
      </c>
      <c r="K868" s="1">
        <v>932747.20200000005</v>
      </c>
    </row>
    <row r="869" spans="1:11">
      <c r="A869" t="s">
        <v>1</v>
      </c>
      <c r="B869" s="3">
        <v>41723</v>
      </c>
      <c r="C869" s="3">
        <v>41723</v>
      </c>
      <c r="D869" t="s">
        <v>4</v>
      </c>
      <c r="E869" s="1">
        <v>11.2362</v>
      </c>
      <c r="F869" s="1">
        <v>5466.3459999999995</v>
      </c>
      <c r="G869" s="1">
        <v>14431.075999999999</v>
      </c>
      <c r="H869" s="2">
        <v>61634.14</v>
      </c>
      <c r="I869" s="2">
        <v>-162713.26</v>
      </c>
      <c r="J869" s="1">
        <v>1590319.65</v>
      </c>
      <c r="K869" s="1">
        <v>141535.16399999999</v>
      </c>
    </row>
    <row r="870" spans="1:11">
      <c r="A870" t="s">
        <v>1</v>
      </c>
      <c r="B870" s="3">
        <v>41723</v>
      </c>
      <c r="C870" s="3">
        <v>41723</v>
      </c>
      <c r="D870" t="s">
        <v>2</v>
      </c>
      <c r="E870" s="1">
        <v>17.275099999999998</v>
      </c>
      <c r="F870" s="1">
        <v>9507.1620000000003</v>
      </c>
      <c r="G870" s="1">
        <v>1060</v>
      </c>
      <c r="H870" s="2">
        <v>164803.6</v>
      </c>
      <c r="I870" s="2">
        <v>-18374.77</v>
      </c>
      <c r="J870" s="1">
        <v>50392150.990000002</v>
      </c>
      <c r="K870" s="1">
        <v>2917046.6140000001</v>
      </c>
    </row>
    <row r="871" spans="1:11">
      <c r="A871" t="s">
        <v>1</v>
      </c>
      <c r="B871" s="3">
        <v>41723</v>
      </c>
      <c r="C871" s="3">
        <v>41723</v>
      </c>
      <c r="D871" t="s">
        <v>0</v>
      </c>
      <c r="E871" s="1">
        <v>16.976800000000001</v>
      </c>
      <c r="F871" s="1">
        <v>1486.4680000000001</v>
      </c>
      <c r="G871" s="1">
        <v>0</v>
      </c>
      <c r="H871" s="2">
        <v>25322.52</v>
      </c>
      <c r="I871" s="2">
        <v>0</v>
      </c>
      <c r="J871" s="1">
        <v>174912.03</v>
      </c>
      <c r="K871" s="1">
        <v>10303.016</v>
      </c>
    </row>
    <row r="872" spans="1:11">
      <c r="A872" t="s">
        <v>1</v>
      </c>
      <c r="B872" s="3">
        <v>41724</v>
      </c>
      <c r="C872" s="3">
        <v>41724</v>
      </c>
      <c r="D872" t="s">
        <v>7</v>
      </c>
      <c r="E872" s="1">
        <v>22.763200000000001</v>
      </c>
      <c r="F872" s="1">
        <v>16971.255000000001</v>
      </c>
      <c r="G872" s="1">
        <v>13742.496999999999</v>
      </c>
      <c r="H872" s="2">
        <v>383675.93</v>
      </c>
      <c r="I872" s="2">
        <v>-310682.13</v>
      </c>
      <c r="J872" s="1">
        <v>265829494.91</v>
      </c>
      <c r="K872" s="1">
        <v>11678061.539000001</v>
      </c>
    </row>
    <row r="873" spans="1:11">
      <c r="A873" t="s">
        <v>1</v>
      </c>
      <c r="B873" s="3">
        <v>41724</v>
      </c>
      <c r="C873" s="3">
        <v>41724</v>
      </c>
      <c r="D873" t="s">
        <v>12</v>
      </c>
      <c r="E873" s="1">
        <v>18.164000000000001</v>
      </c>
      <c r="F873" s="1">
        <v>2140.0140000000001</v>
      </c>
      <c r="G873" s="1">
        <v>7762.1120000000001</v>
      </c>
      <c r="H873" s="2">
        <v>38606.93</v>
      </c>
      <c r="I873" s="2">
        <v>-140032.38</v>
      </c>
      <c r="J873" s="1">
        <v>14113066.789999999</v>
      </c>
      <c r="K873" s="1">
        <v>776979.13199999998</v>
      </c>
    </row>
    <row r="874" spans="1:11">
      <c r="A874" t="s">
        <v>1</v>
      </c>
      <c r="B874" s="3">
        <v>41724</v>
      </c>
      <c r="C874" s="3">
        <v>41724</v>
      </c>
      <c r="D874" t="s">
        <v>6</v>
      </c>
      <c r="E874" s="1">
        <v>18.868200000000002</v>
      </c>
      <c r="F874" s="1">
        <v>789.39300000000003</v>
      </c>
      <c r="G874" s="1">
        <v>885.31899999999996</v>
      </c>
      <c r="H874" s="2">
        <v>14793.14</v>
      </c>
      <c r="I874" s="2">
        <v>-16590.79</v>
      </c>
      <c r="J874" s="1">
        <v>37855695.450000003</v>
      </c>
      <c r="K874" s="1">
        <v>2006323.9169999999</v>
      </c>
    </row>
    <row r="875" spans="1:11">
      <c r="A875" t="s">
        <v>1</v>
      </c>
      <c r="B875" s="3">
        <v>41724</v>
      </c>
      <c r="C875" s="3">
        <v>41724</v>
      </c>
      <c r="D875" t="s">
        <v>2</v>
      </c>
      <c r="E875" s="1">
        <v>17.394400000000001</v>
      </c>
      <c r="F875" s="1">
        <v>7867.62</v>
      </c>
      <c r="G875" s="1">
        <v>25</v>
      </c>
      <c r="H875" s="2">
        <v>135914.25</v>
      </c>
      <c r="I875" s="2">
        <v>-431.87</v>
      </c>
      <c r="J875" s="1">
        <v>50876678.520000003</v>
      </c>
      <c r="K875" s="1">
        <v>2924889.2340000002</v>
      </c>
    </row>
    <row r="876" spans="1:11">
      <c r="A876" t="s">
        <v>1</v>
      </c>
      <c r="B876" s="3">
        <v>41724</v>
      </c>
      <c r="C876" s="3">
        <v>41724</v>
      </c>
      <c r="D876" t="s">
        <v>0</v>
      </c>
      <c r="E876" s="1">
        <v>17.094100000000001</v>
      </c>
      <c r="F876" s="1">
        <v>1366.1890000000001</v>
      </c>
      <c r="G876" s="1">
        <v>24.196999999999999</v>
      </c>
      <c r="H876" s="2">
        <v>23193.56</v>
      </c>
      <c r="I876" s="2">
        <v>-410.79</v>
      </c>
      <c r="J876" s="1">
        <v>199061.31</v>
      </c>
      <c r="K876" s="1">
        <v>11645.008</v>
      </c>
    </row>
    <row r="877" spans="1:11">
      <c r="A877" t="s">
        <v>1</v>
      </c>
      <c r="B877" s="3">
        <v>41725</v>
      </c>
      <c r="C877" s="3">
        <v>41725</v>
      </c>
      <c r="D877" t="s">
        <v>8</v>
      </c>
      <c r="E877" s="1">
        <v>18.308900000000001</v>
      </c>
      <c r="F877" s="1">
        <v>22.47</v>
      </c>
      <c r="G877" s="1">
        <v>1198.421</v>
      </c>
      <c r="H877" s="2">
        <v>413.72</v>
      </c>
      <c r="I877" s="2">
        <v>-22064.799999999999</v>
      </c>
      <c r="J877" s="1">
        <v>6819928.4100000001</v>
      </c>
      <c r="K877" s="1">
        <v>372491.52799999999</v>
      </c>
    </row>
    <row r="878" spans="1:11">
      <c r="A878" t="s">
        <v>1</v>
      </c>
      <c r="B878" s="3">
        <v>41725</v>
      </c>
      <c r="C878" s="3">
        <v>41725</v>
      </c>
      <c r="D878" t="s">
        <v>7</v>
      </c>
      <c r="E878" s="1">
        <v>22.636299999999999</v>
      </c>
      <c r="F878" s="1">
        <v>24142.577000000001</v>
      </c>
      <c r="G878" s="1">
        <v>29357.569</v>
      </c>
      <c r="H878" s="2">
        <v>549562.36</v>
      </c>
      <c r="I878" s="2">
        <v>-668272.21</v>
      </c>
      <c r="J878" s="1">
        <v>264229496.84999999</v>
      </c>
      <c r="K878" s="1">
        <v>11672846.547</v>
      </c>
    </row>
    <row r="879" spans="1:11">
      <c r="A879" t="s">
        <v>1</v>
      </c>
      <c r="B879" s="3">
        <v>41725</v>
      </c>
      <c r="C879" s="3">
        <v>41725</v>
      </c>
      <c r="D879" t="s">
        <v>12</v>
      </c>
      <c r="E879" s="1">
        <v>18.062000000000001</v>
      </c>
      <c r="F879" s="1">
        <v>8127.76</v>
      </c>
      <c r="G879" s="1">
        <v>2953.2869999999998</v>
      </c>
      <c r="H879" s="2">
        <v>147632.60999999999</v>
      </c>
      <c r="I879" s="2">
        <v>-53643.51</v>
      </c>
      <c r="J879" s="1">
        <v>14127270.35</v>
      </c>
      <c r="K879" s="1">
        <v>782153.60499999998</v>
      </c>
    </row>
    <row r="880" spans="1:11">
      <c r="A880" t="s">
        <v>1</v>
      </c>
      <c r="B880" s="3">
        <v>41725</v>
      </c>
      <c r="C880" s="3">
        <v>41725</v>
      </c>
      <c r="D880" t="s">
        <v>6</v>
      </c>
      <c r="E880" s="1">
        <v>18.7622</v>
      </c>
      <c r="F880" s="1">
        <v>4685.8980000000001</v>
      </c>
      <c r="G880" s="1">
        <v>1196.2139999999999</v>
      </c>
      <c r="H880" s="2">
        <v>88414.45</v>
      </c>
      <c r="I880" s="2">
        <v>-22570.41</v>
      </c>
      <c r="J880" s="1">
        <v>37708575.560000002</v>
      </c>
      <c r="K880" s="1">
        <v>2009813.601</v>
      </c>
    </row>
    <row r="881" spans="1:11">
      <c r="A881" t="s">
        <v>1</v>
      </c>
      <c r="B881" s="3">
        <v>41725</v>
      </c>
      <c r="C881" s="3">
        <v>41725</v>
      </c>
      <c r="D881" t="s">
        <v>10</v>
      </c>
      <c r="E881" s="1">
        <v>18.5318</v>
      </c>
      <c r="F881" s="1">
        <v>0</v>
      </c>
      <c r="G881" s="1">
        <v>516.93700000000001</v>
      </c>
      <c r="H881" s="2">
        <v>0</v>
      </c>
      <c r="I881" s="2">
        <v>-9653.35</v>
      </c>
      <c r="J881" s="1">
        <v>17275925.23</v>
      </c>
      <c r="K881" s="1">
        <v>932230.26500000001</v>
      </c>
    </row>
    <row r="882" spans="1:11">
      <c r="A882" t="s">
        <v>1</v>
      </c>
      <c r="B882" s="3">
        <v>41725</v>
      </c>
      <c r="C882" s="3">
        <v>41725</v>
      </c>
      <c r="D882" t="s">
        <v>4</v>
      </c>
      <c r="E882" s="1">
        <v>11.250500000000001</v>
      </c>
      <c r="F882" s="1">
        <v>117.327</v>
      </c>
      <c r="G882" s="1">
        <v>759.52200000000005</v>
      </c>
      <c r="H882" s="2">
        <v>1327.39</v>
      </c>
      <c r="I882" s="2">
        <v>-8592.93</v>
      </c>
      <c r="J882" s="1">
        <v>1585121.05</v>
      </c>
      <c r="K882" s="1">
        <v>140892.96900000001</v>
      </c>
    </row>
    <row r="883" spans="1:11">
      <c r="A883" t="s">
        <v>1</v>
      </c>
      <c r="B883" s="3">
        <v>41725</v>
      </c>
      <c r="C883" s="3">
        <v>41725</v>
      </c>
      <c r="D883" t="s">
        <v>3</v>
      </c>
      <c r="E883" s="1">
        <v>10.933299999999999</v>
      </c>
      <c r="F883" s="1">
        <v>173.59700000000001</v>
      </c>
      <c r="G883" s="1">
        <v>906.95100000000002</v>
      </c>
      <c r="H883" s="2">
        <v>1908.7</v>
      </c>
      <c r="I883" s="2">
        <v>-9971.93</v>
      </c>
      <c r="J883" s="1">
        <v>2080152.85</v>
      </c>
      <c r="K883" s="1">
        <v>190259.098</v>
      </c>
    </row>
    <row r="884" spans="1:11">
      <c r="A884" t="s">
        <v>1</v>
      </c>
      <c r="B884" s="3">
        <v>41725</v>
      </c>
      <c r="C884" s="3">
        <v>41725</v>
      </c>
      <c r="D884" t="s">
        <v>2</v>
      </c>
      <c r="E884" s="1">
        <v>17.297799999999999</v>
      </c>
      <c r="F884" s="1">
        <v>26741.64</v>
      </c>
      <c r="G884" s="1">
        <v>710</v>
      </c>
      <c r="H884" s="2">
        <v>465153.26</v>
      </c>
      <c r="I884" s="2">
        <v>-12349.98</v>
      </c>
      <c r="J884" s="1">
        <v>51044384.219999999</v>
      </c>
      <c r="K884" s="1">
        <v>2950920.8739999998</v>
      </c>
    </row>
    <row r="885" spans="1:11">
      <c r="A885" t="s">
        <v>1</v>
      </c>
      <c r="B885" s="3">
        <v>41725</v>
      </c>
      <c r="C885" s="3">
        <v>41725</v>
      </c>
      <c r="D885" t="s">
        <v>0</v>
      </c>
      <c r="E885" s="1">
        <v>16.999199999999998</v>
      </c>
      <c r="F885" s="1">
        <v>1784.873</v>
      </c>
      <c r="G885" s="1">
        <v>0</v>
      </c>
      <c r="H885" s="2">
        <v>30510.67</v>
      </c>
      <c r="I885" s="2">
        <v>0</v>
      </c>
      <c r="J885" s="1">
        <v>228297.82</v>
      </c>
      <c r="K885" s="1">
        <v>13429.880999999999</v>
      </c>
    </row>
    <row r="886" spans="1:11">
      <c r="A886" t="s">
        <v>1</v>
      </c>
      <c r="B886" s="3">
        <v>41726</v>
      </c>
      <c r="C886" s="3">
        <v>41726</v>
      </c>
      <c r="D886" t="s">
        <v>7</v>
      </c>
      <c r="E886" s="1">
        <v>22.656199999999998</v>
      </c>
      <c r="F886" s="1">
        <v>26148.870999999999</v>
      </c>
      <c r="G886" s="1">
        <v>429.06400000000002</v>
      </c>
      <c r="H886" s="2">
        <v>591913.68999999994</v>
      </c>
      <c r="I886" s="2">
        <v>-9712.43</v>
      </c>
      <c r="J886" s="1">
        <v>265045446.38</v>
      </c>
      <c r="K886" s="1">
        <v>11698566.354</v>
      </c>
    </row>
    <row r="887" spans="1:11">
      <c r="A887" t="s">
        <v>1</v>
      </c>
      <c r="B887" s="3">
        <v>41726</v>
      </c>
      <c r="C887" s="3">
        <v>41726</v>
      </c>
      <c r="D887" t="s">
        <v>12</v>
      </c>
      <c r="E887" s="1">
        <v>18.077200000000001</v>
      </c>
      <c r="F887" s="1">
        <v>7145.0950000000003</v>
      </c>
      <c r="G887" s="1">
        <v>5171.2669999999998</v>
      </c>
      <c r="H887" s="2">
        <v>129054.7</v>
      </c>
      <c r="I887" s="2">
        <v>-93403.44</v>
      </c>
      <c r="J887" s="1">
        <v>14174841.130000001</v>
      </c>
      <c r="K887" s="1">
        <v>784127.43299999996</v>
      </c>
    </row>
    <row r="888" spans="1:11">
      <c r="A888" t="s">
        <v>1</v>
      </c>
      <c r="B888" s="3">
        <v>41726</v>
      </c>
      <c r="C888" s="3">
        <v>41726</v>
      </c>
      <c r="D888" t="s">
        <v>6</v>
      </c>
      <c r="E888" s="1">
        <v>18.777999999999999</v>
      </c>
      <c r="F888" s="1">
        <v>3666.9090000000001</v>
      </c>
      <c r="G888" s="1">
        <v>2279.634</v>
      </c>
      <c r="H888" s="2">
        <v>68799.259999999995</v>
      </c>
      <c r="I888" s="2">
        <v>-42770.95</v>
      </c>
      <c r="J888" s="1">
        <v>37766361.310000002</v>
      </c>
      <c r="K888" s="1">
        <v>2011200.8759999999</v>
      </c>
    </row>
    <row r="889" spans="1:11">
      <c r="A889" t="s">
        <v>1</v>
      </c>
      <c r="B889" s="3">
        <v>41726</v>
      </c>
      <c r="C889" s="3">
        <v>41726</v>
      </c>
      <c r="D889" t="s">
        <v>10</v>
      </c>
      <c r="E889" s="1">
        <v>18.509399999999999</v>
      </c>
      <c r="F889" s="1">
        <v>0</v>
      </c>
      <c r="G889" s="1">
        <v>1</v>
      </c>
      <c r="H889" s="2">
        <v>0</v>
      </c>
      <c r="I889" s="2">
        <v>-18.53</v>
      </c>
      <c r="J889" s="1">
        <v>17255017.710000001</v>
      </c>
      <c r="K889" s="1">
        <v>932229.26500000001</v>
      </c>
    </row>
    <row r="890" spans="1:11">
      <c r="A890" t="s">
        <v>1</v>
      </c>
      <c r="B890" s="3">
        <v>41726</v>
      </c>
      <c r="C890" s="3">
        <v>41726</v>
      </c>
      <c r="D890" t="s">
        <v>5</v>
      </c>
      <c r="E890" s="1">
        <v>17.440799999999999</v>
      </c>
      <c r="F890" s="1">
        <v>72308</v>
      </c>
      <c r="G890" s="1">
        <v>0</v>
      </c>
      <c r="H890" s="2">
        <v>1259974.1299999999</v>
      </c>
      <c r="I890" s="2">
        <v>0</v>
      </c>
      <c r="J890" s="1">
        <v>25326941.73</v>
      </c>
      <c r="K890" s="1">
        <v>1452166.1359999999</v>
      </c>
    </row>
    <row r="891" spans="1:11">
      <c r="A891" t="s">
        <v>1</v>
      </c>
      <c r="B891" s="3">
        <v>41726</v>
      </c>
      <c r="C891" s="3">
        <v>41726</v>
      </c>
      <c r="D891" t="s">
        <v>4</v>
      </c>
      <c r="E891" s="1">
        <v>11.2605</v>
      </c>
      <c r="F891" s="1">
        <v>4517.9459999999999</v>
      </c>
      <c r="G891" s="1">
        <v>0</v>
      </c>
      <c r="H891" s="2">
        <v>50829.15</v>
      </c>
      <c r="I891" s="2">
        <v>0</v>
      </c>
      <c r="J891" s="1">
        <v>1637394.26</v>
      </c>
      <c r="K891" s="1">
        <v>145410.91500000001</v>
      </c>
    </row>
    <row r="892" spans="1:11">
      <c r="A892" t="s">
        <v>1</v>
      </c>
      <c r="B892" s="3">
        <v>41726</v>
      </c>
      <c r="C892" s="3">
        <v>41726</v>
      </c>
      <c r="D892" t="s">
        <v>2</v>
      </c>
      <c r="E892" s="1">
        <v>17.313400000000001</v>
      </c>
      <c r="F892" s="1">
        <v>61324.99</v>
      </c>
      <c r="G892" s="1">
        <v>548.18499999999995</v>
      </c>
      <c r="H892" s="2">
        <v>1060787.48</v>
      </c>
      <c r="I892" s="2">
        <v>-9482.39</v>
      </c>
      <c r="J892" s="1">
        <v>52142744.399999999</v>
      </c>
      <c r="K892" s="1">
        <v>3011697.679</v>
      </c>
    </row>
    <row r="893" spans="1:11">
      <c r="A893" t="s">
        <v>1</v>
      </c>
      <c r="B893" s="3">
        <v>41726</v>
      </c>
      <c r="C893" s="3">
        <v>41726</v>
      </c>
      <c r="D893" t="s">
        <v>0</v>
      </c>
      <c r="E893" s="1">
        <v>17.014700000000001</v>
      </c>
      <c r="F893" s="1">
        <v>1475.3589999999999</v>
      </c>
      <c r="G893" s="1">
        <v>11.269</v>
      </c>
      <c r="H893" s="2">
        <v>25079.87</v>
      </c>
      <c r="I893" s="2">
        <v>-191.57</v>
      </c>
      <c r="J893" s="1">
        <v>253415.83</v>
      </c>
      <c r="K893" s="1">
        <v>14893.971</v>
      </c>
    </row>
    <row r="894" spans="1:11">
      <c r="A894" t="s">
        <v>1</v>
      </c>
      <c r="B894" s="3">
        <v>41729</v>
      </c>
      <c r="C894" s="3">
        <v>41729</v>
      </c>
      <c r="D894" t="s">
        <v>7</v>
      </c>
      <c r="E894" s="1">
        <v>22.7806</v>
      </c>
      <c r="F894" s="1">
        <v>97749.941999999995</v>
      </c>
      <c r="G894" s="1">
        <v>6611.14</v>
      </c>
      <c r="H894" s="2">
        <v>2214642.2000000002</v>
      </c>
      <c r="I894" s="2">
        <v>-149783.29999999999</v>
      </c>
      <c r="J894" s="1">
        <v>268576085.82999998</v>
      </c>
      <c r="K894" s="1">
        <v>11789705.155999999</v>
      </c>
    </row>
    <row r="895" spans="1:11">
      <c r="A895" t="s">
        <v>1</v>
      </c>
      <c r="B895" s="3">
        <v>41729</v>
      </c>
      <c r="C895" s="3">
        <v>41729</v>
      </c>
      <c r="D895" t="s">
        <v>12</v>
      </c>
      <c r="E895" s="1">
        <v>18.174199999999999</v>
      </c>
      <c r="F895" s="1">
        <v>7825.6019999999999</v>
      </c>
      <c r="G895" s="1">
        <v>2237.0120000000002</v>
      </c>
      <c r="H895" s="2">
        <v>141464.98000000001</v>
      </c>
      <c r="I895" s="2">
        <v>-40438.910000000003</v>
      </c>
      <c r="J895" s="1">
        <v>14352446.68</v>
      </c>
      <c r="K895" s="1">
        <v>789716.02300000004</v>
      </c>
    </row>
    <row r="896" spans="1:11">
      <c r="A896" t="s">
        <v>1</v>
      </c>
      <c r="B896" s="3">
        <v>41729</v>
      </c>
      <c r="C896" s="3">
        <v>41729</v>
      </c>
      <c r="D896" t="s">
        <v>6</v>
      </c>
      <c r="E896" s="1">
        <v>18.878699999999998</v>
      </c>
      <c r="F896" s="1">
        <v>23850.383000000002</v>
      </c>
      <c r="G896" s="1">
        <v>4797.6629999999996</v>
      </c>
      <c r="H896" s="2">
        <v>447862.53</v>
      </c>
      <c r="I896" s="2">
        <v>-90090.13</v>
      </c>
      <c r="J896" s="1">
        <v>38328641.490000002</v>
      </c>
      <c r="K896" s="1">
        <v>2030253.5959999999</v>
      </c>
    </row>
    <row r="897" spans="1:11">
      <c r="A897" t="s">
        <v>1</v>
      </c>
      <c r="B897" s="3">
        <v>41729</v>
      </c>
      <c r="C897" s="3">
        <v>41729</v>
      </c>
      <c r="D897" t="s">
        <v>10</v>
      </c>
      <c r="E897" s="1">
        <v>18.695699999999999</v>
      </c>
      <c r="F897" s="1">
        <v>457.46199999999999</v>
      </c>
      <c r="G897" s="1">
        <v>78</v>
      </c>
      <c r="H897" s="2">
        <v>8467.36</v>
      </c>
      <c r="I897" s="2">
        <v>-1443.74</v>
      </c>
      <c r="J897" s="1">
        <v>17435803.129999999</v>
      </c>
      <c r="K897" s="1">
        <v>932608.72699999996</v>
      </c>
    </row>
    <row r="898" spans="1:11">
      <c r="A898" t="s">
        <v>1</v>
      </c>
      <c r="B898" s="3">
        <v>41729</v>
      </c>
      <c r="C898" s="3">
        <v>41729</v>
      </c>
      <c r="D898" t="s">
        <v>5</v>
      </c>
      <c r="E898" s="1">
        <v>17.537600000000001</v>
      </c>
      <c r="F898" s="1">
        <v>72301</v>
      </c>
      <c r="G898" s="1">
        <v>0</v>
      </c>
      <c r="H898" s="2">
        <v>1260987.28</v>
      </c>
      <c r="I898" s="2">
        <v>0</v>
      </c>
      <c r="J898" s="1">
        <v>26735470.530000001</v>
      </c>
      <c r="K898" s="1">
        <v>1524467.1359999999</v>
      </c>
    </row>
    <row r="899" spans="1:11">
      <c r="A899" t="s">
        <v>1</v>
      </c>
      <c r="B899" s="3">
        <v>41729</v>
      </c>
      <c r="C899" s="3">
        <v>41729</v>
      </c>
      <c r="D899" t="s">
        <v>4</v>
      </c>
      <c r="E899" s="1">
        <v>11.3223</v>
      </c>
      <c r="F899" s="1">
        <v>4562.4719999999998</v>
      </c>
      <c r="G899" s="1">
        <v>0</v>
      </c>
      <c r="H899" s="2">
        <v>51375.72</v>
      </c>
      <c r="I899" s="2">
        <v>0</v>
      </c>
      <c r="J899" s="1">
        <v>1698037.19</v>
      </c>
      <c r="K899" s="1">
        <v>149973.38699999999</v>
      </c>
    </row>
    <row r="900" spans="1:11">
      <c r="A900" t="s">
        <v>1</v>
      </c>
      <c r="B900" s="3">
        <v>41729</v>
      </c>
      <c r="C900" s="3">
        <v>41729</v>
      </c>
      <c r="D900" t="s">
        <v>2</v>
      </c>
      <c r="E900" s="1">
        <v>17.409500000000001</v>
      </c>
      <c r="F900" s="1">
        <v>10982.152</v>
      </c>
      <c r="G900" s="1">
        <v>1394.673</v>
      </c>
      <c r="H900" s="2">
        <v>190139.08</v>
      </c>
      <c r="I900" s="2">
        <v>-24146.61</v>
      </c>
      <c r="J900" s="1">
        <v>52599008.079999998</v>
      </c>
      <c r="K900" s="1">
        <v>3021285.1579999998</v>
      </c>
    </row>
    <row r="901" spans="1:11">
      <c r="A901" t="s">
        <v>1</v>
      </c>
      <c r="B901" s="3">
        <v>41729</v>
      </c>
      <c r="C901" s="3">
        <v>41729</v>
      </c>
      <c r="D901" t="s">
        <v>0</v>
      </c>
      <c r="E901" s="1">
        <v>17.109300000000001</v>
      </c>
      <c r="F901" s="1">
        <v>2162.6689999999999</v>
      </c>
      <c r="G901" s="1">
        <v>18.358000000000001</v>
      </c>
      <c r="H901" s="2">
        <v>36797.17</v>
      </c>
      <c r="I901" s="2">
        <v>-312.36</v>
      </c>
      <c r="J901" s="1">
        <v>291512.92</v>
      </c>
      <c r="K901" s="1">
        <v>17038.281999999999</v>
      </c>
    </row>
    <row r="902" spans="1:11">
      <c r="A902" t="s">
        <v>1</v>
      </c>
      <c r="B902" s="3">
        <v>41730</v>
      </c>
      <c r="C902" s="3">
        <v>41730</v>
      </c>
      <c r="D902" t="s">
        <v>7</v>
      </c>
      <c r="E902" s="1">
        <v>22.9998</v>
      </c>
      <c r="F902" s="1">
        <v>143808.27600000001</v>
      </c>
      <c r="G902" s="1">
        <v>6105.9830000000002</v>
      </c>
      <c r="H902" s="2">
        <v>3276038.79</v>
      </c>
      <c r="I902" s="2">
        <v>-139097.96</v>
      </c>
      <c r="J902" s="1">
        <v>274327828.68000001</v>
      </c>
      <c r="K902" s="1">
        <v>11927407.448999999</v>
      </c>
    </row>
    <row r="903" spans="1:11">
      <c r="A903" t="s">
        <v>1</v>
      </c>
      <c r="B903" s="3">
        <v>41730</v>
      </c>
      <c r="C903" s="3">
        <v>41730</v>
      </c>
      <c r="D903" t="s">
        <v>12</v>
      </c>
      <c r="E903" s="1">
        <v>18.348299999999998</v>
      </c>
      <c r="F903" s="1">
        <v>63184.24</v>
      </c>
      <c r="G903" s="1">
        <v>0</v>
      </c>
      <c r="H903" s="2">
        <v>1148323.04</v>
      </c>
      <c r="I903" s="2">
        <v>0</v>
      </c>
      <c r="J903" s="1">
        <v>15649302.75</v>
      </c>
      <c r="K903" s="1">
        <v>852900.26300000004</v>
      </c>
    </row>
    <row r="904" spans="1:11">
      <c r="A904" t="s">
        <v>1</v>
      </c>
      <c r="B904" s="3">
        <v>41730</v>
      </c>
      <c r="C904" s="3">
        <v>41730</v>
      </c>
      <c r="D904" t="s">
        <v>6</v>
      </c>
      <c r="E904" s="1">
        <v>19.0596</v>
      </c>
      <c r="F904" s="1">
        <v>19248.509999999998</v>
      </c>
      <c r="G904" s="1">
        <v>667.19799999999998</v>
      </c>
      <c r="H904" s="2">
        <v>363386.83</v>
      </c>
      <c r="I904" s="2">
        <v>-12595.83</v>
      </c>
      <c r="J904" s="1">
        <v>39050070.439999998</v>
      </c>
      <c r="K904" s="1">
        <v>2048834.9080000001</v>
      </c>
    </row>
    <row r="905" spans="1:11">
      <c r="A905" t="s">
        <v>1</v>
      </c>
      <c r="B905" s="3">
        <v>41730</v>
      </c>
      <c r="C905" s="3">
        <v>41730</v>
      </c>
      <c r="D905" t="s">
        <v>5</v>
      </c>
      <c r="E905" s="1">
        <v>17.706700000000001</v>
      </c>
      <c r="F905" s="1">
        <v>28196</v>
      </c>
      <c r="G905" s="1">
        <v>0</v>
      </c>
      <c r="H905" s="2">
        <v>494490.17</v>
      </c>
      <c r="I905" s="2">
        <v>0</v>
      </c>
      <c r="J905" s="1">
        <v>27492564.949999999</v>
      </c>
      <c r="K905" s="1">
        <v>1552663.1359999999</v>
      </c>
    </row>
    <row r="906" spans="1:11">
      <c r="A906" t="s">
        <v>1</v>
      </c>
      <c r="B906" s="3">
        <v>41730</v>
      </c>
      <c r="C906" s="3">
        <v>41730</v>
      </c>
      <c r="D906" t="s">
        <v>4</v>
      </c>
      <c r="E906" s="1">
        <v>11.362500000000001</v>
      </c>
      <c r="F906" s="1">
        <v>6870.57</v>
      </c>
      <c r="G906" s="1">
        <v>0</v>
      </c>
      <c r="H906" s="2">
        <v>77790.649999999994</v>
      </c>
      <c r="I906" s="2">
        <v>0</v>
      </c>
      <c r="J906" s="1">
        <v>1782131.99</v>
      </c>
      <c r="K906" s="1">
        <v>156843.95699999999</v>
      </c>
    </row>
    <row r="907" spans="1:11">
      <c r="A907" t="s">
        <v>1</v>
      </c>
      <c r="B907" s="3">
        <v>41730</v>
      </c>
      <c r="C907" s="3">
        <v>41730</v>
      </c>
      <c r="D907" t="s">
        <v>2</v>
      </c>
      <c r="E907" s="1">
        <v>17.467300000000002</v>
      </c>
      <c r="F907" s="1">
        <v>10338.950999999999</v>
      </c>
      <c r="G907" s="1">
        <v>380</v>
      </c>
      <c r="H907" s="2">
        <v>179995.29</v>
      </c>
      <c r="I907" s="2">
        <v>-6615.59</v>
      </c>
      <c r="J907" s="1">
        <v>52947764.420000002</v>
      </c>
      <c r="K907" s="1">
        <v>3031244.1090000002</v>
      </c>
    </row>
    <row r="908" spans="1:11">
      <c r="A908" t="s">
        <v>1</v>
      </c>
      <c r="B908" s="3">
        <v>41730</v>
      </c>
      <c r="C908" s="3">
        <v>41730</v>
      </c>
      <c r="D908" t="s">
        <v>0</v>
      </c>
      <c r="E908" s="1">
        <v>17.2744</v>
      </c>
      <c r="F908" s="1">
        <v>2019.93</v>
      </c>
      <c r="G908" s="1">
        <v>31.654</v>
      </c>
      <c r="H908" s="2">
        <v>34559.699999999997</v>
      </c>
      <c r="I908" s="2">
        <v>-541.58000000000004</v>
      </c>
      <c r="J908" s="1">
        <v>328671.78999999998</v>
      </c>
      <c r="K908" s="1">
        <v>19026.558000000001</v>
      </c>
    </row>
    <row r="909" spans="1:11">
      <c r="A909" t="s">
        <v>1</v>
      </c>
      <c r="B909" s="3">
        <v>41731</v>
      </c>
      <c r="C909" s="3">
        <v>41731</v>
      </c>
      <c r="D909" t="s">
        <v>7</v>
      </c>
      <c r="E909" s="1">
        <v>23.090499999999999</v>
      </c>
      <c r="F909" s="1">
        <v>38566.163</v>
      </c>
      <c r="G909" s="1">
        <v>48423.364000000001</v>
      </c>
      <c r="H909" s="2">
        <v>887014.04</v>
      </c>
      <c r="I909" s="2">
        <v>-1113727.69</v>
      </c>
      <c r="J909" s="1">
        <v>275182010.60000002</v>
      </c>
      <c r="K909" s="1">
        <v>11917550.248</v>
      </c>
    </row>
    <row r="910" spans="1:11">
      <c r="A910" t="s">
        <v>1</v>
      </c>
      <c r="B910" s="3">
        <v>41731</v>
      </c>
      <c r="C910" s="3">
        <v>41731</v>
      </c>
      <c r="D910" t="s">
        <v>12</v>
      </c>
      <c r="E910" s="1">
        <v>18.419899999999998</v>
      </c>
      <c r="F910" s="1">
        <v>407.428</v>
      </c>
      <c r="G910" s="1">
        <v>0</v>
      </c>
      <c r="H910" s="2">
        <v>7475.61</v>
      </c>
      <c r="I910" s="2">
        <v>0</v>
      </c>
      <c r="J910" s="1">
        <v>15717876.16</v>
      </c>
      <c r="K910" s="1">
        <v>853307.69099999999</v>
      </c>
    </row>
    <row r="911" spans="1:11">
      <c r="A911" t="s">
        <v>1</v>
      </c>
      <c r="B911" s="3">
        <v>41731</v>
      </c>
      <c r="C911" s="3">
        <v>41731</v>
      </c>
      <c r="D911" t="s">
        <v>6</v>
      </c>
      <c r="E911" s="1">
        <v>19.134</v>
      </c>
      <c r="F911" s="1">
        <v>4929.8959999999997</v>
      </c>
      <c r="G911" s="1">
        <v>15211.338</v>
      </c>
      <c r="H911" s="2">
        <v>93961.84</v>
      </c>
      <c r="I911" s="2">
        <v>-289922</v>
      </c>
      <c r="J911" s="1">
        <v>39005731.579999998</v>
      </c>
      <c r="K911" s="1">
        <v>2038553.466</v>
      </c>
    </row>
    <row r="912" spans="1:11">
      <c r="A912" t="s">
        <v>1</v>
      </c>
      <c r="B912" s="3">
        <v>41731</v>
      </c>
      <c r="C912" s="3">
        <v>41731</v>
      </c>
      <c r="D912" t="s">
        <v>10</v>
      </c>
      <c r="E912" s="1">
        <v>18.933900000000001</v>
      </c>
      <c r="F912" s="1">
        <v>3</v>
      </c>
      <c r="G912" s="1">
        <v>400176</v>
      </c>
      <c r="H912" s="2">
        <v>56.61</v>
      </c>
      <c r="I912" s="2">
        <v>-7550848.2400000002</v>
      </c>
      <c r="J912" s="1">
        <v>10081087.039999999</v>
      </c>
      <c r="K912" s="1">
        <v>532435.72699999996</v>
      </c>
    </row>
    <row r="913" spans="1:11">
      <c r="A913" t="s">
        <v>1</v>
      </c>
      <c r="B913" s="3">
        <v>41731</v>
      </c>
      <c r="C913" s="3">
        <v>41731</v>
      </c>
      <c r="D913" t="s">
        <v>4</v>
      </c>
      <c r="E913" s="1">
        <v>11.407299999999999</v>
      </c>
      <c r="F913" s="1">
        <v>17248.576000000001</v>
      </c>
      <c r="G913" s="1">
        <v>469.58699999999999</v>
      </c>
      <c r="H913" s="2">
        <v>195986.94</v>
      </c>
      <c r="I913" s="2">
        <v>-5335.68</v>
      </c>
      <c r="J913" s="1">
        <v>1980562.75</v>
      </c>
      <c r="K913" s="1">
        <v>173622.946</v>
      </c>
    </row>
    <row r="914" spans="1:11">
      <c r="A914" t="s">
        <v>1</v>
      </c>
      <c r="B914" s="3">
        <v>41731</v>
      </c>
      <c r="C914" s="3">
        <v>41731</v>
      </c>
      <c r="D914" t="s">
        <v>3</v>
      </c>
      <c r="E914" s="1">
        <v>11.0732</v>
      </c>
      <c r="F914" s="1">
        <v>1303.53</v>
      </c>
      <c r="G914" s="1">
        <v>0</v>
      </c>
      <c r="H914" s="2">
        <v>14378.2</v>
      </c>
      <c r="I914" s="2">
        <v>0</v>
      </c>
      <c r="J914" s="1">
        <v>2121218.9700000002</v>
      </c>
      <c r="K914" s="1">
        <v>191562.628</v>
      </c>
    </row>
    <row r="915" spans="1:11">
      <c r="A915" t="s">
        <v>1</v>
      </c>
      <c r="B915" s="3">
        <v>41731</v>
      </c>
      <c r="C915" s="3">
        <v>41731</v>
      </c>
      <c r="D915" t="s">
        <v>2</v>
      </c>
      <c r="E915" s="1">
        <v>17.5366</v>
      </c>
      <c r="F915" s="1">
        <v>15126.751</v>
      </c>
      <c r="G915" s="1">
        <v>990</v>
      </c>
      <c r="H915" s="2">
        <v>264224.68</v>
      </c>
      <c r="I915" s="2">
        <v>-17292.7</v>
      </c>
      <c r="J915" s="1">
        <v>53405558.43</v>
      </c>
      <c r="K915" s="1">
        <v>3045380.86</v>
      </c>
    </row>
    <row r="916" spans="1:11">
      <c r="A916" t="s">
        <v>1</v>
      </c>
      <c r="B916" s="3">
        <v>41731</v>
      </c>
      <c r="C916" s="3">
        <v>41731</v>
      </c>
      <c r="D916" t="s">
        <v>0</v>
      </c>
      <c r="E916" s="1">
        <v>17.3429</v>
      </c>
      <c r="F916" s="1">
        <v>3795.1709999999998</v>
      </c>
      <c r="G916" s="1">
        <v>0</v>
      </c>
      <c r="H916" s="2">
        <v>65559.58</v>
      </c>
      <c r="I916" s="2">
        <v>0</v>
      </c>
      <c r="J916" s="1">
        <v>395795.71</v>
      </c>
      <c r="K916" s="1">
        <v>22821.728999999999</v>
      </c>
    </row>
    <row r="917" spans="1:11">
      <c r="A917" t="s">
        <v>1</v>
      </c>
      <c r="B917" s="3">
        <v>41732</v>
      </c>
      <c r="C917" s="3">
        <v>41732</v>
      </c>
      <c r="D917" t="s">
        <v>7</v>
      </c>
      <c r="E917" s="1">
        <v>23.157599999999999</v>
      </c>
      <c r="F917" s="1">
        <v>47870.678</v>
      </c>
      <c r="G917" s="1">
        <v>63757.614999999998</v>
      </c>
      <c r="H917" s="2">
        <v>1105357.8799999999</v>
      </c>
      <c r="I917" s="2">
        <v>-1472195.21</v>
      </c>
      <c r="J917" s="1">
        <v>275613620.81999999</v>
      </c>
      <c r="K917" s="1">
        <v>11901663.311000001</v>
      </c>
    </row>
    <row r="918" spans="1:11">
      <c r="A918" t="s">
        <v>1</v>
      </c>
      <c r="B918" s="3">
        <v>41732</v>
      </c>
      <c r="C918" s="3">
        <v>41732</v>
      </c>
      <c r="D918" t="s">
        <v>12</v>
      </c>
      <c r="E918" s="1">
        <v>18.4727</v>
      </c>
      <c r="F918" s="1">
        <v>28335.352999999999</v>
      </c>
      <c r="G918" s="1">
        <v>30058.767</v>
      </c>
      <c r="H918" s="2">
        <v>521934.35</v>
      </c>
      <c r="I918" s="2">
        <v>-553679.46</v>
      </c>
      <c r="J918" s="1">
        <v>15731060.880000001</v>
      </c>
      <c r="K918" s="1">
        <v>851584.277</v>
      </c>
    </row>
    <row r="919" spans="1:11">
      <c r="A919" t="s">
        <v>1</v>
      </c>
      <c r="B919" s="3">
        <v>41732</v>
      </c>
      <c r="C919" s="3">
        <v>41732</v>
      </c>
      <c r="D919" t="s">
        <v>6</v>
      </c>
      <c r="E919" s="1">
        <v>19.188800000000001</v>
      </c>
      <c r="F919" s="1">
        <v>6395.991</v>
      </c>
      <c r="G919" s="1">
        <v>23818.157999999999</v>
      </c>
      <c r="H919" s="2">
        <v>122380.9</v>
      </c>
      <c r="I919" s="2">
        <v>-455736.64</v>
      </c>
      <c r="J919" s="1">
        <v>38783145.200000003</v>
      </c>
      <c r="K919" s="1">
        <v>2021131.2990000001</v>
      </c>
    </row>
    <row r="920" spans="1:11">
      <c r="A920" t="s">
        <v>1</v>
      </c>
      <c r="B920" s="3">
        <v>41732</v>
      </c>
      <c r="C920" s="3">
        <v>41732</v>
      </c>
      <c r="D920" t="s">
        <v>4</v>
      </c>
      <c r="E920" s="1">
        <v>11.4404</v>
      </c>
      <c r="F920" s="1">
        <v>30803.748</v>
      </c>
      <c r="G920" s="1">
        <v>0</v>
      </c>
      <c r="H920" s="2">
        <v>351387.6</v>
      </c>
      <c r="I920" s="2">
        <v>0</v>
      </c>
      <c r="J920" s="1">
        <v>2338725.59</v>
      </c>
      <c r="K920" s="1">
        <v>204426.69399999999</v>
      </c>
    </row>
    <row r="921" spans="1:11">
      <c r="A921" t="s">
        <v>1</v>
      </c>
      <c r="B921" s="3">
        <v>41732</v>
      </c>
      <c r="C921" s="3">
        <v>41732</v>
      </c>
      <c r="D921" t="s">
        <v>2</v>
      </c>
      <c r="E921" s="1">
        <v>17.587900000000001</v>
      </c>
      <c r="F921" s="1">
        <v>15540.183000000001</v>
      </c>
      <c r="G921" s="1">
        <v>635</v>
      </c>
      <c r="H921" s="2">
        <v>272521.82</v>
      </c>
      <c r="I921" s="2">
        <v>-11135.74</v>
      </c>
      <c r="J921" s="1">
        <v>53823971.090000004</v>
      </c>
      <c r="K921" s="1">
        <v>3060286.0430000001</v>
      </c>
    </row>
    <row r="922" spans="1:11">
      <c r="A922" t="s">
        <v>1</v>
      </c>
      <c r="B922" s="3">
        <v>41732</v>
      </c>
      <c r="C922" s="3">
        <v>41732</v>
      </c>
      <c r="D922" t="s">
        <v>0</v>
      </c>
      <c r="E922" s="1">
        <v>17.393699999999999</v>
      </c>
      <c r="F922" s="1">
        <v>1598.0719999999999</v>
      </c>
      <c r="G922" s="1">
        <v>15.654999999999999</v>
      </c>
      <c r="H922" s="2">
        <v>27715.19</v>
      </c>
      <c r="I922" s="2">
        <v>-271.51</v>
      </c>
      <c r="J922" s="1">
        <v>424479.5</v>
      </c>
      <c r="K922" s="1">
        <v>24404.146000000001</v>
      </c>
    </row>
    <row r="923" spans="1:11">
      <c r="A923" t="s">
        <v>1</v>
      </c>
      <c r="B923" s="3">
        <v>41733</v>
      </c>
      <c r="C923" s="3">
        <v>41733</v>
      </c>
      <c r="D923" t="s">
        <v>8</v>
      </c>
      <c r="E923" s="1">
        <v>18.768799999999999</v>
      </c>
      <c r="F923" s="1">
        <v>324.85700000000003</v>
      </c>
      <c r="G923" s="1">
        <v>26642.535</v>
      </c>
      <c r="H923" s="2">
        <v>6084.76</v>
      </c>
      <c r="I923" s="2">
        <v>-499030.52</v>
      </c>
      <c r="J923" s="1">
        <v>6497262.79</v>
      </c>
      <c r="K923" s="1">
        <v>346173.85</v>
      </c>
    </row>
    <row r="924" spans="1:11">
      <c r="A924" t="s">
        <v>1</v>
      </c>
      <c r="B924" s="3">
        <v>41733</v>
      </c>
      <c r="C924" s="3">
        <v>41733</v>
      </c>
      <c r="D924" t="s">
        <v>7</v>
      </c>
      <c r="E924" s="1">
        <v>23.204799999999999</v>
      </c>
      <c r="F924" s="1">
        <v>3268.107</v>
      </c>
      <c r="G924" s="1">
        <v>80140.297000000006</v>
      </c>
      <c r="H924" s="2">
        <v>75681.53</v>
      </c>
      <c r="I924" s="2">
        <v>-1855856.94</v>
      </c>
      <c r="J924" s="1">
        <v>274391548.70999998</v>
      </c>
      <c r="K924" s="1">
        <v>11824791.120999999</v>
      </c>
    </row>
    <row r="925" spans="1:11">
      <c r="A925" t="s">
        <v>1</v>
      </c>
      <c r="B925" s="3">
        <v>41733</v>
      </c>
      <c r="C925" s="3">
        <v>41733</v>
      </c>
      <c r="D925" t="s">
        <v>12</v>
      </c>
      <c r="E925" s="1">
        <v>18.509599999999999</v>
      </c>
      <c r="F925" s="1">
        <v>1997.578</v>
      </c>
      <c r="G925" s="1">
        <v>11705.067999999999</v>
      </c>
      <c r="H925" s="2">
        <v>36900.660000000003</v>
      </c>
      <c r="I925" s="2">
        <v>-216224.21</v>
      </c>
      <c r="J925" s="1">
        <v>15582794.4</v>
      </c>
      <c r="K925" s="1">
        <v>841876.78700000001</v>
      </c>
    </row>
    <row r="926" spans="1:11">
      <c r="A926" t="s">
        <v>1</v>
      </c>
      <c r="B926" s="3">
        <v>41733</v>
      </c>
      <c r="C926" s="3">
        <v>41733</v>
      </c>
      <c r="D926" t="s">
        <v>6</v>
      </c>
      <c r="E926" s="1">
        <v>19.2272</v>
      </c>
      <c r="F926" s="1">
        <v>1759.771</v>
      </c>
      <c r="G926" s="1">
        <v>9112.7669999999998</v>
      </c>
      <c r="H926" s="2">
        <v>33767.919999999998</v>
      </c>
      <c r="I926" s="2">
        <v>-174863.05</v>
      </c>
      <c r="J926" s="1">
        <v>38719218.890000001</v>
      </c>
      <c r="K926" s="1">
        <v>2013778.3030000001</v>
      </c>
    </row>
    <row r="927" spans="1:11">
      <c r="A927" t="s">
        <v>1</v>
      </c>
      <c r="B927" s="3">
        <v>41733</v>
      </c>
      <c r="C927" s="3">
        <v>41733</v>
      </c>
      <c r="D927" t="s">
        <v>5</v>
      </c>
      <c r="E927" s="1">
        <v>17.865600000000001</v>
      </c>
      <c r="F927" s="1">
        <v>286181</v>
      </c>
      <c r="G927" s="1">
        <v>0</v>
      </c>
      <c r="H927" s="2">
        <v>5102292.43</v>
      </c>
      <c r="I927" s="2">
        <v>0</v>
      </c>
      <c r="J927" s="1">
        <v>32852090.039999999</v>
      </c>
      <c r="K927" s="1">
        <v>1838844.1359999999</v>
      </c>
    </row>
    <row r="928" spans="1:11">
      <c r="A928" t="s">
        <v>1</v>
      </c>
      <c r="B928" s="3">
        <v>41733</v>
      </c>
      <c r="C928" s="3">
        <v>41733</v>
      </c>
      <c r="D928" t="s">
        <v>4</v>
      </c>
      <c r="E928" s="1">
        <v>11.463699999999999</v>
      </c>
      <c r="F928" s="1">
        <v>15426.975</v>
      </c>
      <c r="G928" s="1">
        <v>145.803</v>
      </c>
      <c r="H928" s="2">
        <v>176490.77</v>
      </c>
      <c r="I928" s="2">
        <v>-1668.04</v>
      </c>
      <c r="J928" s="1">
        <v>2518671.2000000002</v>
      </c>
      <c r="K928" s="1">
        <v>219707.86600000001</v>
      </c>
    </row>
    <row r="929" spans="1:11">
      <c r="A929" t="s">
        <v>1</v>
      </c>
      <c r="B929" s="3">
        <v>41733</v>
      </c>
      <c r="C929" s="3">
        <v>41733</v>
      </c>
      <c r="D929" t="s">
        <v>2</v>
      </c>
      <c r="E929" s="1">
        <v>17.624099999999999</v>
      </c>
      <c r="F929" s="1">
        <v>10428.473</v>
      </c>
      <c r="G929" s="1">
        <v>0</v>
      </c>
      <c r="H929" s="2">
        <v>183415.18</v>
      </c>
      <c r="I929" s="2">
        <v>0</v>
      </c>
      <c r="J929" s="1">
        <v>54118569.130000003</v>
      </c>
      <c r="K929" s="1">
        <v>3070714.5159999998</v>
      </c>
    </row>
    <row r="930" spans="1:11">
      <c r="A930" t="s">
        <v>1</v>
      </c>
      <c r="B930" s="3">
        <v>41733</v>
      </c>
      <c r="C930" s="3">
        <v>41733</v>
      </c>
      <c r="D930" t="s">
        <v>9</v>
      </c>
      <c r="E930" s="1">
        <v>18.8262</v>
      </c>
      <c r="F930" s="1">
        <v>38.174999999999997</v>
      </c>
      <c r="G930" s="1">
        <v>0</v>
      </c>
      <c r="H930" s="2">
        <v>717.22</v>
      </c>
      <c r="I930" s="2">
        <v>0</v>
      </c>
      <c r="J930" s="1">
        <v>1189162.06</v>
      </c>
      <c r="K930" s="1">
        <v>63165.302000000003</v>
      </c>
    </row>
    <row r="931" spans="1:11">
      <c r="A931" t="s">
        <v>1</v>
      </c>
      <c r="B931" s="3">
        <v>41733</v>
      </c>
      <c r="C931" s="3">
        <v>41733</v>
      </c>
      <c r="D931" t="s">
        <v>0</v>
      </c>
      <c r="E931" s="1">
        <v>17.429600000000001</v>
      </c>
      <c r="F931" s="1">
        <v>2351.5129999999999</v>
      </c>
      <c r="G931" s="1">
        <v>11.754</v>
      </c>
      <c r="H931" s="2">
        <v>40901.39</v>
      </c>
      <c r="I931" s="2">
        <v>-204.44</v>
      </c>
      <c r="J931" s="1">
        <v>466136</v>
      </c>
      <c r="K931" s="1">
        <v>26743.904999999999</v>
      </c>
    </row>
    <row r="932" spans="1:11">
      <c r="A932" t="s">
        <v>1</v>
      </c>
      <c r="B932" s="3">
        <v>41736</v>
      </c>
      <c r="C932" s="3">
        <v>41736</v>
      </c>
      <c r="D932" t="s">
        <v>7</v>
      </c>
      <c r="E932" s="1">
        <v>22.991800000000001</v>
      </c>
      <c r="F932" s="1">
        <v>42367.853000000003</v>
      </c>
      <c r="G932" s="1">
        <v>4230.1480000000001</v>
      </c>
      <c r="H932" s="2">
        <v>983137.57</v>
      </c>
      <c r="I932" s="2">
        <v>-98159.75</v>
      </c>
      <c r="J932" s="1">
        <v>272750054.98000002</v>
      </c>
      <c r="K932" s="1">
        <v>11862928.825999999</v>
      </c>
    </row>
    <row r="933" spans="1:11">
      <c r="A933" t="s">
        <v>1</v>
      </c>
      <c r="B933" s="3">
        <v>41736</v>
      </c>
      <c r="C933" s="3">
        <v>41736</v>
      </c>
      <c r="D933" t="s">
        <v>6</v>
      </c>
      <c r="E933" s="1">
        <v>19.048300000000001</v>
      </c>
      <c r="F933" s="1">
        <v>9258.2919999999995</v>
      </c>
      <c r="G933" s="1">
        <v>2787.1120000000001</v>
      </c>
      <c r="H933" s="2">
        <v>178011.04</v>
      </c>
      <c r="I933" s="2">
        <v>-53588.36</v>
      </c>
      <c r="J933" s="1">
        <v>38482347.990000002</v>
      </c>
      <c r="K933" s="1">
        <v>2020249.483</v>
      </c>
    </row>
    <row r="934" spans="1:11">
      <c r="A934" t="s">
        <v>1</v>
      </c>
      <c r="B934" s="3">
        <v>41736</v>
      </c>
      <c r="C934" s="3">
        <v>41736</v>
      </c>
      <c r="D934" t="s">
        <v>10</v>
      </c>
      <c r="E934" s="1">
        <v>18.7653</v>
      </c>
      <c r="F934" s="1">
        <v>2</v>
      </c>
      <c r="G934" s="1">
        <v>0</v>
      </c>
      <c r="H934" s="2">
        <v>37.82</v>
      </c>
      <c r="I934" s="2">
        <v>0</v>
      </c>
      <c r="J934" s="1">
        <v>9991339.5899999999</v>
      </c>
      <c r="K934" s="1">
        <v>532437.72699999996</v>
      </c>
    </row>
    <row r="935" spans="1:11">
      <c r="A935" t="s">
        <v>1</v>
      </c>
      <c r="B935" s="3">
        <v>41736</v>
      </c>
      <c r="C935" s="3">
        <v>41736</v>
      </c>
      <c r="D935" t="s">
        <v>2</v>
      </c>
      <c r="E935" s="1">
        <v>17.4634</v>
      </c>
      <c r="F935" s="1">
        <v>7957.7759999999998</v>
      </c>
      <c r="G935" s="1">
        <v>0</v>
      </c>
      <c r="H935" s="2">
        <v>140248.79999999999</v>
      </c>
      <c r="I935" s="2">
        <v>0</v>
      </c>
      <c r="J935" s="1">
        <v>53764178.469999999</v>
      </c>
      <c r="K935" s="1">
        <v>3078672.2919999999</v>
      </c>
    </row>
    <row r="936" spans="1:11">
      <c r="A936" t="s">
        <v>1</v>
      </c>
      <c r="B936" s="3">
        <v>41736</v>
      </c>
      <c r="C936" s="3">
        <v>41736</v>
      </c>
      <c r="D936" t="s">
        <v>9</v>
      </c>
      <c r="E936" s="1">
        <v>18.654199999999999</v>
      </c>
      <c r="F936" s="1">
        <v>109.886</v>
      </c>
      <c r="G936" s="1">
        <v>132.86799999999999</v>
      </c>
      <c r="H936" s="2">
        <v>2068.7199999999998</v>
      </c>
      <c r="I936" s="2">
        <v>-2501.38</v>
      </c>
      <c r="J936" s="1">
        <v>1177868.1499999999</v>
      </c>
      <c r="K936" s="1">
        <v>63142.32</v>
      </c>
    </row>
    <row r="937" spans="1:11">
      <c r="A937" t="s">
        <v>1</v>
      </c>
      <c r="B937" s="3">
        <v>41736</v>
      </c>
      <c r="C937" s="3">
        <v>41736</v>
      </c>
      <c r="D937" t="s">
        <v>0</v>
      </c>
      <c r="E937" s="1">
        <v>17.270900000000001</v>
      </c>
      <c r="F937" s="1">
        <v>1825.8150000000001</v>
      </c>
      <c r="G937" s="1">
        <v>0</v>
      </c>
      <c r="H937" s="2">
        <v>31823.11</v>
      </c>
      <c r="I937" s="2">
        <v>0</v>
      </c>
      <c r="J937" s="1">
        <v>493425.71</v>
      </c>
      <c r="K937" s="1">
        <v>28569.72</v>
      </c>
    </row>
    <row r="938" spans="1:11">
      <c r="A938" t="s">
        <v>1</v>
      </c>
      <c r="B938" s="3">
        <v>41737</v>
      </c>
      <c r="C938" s="3">
        <v>41737</v>
      </c>
      <c r="D938" t="s">
        <v>8</v>
      </c>
      <c r="E938" s="1">
        <v>18.361599999999999</v>
      </c>
      <c r="F938" s="1">
        <v>22.14</v>
      </c>
      <c r="G938" s="1">
        <v>0</v>
      </c>
      <c r="H938" s="2">
        <v>411.74</v>
      </c>
      <c r="I938" s="2">
        <v>0</v>
      </c>
      <c r="J938" s="1">
        <v>6356728.5499999998</v>
      </c>
      <c r="K938" s="1">
        <v>346195.99</v>
      </c>
    </row>
    <row r="939" spans="1:11">
      <c r="A939" t="s">
        <v>1</v>
      </c>
      <c r="B939" s="3">
        <v>41737</v>
      </c>
      <c r="C939" s="3">
        <v>41737</v>
      </c>
      <c r="D939" t="s">
        <v>7</v>
      </c>
      <c r="E939" s="1">
        <v>22.7014</v>
      </c>
      <c r="F939" s="1">
        <v>6204.0420000000004</v>
      </c>
      <c r="G939" s="1">
        <v>128676.605</v>
      </c>
      <c r="H939" s="2">
        <v>142642.07999999999</v>
      </c>
      <c r="I939" s="2">
        <v>-2958506.76</v>
      </c>
      <c r="J939" s="1">
        <v>266524837.13999999</v>
      </c>
      <c r="K939" s="1">
        <v>11740456.263</v>
      </c>
    </row>
    <row r="940" spans="1:11">
      <c r="A940" t="s">
        <v>1</v>
      </c>
      <c r="B940" s="3">
        <v>41737</v>
      </c>
      <c r="C940" s="3">
        <v>41737</v>
      </c>
      <c r="D940" t="s">
        <v>12</v>
      </c>
      <c r="E940" s="1">
        <v>18.1051</v>
      </c>
      <c r="F940" s="1">
        <v>0</v>
      </c>
      <c r="G940" s="1">
        <v>85978.866999999998</v>
      </c>
      <c r="H940" s="2">
        <v>0</v>
      </c>
      <c r="I940" s="2">
        <v>-1576628.87</v>
      </c>
      <c r="J940" s="1">
        <v>13685585.119999999</v>
      </c>
      <c r="K940" s="1">
        <v>755897.92</v>
      </c>
    </row>
    <row r="941" spans="1:11">
      <c r="A941" t="s">
        <v>1</v>
      </c>
      <c r="B941" s="3">
        <v>41737</v>
      </c>
      <c r="C941" s="3">
        <v>41737</v>
      </c>
      <c r="D941" t="s">
        <v>6</v>
      </c>
      <c r="E941" s="1">
        <v>18.806899999999999</v>
      </c>
      <c r="F941" s="1">
        <v>5830.0889999999999</v>
      </c>
      <c r="G941" s="1">
        <v>17496.974999999999</v>
      </c>
      <c r="H941" s="2">
        <v>111053.29</v>
      </c>
      <c r="I941" s="2">
        <v>-333287.64</v>
      </c>
      <c r="J941" s="1">
        <v>37775304.109999999</v>
      </c>
      <c r="K941" s="1">
        <v>2008582.5970000001</v>
      </c>
    </row>
    <row r="942" spans="1:11">
      <c r="A942" t="s">
        <v>1</v>
      </c>
      <c r="B942" s="3">
        <v>41737</v>
      </c>
      <c r="C942" s="3">
        <v>41737</v>
      </c>
      <c r="D942" t="s">
        <v>5</v>
      </c>
      <c r="E942" s="1">
        <v>17.479500000000002</v>
      </c>
      <c r="F942" s="1">
        <v>0</v>
      </c>
      <c r="G942" s="1">
        <v>470318</v>
      </c>
      <c r="H942" s="2">
        <v>0</v>
      </c>
      <c r="I942" s="2">
        <v>-8325945.4900000002</v>
      </c>
      <c r="J942" s="1">
        <v>23921162.77</v>
      </c>
      <c r="K942" s="1">
        <v>1368526.1359999999</v>
      </c>
    </row>
    <row r="943" spans="1:11">
      <c r="A943" t="s">
        <v>1</v>
      </c>
      <c r="B943" s="3">
        <v>41737</v>
      </c>
      <c r="C943" s="3">
        <v>41737</v>
      </c>
      <c r="D943" t="s">
        <v>4</v>
      </c>
      <c r="E943" s="1">
        <v>11.2128</v>
      </c>
      <c r="F943" s="1">
        <v>943.70299999999997</v>
      </c>
      <c r="G943" s="1">
        <v>0</v>
      </c>
      <c r="H943" s="2">
        <v>10719.05</v>
      </c>
      <c r="I943" s="2">
        <v>0</v>
      </c>
      <c r="J943" s="1">
        <v>2474124.94</v>
      </c>
      <c r="K943" s="1">
        <v>220651.56899999999</v>
      </c>
    </row>
    <row r="944" spans="1:11">
      <c r="A944" t="s">
        <v>1</v>
      </c>
      <c r="B944" s="3">
        <v>41737</v>
      </c>
      <c r="C944" s="3">
        <v>41737</v>
      </c>
      <c r="D944" t="s">
        <v>2</v>
      </c>
      <c r="E944" s="1">
        <v>17.243099999999998</v>
      </c>
      <c r="F944" s="1">
        <v>5598.4560000000001</v>
      </c>
      <c r="G944" s="1">
        <v>0</v>
      </c>
      <c r="H944" s="2">
        <v>97768.16</v>
      </c>
      <c r="I944" s="2">
        <v>0</v>
      </c>
      <c r="J944" s="1">
        <v>53182364.469999999</v>
      </c>
      <c r="K944" s="1">
        <v>3084270.7480000001</v>
      </c>
    </row>
    <row r="945" spans="1:11">
      <c r="A945" t="s">
        <v>1</v>
      </c>
      <c r="B945" s="3">
        <v>41737</v>
      </c>
      <c r="C945" s="3">
        <v>41737</v>
      </c>
      <c r="D945" t="s">
        <v>9</v>
      </c>
      <c r="E945" s="1">
        <v>18.418800000000001</v>
      </c>
      <c r="F945" s="1">
        <v>132.94300000000001</v>
      </c>
      <c r="G945" s="1">
        <v>0</v>
      </c>
      <c r="H945" s="2">
        <v>2479.9499999999998</v>
      </c>
      <c r="I945" s="2">
        <v>0</v>
      </c>
      <c r="J945" s="1">
        <v>1165456.1000000001</v>
      </c>
      <c r="K945" s="1">
        <v>63275.262999999999</v>
      </c>
    </row>
    <row r="946" spans="1:11">
      <c r="A946" t="s">
        <v>1</v>
      </c>
      <c r="B946" s="3">
        <v>41737</v>
      </c>
      <c r="C946" s="3">
        <v>41737</v>
      </c>
      <c r="D946" t="s">
        <v>0</v>
      </c>
      <c r="E946" s="1">
        <v>17.0532</v>
      </c>
      <c r="F946" s="1">
        <v>3486.8130000000001</v>
      </c>
      <c r="G946" s="1">
        <v>6.7729999999999997</v>
      </c>
      <c r="H946" s="2">
        <v>60220.44</v>
      </c>
      <c r="I946" s="2">
        <v>-116.98</v>
      </c>
      <c r="J946" s="1">
        <v>546551.57999999996</v>
      </c>
      <c r="K946" s="1">
        <v>32049.759999999998</v>
      </c>
    </row>
    <row r="947" spans="1:11">
      <c r="A947" t="s">
        <v>1</v>
      </c>
      <c r="B947" s="3">
        <v>41738</v>
      </c>
      <c r="C947" s="3">
        <v>41738</v>
      </c>
      <c r="D947" t="s">
        <v>7</v>
      </c>
      <c r="E947" s="1">
        <v>22.709700000000002</v>
      </c>
      <c r="F947" s="1">
        <v>62936.565999999999</v>
      </c>
      <c r="G947" s="1">
        <v>16576.982</v>
      </c>
      <c r="H947" s="2">
        <v>1428748.17</v>
      </c>
      <c r="I947" s="2">
        <v>-376320.71</v>
      </c>
      <c r="J947" s="1">
        <v>267674735.80000001</v>
      </c>
      <c r="K947" s="1">
        <v>11786815.846999999</v>
      </c>
    </row>
    <row r="948" spans="1:11">
      <c r="A948" t="s">
        <v>1</v>
      </c>
      <c r="B948" s="3">
        <v>41738</v>
      </c>
      <c r="C948" s="3">
        <v>41738</v>
      </c>
      <c r="D948" t="s">
        <v>12</v>
      </c>
      <c r="E948" s="1">
        <v>18.110900000000001</v>
      </c>
      <c r="F948" s="1">
        <v>284.15499999999997</v>
      </c>
      <c r="G948" s="1">
        <v>7034.6180000000004</v>
      </c>
      <c r="H948" s="2">
        <v>5144.66</v>
      </c>
      <c r="I948" s="2">
        <v>-127362.46</v>
      </c>
      <c r="J948" s="1">
        <v>13567750.67</v>
      </c>
      <c r="K948" s="1">
        <v>749147.45700000005</v>
      </c>
    </row>
    <row r="949" spans="1:11">
      <c r="A949" t="s">
        <v>1</v>
      </c>
      <c r="B949" s="3">
        <v>41738</v>
      </c>
      <c r="C949" s="3">
        <v>41738</v>
      </c>
      <c r="D949" t="s">
        <v>6</v>
      </c>
      <c r="E949" s="1">
        <v>18.812999999999999</v>
      </c>
      <c r="F949" s="1">
        <v>42683.031999999999</v>
      </c>
      <c r="G949" s="1">
        <v>3561.221</v>
      </c>
      <c r="H949" s="2">
        <v>802735.53</v>
      </c>
      <c r="I949" s="2">
        <v>-66975.509999999995</v>
      </c>
      <c r="J949" s="1">
        <v>38523510.020000003</v>
      </c>
      <c r="K949" s="1">
        <v>2047704.4080000001</v>
      </c>
    </row>
    <row r="950" spans="1:11">
      <c r="A950" t="s">
        <v>1</v>
      </c>
      <c r="B950" s="3">
        <v>41738</v>
      </c>
      <c r="C950" s="3">
        <v>41738</v>
      </c>
      <c r="D950" t="s">
        <v>4</v>
      </c>
      <c r="E950" s="1">
        <v>11.216900000000001</v>
      </c>
      <c r="F950" s="1">
        <v>56045.968000000001</v>
      </c>
      <c r="G950" s="1">
        <v>0</v>
      </c>
      <c r="H950" s="2">
        <v>628432.23</v>
      </c>
      <c r="I950" s="2">
        <v>0</v>
      </c>
      <c r="J950" s="1">
        <v>3103687.34</v>
      </c>
      <c r="K950" s="1">
        <v>276697.53700000001</v>
      </c>
    </row>
    <row r="951" spans="1:11">
      <c r="A951" t="s">
        <v>1</v>
      </c>
      <c r="B951" s="3">
        <v>41738</v>
      </c>
      <c r="C951" s="3">
        <v>41738</v>
      </c>
      <c r="D951" t="s">
        <v>14</v>
      </c>
      <c r="E951" s="1">
        <v>11.0738</v>
      </c>
      <c r="F951" s="1">
        <v>113.893</v>
      </c>
      <c r="G951" s="1">
        <v>0</v>
      </c>
      <c r="H951" s="2">
        <v>1260.82</v>
      </c>
      <c r="I951" s="2">
        <v>0</v>
      </c>
      <c r="J951" s="1">
        <v>479151.05</v>
      </c>
      <c r="K951" s="1">
        <v>43268.887000000002</v>
      </c>
    </row>
    <row r="952" spans="1:11">
      <c r="A952" t="s">
        <v>1</v>
      </c>
      <c r="B952" s="3">
        <v>41738</v>
      </c>
      <c r="C952" s="3">
        <v>41738</v>
      </c>
      <c r="D952" t="s">
        <v>2</v>
      </c>
      <c r="E952" s="1">
        <v>17.249700000000001</v>
      </c>
      <c r="F952" s="1">
        <v>14452.257</v>
      </c>
      <c r="G952" s="1">
        <v>1902.799</v>
      </c>
      <c r="H952" s="2">
        <v>249202.04</v>
      </c>
      <c r="I952" s="2">
        <v>-32810.199999999997</v>
      </c>
      <c r="J952" s="1">
        <v>53419305.259999998</v>
      </c>
      <c r="K952" s="1">
        <v>3096820.2059999998</v>
      </c>
    </row>
    <row r="953" spans="1:11">
      <c r="A953" t="s">
        <v>1</v>
      </c>
      <c r="B953" s="3">
        <v>41738</v>
      </c>
      <c r="C953" s="3">
        <v>41738</v>
      </c>
      <c r="D953" t="s">
        <v>0</v>
      </c>
      <c r="E953" s="1">
        <v>17.059899999999999</v>
      </c>
      <c r="F953" s="1">
        <v>560.15200000000004</v>
      </c>
      <c r="G953" s="1">
        <v>0</v>
      </c>
      <c r="H953" s="2">
        <v>9552.41</v>
      </c>
      <c r="I953" s="2">
        <v>0</v>
      </c>
      <c r="J953" s="1">
        <v>556320.30000000005</v>
      </c>
      <c r="K953" s="1">
        <v>32609.912</v>
      </c>
    </row>
    <row r="954" spans="1:11">
      <c r="A954" t="s">
        <v>1</v>
      </c>
      <c r="B954" s="3">
        <v>41739</v>
      </c>
      <c r="C954" s="3">
        <v>41739</v>
      </c>
      <c r="D954" t="s">
        <v>7</v>
      </c>
      <c r="E954" s="1">
        <v>22.978400000000001</v>
      </c>
      <c r="F954" s="1">
        <v>25394.894</v>
      </c>
      <c r="G954" s="1">
        <v>24286.704000000002</v>
      </c>
      <c r="H954" s="2">
        <v>576710.41</v>
      </c>
      <c r="I954" s="2">
        <v>-551543.75</v>
      </c>
      <c r="J954" s="1">
        <v>270867821.60000002</v>
      </c>
      <c r="K954" s="1">
        <v>11787924.037</v>
      </c>
    </row>
    <row r="955" spans="1:11">
      <c r="A955" t="s">
        <v>1</v>
      </c>
      <c r="B955" s="3">
        <v>41739</v>
      </c>
      <c r="C955" s="3">
        <v>41739</v>
      </c>
      <c r="D955" t="s">
        <v>12</v>
      </c>
      <c r="E955" s="1">
        <v>18.3245</v>
      </c>
      <c r="F955" s="1">
        <v>1662.617</v>
      </c>
      <c r="G955" s="1">
        <v>3414.346</v>
      </c>
      <c r="H955" s="2">
        <v>30111.48</v>
      </c>
      <c r="I955" s="2">
        <v>-61836.88</v>
      </c>
      <c r="J955" s="1">
        <v>13695652.220000001</v>
      </c>
      <c r="K955" s="1">
        <v>747395.728</v>
      </c>
    </row>
    <row r="956" spans="1:11">
      <c r="A956" t="s">
        <v>1</v>
      </c>
      <c r="B956" s="3">
        <v>41739</v>
      </c>
      <c r="C956" s="3">
        <v>41739</v>
      </c>
      <c r="D956" t="s">
        <v>6</v>
      </c>
      <c r="E956" s="1">
        <v>19.0349</v>
      </c>
      <c r="F956" s="1">
        <v>9684.5130000000008</v>
      </c>
      <c r="G956" s="1">
        <v>2741.951</v>
      </c>
      <c r="H956" s="2">
        <v>182194.74</v>
      </c>
      <c r="I956" s="2">
        <v>-51584.32</v>
      </c>
      <c r="J956" s="1">
        <v>39109958.770000003</v>
      </c>
      <c r="K956" s="1">
        <v>2054646.97</v>
      </c>
    </row>
    <row r="957" spans="1:11">
      <c r="A957" t="s">
        <v>1</v>
      </c>
      <c r="B957" s="3">
        <v>41739</v>
      </c>
      <c r="C957" s="3">
        <v>41739</v>
      </c>
      <c r="D957" t="s">
        <v>5</v>
      </c>
      <c r="E957" s="1">
        <v>17.6935</v>
      </c>
      <c r="F957" s="1">
        <v>65499</v>
      </c>
      <c r="G957" s="1">
        <v>0</v>
      </c>
      <c r="H957" s="2">
        <v>1145328.6100000001</v>
      </c>
      <c r="I957" s="2">
        <v>0</v>
      </c>
      <c r="J957" s="1">
        <v>25372953.890000001</v>
      </c>
      <c r="K957" s="1">
        <v>1434025.1359999999</v>
      </c>
    </row>
    <row r="958" spans="1:11">
      <c r="A958" t="s">
        <v>1</v>
      </c>
      <c r="B958" s="3">
        <v>41739</v>
      </c>
      <c r="C958" s="3">
        <v>41739</v>
      </c>
      <c r="D958" t="s">
        <v>4</v>
      </c>
      <c r="E958" s="1">
        <v>11.349600000000001</v>
      </c>
      <c r="F958" s="1">
        <v>17083.205000000002</v>
      </c>
      <c r="G958" s="1">
        <v>0</v>
      </c>
      <c r="H958" s="2">
        <v>191620.6</v>
      </c>
      <c r="I958" s="2">
        <v>0</v>
      </c>
      <c r="J958" s="1">
        <v>3334304.13</v>
      </c>
      <c r="K958" s="1">
        <v>293780.74200000003</v>
      </c>
    </row>
    <row r="959" spans="1:11">
      <c r="A959" t="s">
        <v>1</v>
      </c>
      <c r="B959" s="3">
        <v>41739</v>
      </c>
      <c r="C959" s="3">
        <v>41739</v>
      </c>
      <c r="D959" t="s">
        <v>3</v>
      </c>
      <c r="E959" s="1">
        <v>11.0159</v>
      </c>
      <c r="F959" s="1">
        <v>0</v>
      </c>
      <c r="G959" s="1">
        <v>801.16300000000001</v>
      </c>
      <c r="H959" s="2">
        <v>0</v>
      </c>
      <c r="I959" s="2">
        <v>-8722.66</v>
      </c>
      <c r="J959" s="1">
        <v>2101402.23</v>
      </c>
      <c r="K959" s="1">
        <v>190761.465</v>
      </c>
    </row>
    <row r="960" spans="1:11">
      <c r="A960" t="s">
        <v>1</v>
      </c>
      <c r="B960" s="3">
        <v>41739</v>
      </c>
      <c r="C960" s="3">
        <v>41739</v>
      </c>
      <c r="D960" t="s">
        <v>2</v>
      </c>
      <c r="E960" s="1">
        <v>17.4542</v>
      </c>
      <c r="F960" s="1">
        <v>5325.1639999999998</v>
      </c>
      <c r="G960" s="1">
        <v>249.17500000000001</v>
      </c>
      <c r="H960" s="2">
        <v>91857.74</v>
      </c>
      <c r="I960" s="2">
        <v>-4298.21</v>
      </c>
      <c r="J960" s="1">
        <v>54141156.210000001</v>
      </c>
      <c r="K960" s="1">
        <v>3101896.1949999998</v>
      </c>
    </row>
    <row r="961" spans="1:11">
      <c r="A961" t="s">
        <v>1</v>
      </c>
      <c r="B961" s="3">
        <v>41739</v>
      </c>
      <c r="C961" s="3">
        <v>41739</v>
      </c>
      <c r="D961" t="s">
        <v>9</v>
      </c>
      <c r="E961" s="1">
        <v>18.644100000000002</v>
      </c>
      <c r="F961" s="1">
        <v>0.90900000000000003</v>
      </c>
      <c r="G961" s="1">
        <v>435.61200000000002</v>
      </c>
      <c r="H961" s="2">
        <v>16.739999999999998</v>
      </c>
      <c r="I961" s="2">
        <v>-8026.48</v>
      </c>
      <c r="J961" s="1">
        <v>1171605</v>
      </c>
      <c r="K961" s="1">
        <v>62840.56</v>
      </c>
    </row>
    <row r="962" spans="1:11">
      <c r="A962" t="s">
        <v>1</v>
      </c>
      <c r="B962" s="3">
        <v>41739</v>
      </c>
      <c r="C962" s="3">
        <v>41739</v>
      </c>
      <c r="D962" t="s">
        <v>0</v>
      </c>
      <c r="E962" s="1">
        <v>17.2622</v>
      </c>
      <c r="F962" s="1">
        <v>2474.4160000000002</v>
      </c>
      <c r="G962" s="1">
        <v>30.893999999999998</v>
      </c>
      <c r="H962" s="2">
        <v>42213.31</v>
      </c>
      <c r="I962" s="2">
        <v>-527.05999999999995</v>
      </c>
      <c r="J962" s="1">
        <v>605098</v>
      </c>
      <c r="K962" s="1">
        <v>35053.434000000001</v>
      </c>
    </row>
    <row r="963" spans="1:11">
      <c r="A963" t="s">
        <v>1</v>
      </c>
      <c r="B963" s="3">
        <v>41740</v>
      </c>
      <c r="C963" s="3">
        <v>41740</v>
      </c>
      <c r="D963" t="s">
        <v>8</v>
      </c>
      <c r="E963" s="1">
        <v>18.206099999999999</v>
      </c>
      <c r="F963" s="1">
        <v>22.390999999999998</v>
      </c>
      <c r="G963" s="1">
        <v>0</v>
      </c>
      <c r="H963" s="2">
        <v>416.15</v>
      </c>
      <c r="I963" s="2">
        <v>0</v>
      </c>
      <c r="J963" s="1">
        <v>6303302.4199999999</v>
      </c>
      <c r="K963" s="1">
        <v>346218.38099999999</v>
      </c>
    </row>
    <row r="964" spans="1:11">
      <c r="A964" t="s">
        <v>1</v>
      </c>
      <c r="B964" s="3">
        <v>41740</v>
      </c>
      <c r="C964" s="3">
        <v>41740</v>
      </c>
      <c r="D964" t="s">
        <v>7</v>
      </c>
      <c r="E964" s="1">
        <v>22.5092</v>
      </c>
      <c r="F964" s="1">
        <v>43585.262999999999</v>
      </c>
      <c r="G964" s="1">
        <v>600.92499999999995</v>
      </c>
      <c r="H964" s="2">
        <v>1001519.58</v>
      </c>
      <c r="I964" s="2">
        <v>-13808.3</v>
      </c>
      <c r="J964" s="1">
        <v>266303694.13999999</v>
      </c>
      <c r="K964" s="1">
        <v>11830908.375</v>
      </c>
    </row>
    <row r="965" spans="1:11">
      <c r="A965" t="s">
        <v>1</v>
      </c>
      <c r="B965" s="3">
        <v>41740</v>
      </c>
      <c r="C965" s="3">
        <v>41740</v>
      </c>
      <c r="D965" t="s">
        <v>12</v>
      </c>
      <c r="E965" s="1">
        <v>17.9495</v>
      </c>
      <c r="F965" s="1">
        <v>546.89499999999998</v>
      </c>
      <c r="G965" s="1">
        <v>2463.1590000000001</v>
      </c>
      <c r="H965" s="2">
        <v>10021.58</v>
      </c>
      <c r="I965" s="2">
        <v>-45136.160000000003</v>
      </c>
      <c r="J965" s="1">
        <v>13381000.49</v>
      </c>
      <c r="K965" s="1">
        <v>745479.46400000004</v>
      </c>
    </row>
    <row r="966" spans="1:11">
      <c r="A966" t="s">
        <v>1</v>
      </c>
      <c r="B966" s="3">
        <v>41740</v>
      </c>
      <c r="C966" s="3">
        <v>41740</v>
      </c>
      <c r="D966" t="s">
        <v>6</v>
      </c>
      <c r="E966" s="1">
        <v>18.645399999999999</v>
      </c>
      <c r="F966" s="1">
        <v>2851.3020000000001</v>
      </c>
      <c r="G966" s="1">
        <v>19482.109</v>
      </c>
      <c r="H966" s="2">
        <v>54274.25</v>
      </c>
      <c r="I966" s="2">
        <v>-370840</v>
      </c>
      <c r="J966" s="1">
        <v>37999559.359999999</v>
      </c>
      <c r="K966" s="1">
        <v>2038016.1629999999</v>
      </c>
    </row>
    <row r="967" spans="1:11">
      <c r="A967" t="s">
        <v>1</v>
      </c>
      <c r="B967" s="3">
        <v>41740</v>
      </c>
      <c r="C967" s="3">
        <v>41740</v>
      </c>
      <c r="D967" t="s">
        <v>5</v>
      </c>
      <c r="E967" s="1">
        <v>17.3325</v>
      </c>
      <c r="F967" s="1">
        <v>14087</v>
      </c>
      <c r="G967" s="1">
        <v>0</v>
      </c>
      <c r="H967" s="2">
        <v>249248.33</v>
      </c>
      <c r="I967" s="2">
        <v>0</v>
      </c>
      <c r="J967" s="1">
        <v>25099471.600000001</v>
      </c>
      <c r="K967" s="1">
        <v>1448112.1359999999</v>
      </c>
    </row>
    <row r="968" spans="1:11">
      <c r="A968" t="s">
        <v>1</v>
      </c>
      <c r="B968" s="3">
        <v>41740</v>
      </c>
      <c r="C968" s="3">
        <v>41740</v>
      </c>
      <c r="D968" t="s">
        <v>4</v>
      </c>
      <c r="E968" s="1">
        <v>11.117900000000001</v>
      </c>
      <c r="F968" s="1">
        <v>4809.8280000000004</v>
      </c>
      <c r="G968" s="1">
        <v>0</v>
      </c>
      <c r="H968" s="2">
        <v>54589.62</v>
      </c>
      <c r="I968" s="2">
        <v>0</v>
      </c>
      <c r="J968" s="1">
        <v>3319685.69</v>
      </c>
      <c r="K968" s="1">
        <v>298590.57</v>
      </c>
    </row>
    <row r="969" spans="1:11">
      <c r="A969" t="s">
        <v>1</v>
      </c>
      <c r="B969" s="3">
        <v>41740</v>
      </c>
      <c r="C969" s="3">
        <v>41740</v>
      </c>
      <c r="D969" t="s">
        <v>2</v>
      </c>
      <c r="E969" s="1">
        <v>17.098099999999999</v>
      </c>
      <c r="F969" s="1">
        <v>16735</v>
      </c>
      <c r="G969" s="1">
        <v>629.99900000000002</v>
      </c>
      <c r="H969" s="2">
        <v>292094.90000000002</v>
      </c>
      <c r="I969" s="2">
        <v>-10996.08</v>
      </c>
      <c r="J969" s="1">
        <v>53311960.990000002</v>
      </c>
      <c r="K969" s="1">
        <v>3118001.196</v>
      </c>
    </row>
    <row r="970" spans="1:11">
      <c r="A970" t="s">
        <v>1</v>
      </c>
      <c r="B970" s="3">
        <v>41740</v>
      </c>
      <c r="C970" s="3">
        <v>41740</v>
      </c>
      <c r="D970" t="s">
        <v>9</v>
      </c>
      <c r="E970" s="1">
        <v>18.2636</v>
      </c>
      <c r="F970" s="1">
        <v>1307.422</v>
      </c>
      <c r="G970" s="1">
        <v>200.61099999999999</v>
      </c>
      <c r="H970" s="2">
        <v>24375.62</v>
      </c>
      <c r="I970" s="2">
        <v>-3740.19</v>
      </c>
      <c r="J970" s="1">
        <v>1167908.82</v>
      </c>
      <c r="K970" s="1">
        <v>63947.370999999999</v>
      </c>
    </row>
    <row r="971" spans="1:11">
      <c r="A971" t="s">
        <v>1</v>
      </c>
      <c r="B971" s="3">
        <v>41740</v>
      </c>
      <c r="C971" s="3">
        <v>41740</v>
      </c>
      <c r="D971" t="s">
        <v>0</v>
      </c>
      <c r="E971" s="1">
        <v>16.9101</v>
      </c>
      <c r="F971" s="1">
        <v>2264.7910000000002</v>
      </c>
      <c r="G971" s="1">
        <v>69.739999999999995</v>
      </c>
      <c r="H971" s="2">
        <v>39095.4</v>
      </c>
      <c r="I971" s="2">
        <v>-1203.8699999999999</v>
      </c>
      <c r="J971" s="1">
        <v>629874.24</v>
      </c>
      <c r="K971" s="1">
        <v>37248.485000000001</v>
      </c>
    </row>
    <row r="972" spans="1:11">
      <c r="A972" t="s">
        <v>1</v>
      </c>
      <c r="B972" s="3">
        <v>41743</v>
      </c>
      <c r="C972" s="3">
        <v>41743</v>
      </c>
      <c r="D972" t="s">
        <v>7</v>
      </c>
      <c r="E972" s="1">
        <v>22.3048</v>
      </c>
      <c r="F972" s="1">
        <v>10320.200999999999</v>
      </c>
      <c r="G972" s="1">
        <v>32964.063999999998</v>
      </c>
      <c r="H972" s="2">
        <v>232299.49</v>
      </c>
      <c r="I972" s="2">
        <v>-741994.72</v>
      </c>
      <c r="J972" s="1">
        <v>263380531.75</v>
      </c>
      <c r="K972" s="1">
        <v>11808264.512</v>
      </c>
    </row>
    <row r="973" spans="1:11">
      <c r="A973" t="s">
        <v>1</v>
      </c>
      <c r="B973" s="3">
        <v>41743</v>
      </c>
      <c r="C973" s="3">
        <v>41743</v>
      </c>
      <c r="D973" t="s">
        <v>12</v>
      </c>
      <c r="E973" s="1">
        <v>17.784300000000002</v>
      </c>
      <c r="F973" s="1">
        <v>1810.635</v>
      </c>
      <c r="G973" s="1">
        <v>5226.0450000000001</v>
      </c>
      <c r="H973" s="2">
        <v>32500</v>
      </c>
      <c r="I973" s="2">
        <v>-93804.89</v>
      </c>
      <c r="J973" s="1">
        <v>13197107.73</v>
      </c>
      <c r="K973" s="1">
        <v>742064.054</v>
      </c>
    </row>
    <row r="974" spans="1:11">
      <c r="A974" t="s">
        <v>1</v>
      </c>
      <c r="B974" s="3">
        <v>41743</v>
      </c>
      <c r="C974" s="3">
        <v>41743</v>
      </c>
      <c r="D974" t="s">
        <v>6</v>
      </c>
      <c r="E974" s="1">
        <v>18.473800000000001</v>
      </c>
      <c r="F974" s="1">
        <v>3380.79</v>
      </c>
      <c r="G974" s="1">
        <v>2787.0430000000001</v>
      </c>
      <c r="H974" s="2">
        <v>63036.17</v>
      </c>
      <c r="I974" s="2">
        <v>-51965.53</v>
      </c>
      <c r="J974" s="1">
        <v>37660798.990000002</v>
      </c>
      <c r="K974" s="1">
        <v>2038609.91</v>
      </c>
    </row>
    <row r="975" spans="1:11">
      <c r="A975" t="s">
        <v>1</v>
      </c>
      <c r="B975" s="3">
        <v>41743</v>
      </c>
      <c r="C975" s="3">
        <v>41743</v>
      </c>
      <c r="D975" t="s">
        <v>10</v>
      </c>
      <c r="E975" s="1">
        <v>18.348299999999998</v>
      </c>
      <c r="F975" s="1">
        <v>0</v>
      </c>
      <c r="G975" s="1">
        <v>1269.8889999999999</v>
      </c>
      <c r="H975" s="2">
        <v>0</v>
      </c>
      <c r="I975" s="2">
        <v>-23617.25</v>
      </c>
      <c r="J975" s="1">
        <v>9746046.1600000001</v>
      </c>
      <c r="K975" s="1">
        <v>531167.83799999999</v>
      </c>
    </row>
    <row r="976" spans="1:11">
      <c r="A976" t="s">
        <v>1</v>
      </c>
      <c r="B976" s="3">
        <v>41743</v>
      </c>
      <c r="C976" s="3">
        <v>41743</v>
      </c>
      <c r="D976" t="s">
        <v>4</v>
      </c>
      <c r="E976" s="1">
        <v>11.0169</v>
      </c>
      <c r="F976" s="1">
        <v>13356.839</v>
      </c>
      <c r="G976" s="1">
        <v>1474.1120000000001</v>
      </c>
      <c r="H976" s="2">
        <v>148500</v>
      </c>
      <c r="I976" s="2">
        <v>-16389.03</v>
      </c>
      <c r="J976" s="1">
        <v>3420453.62</v>
      </c>
      <c r="K976" s="1">
        <v>310473.29700000002</v>
      </c>
    </row>
    <row r="977" spans="1:11">
      <c r="A977" t="s">
        <v>1</v>
      </c>
      <c r="B977" s="3">
        <v>41743</v>
      </c>
      <c r="C977" s="3">
        <v>41743</v>
      </c>
      <c r="D977" t="s">
        <v>14</v>
      </c>
      <c r="E977" s="1">
        <v>10.8741</v>
      </c>
      <c r="F977" s="1">
        <v>1061.296</v>
      </c>
      <c r="G977" s="1">
        <v>0</v>
      </c>
      <c r="H977" s="2">
        <v>11647.83</v>
      </c>
      <c r="I977" s="2">
        <v>0</v>
      </c>
      <c r="J977" s="1">
        <v>482051.09</v>
      </c>
      <c r="K977" s="1">
        <v>44330.182999999997</v>
      </c>
    </row>
    <row r="978" spans="1:11">
      <c r="A978" t="s">
        <v>1</v>
      </c>
      <c r="B978" s="3">
        <v>41743</v>
      </c>
      <c r="C978" s="3">
        <v>41743</v>
      </c>
      <c r="D978" t="s">
        <v>2</v>
      </c>
      <c r="E978" s="1">
        <v>16.943899999999999</v>
      </c>
      <c r="F978" s="1">
        <v>3398.8890000000001</v>
      </c>
      <c r="G978" s="1">
        <v>650</v>
      </c>
      <c r="H978" s="2">
        <v>58114.63</v>
      </c>
      <c r="I978" s="2">
        <v>-11113.78</v>
      </c>
      <c r="J978" s="1">
        <v>52877740.130000003</v>
      </c>
      <c r="K978" s="1">
        <v>3120750.085</v>
      </c>
    </row>
    <row r="979" spans="1:11">
      <c r="A979" t="s">
        <v>1</v>
      </c>
      <c r="B979" s="3">
        <v>41743</v>
      </c>
      <c r="C979" s="3">
        <v>41743</v>
      </c>
      <c r="D979" t="s">
        <v>0</v>
      </c>
      <c r="E979" s="1">
        <v>16.7578</v>
      </c>
      <c r="F979" s="1">
        <v>1181.1959999999999</v>
      </c>
      <c r="G979" s="1">
        <v>38.015999999999998</v>
      </c>
      <c r="H979" s="2">
        <v>19974.14</v>
      </c>
      <c r="I979" s="2">
        <v>-642.85</v>
      </c>
      <c r="J979" s="1">
        <v>643358.61</v>
      </c>
      <c r="K979" s="1">
        <v>38391.665000000001</v>
      </c>
    </row>
    <row r="980" spans="1:11">
      <c r="A980" t="s">
        <v>1</v>
      </c>
      <c r="B980" s="3">
        <v>41744</v>
      </c>
      <c r="C980" s="3">
        <v>41744</v>
      </c>
      <c r="D980" t="s">
        <v>7</v>
      </c>
      <c r="E980" s="1">
        <v>22.404399999999999</v>
      </c>
      <c r="F980" s="1">
        <v>7753.25</v>
      </c>
      <c r="G980" s="1">
        <v>7964.1819999999998</v>
      </c>
      <c r="H980" s="2">
        <v>172934.71</v>
      </c>
      <c r="I980" s="2">
        <v>-177639.48</v>
      </c>
      <c r="J980" s="1">
        <v>264552210.75</v>
      </c>
      <c r="K980" s="1">
        <v>11808053.58</v>
      </c>
    </row>
    <row r="981" spans="1:11">
      <c r="A981" t="s">
        <v>1</v>
      </c>
      <c r="B981" s="3">
        <v>41744</v>
      </c>
      <c r="C981" s="3">
        <v>41744</v>
      </c>
      <c r="D981" t="s">
        <v>12</v>
      </c>
      <c r="E981" s="1">
        <v>17.863</v>
      </c>
      <c r="F981" s="1">
        <v>0</v>
      </c>
      <c r="G981" s="1">
        <v>2572.585</v>
      </c>
      <c r="H981" s="2">
        <v>0</v>
      </c>
      <c r="I981" s="2">
        <v>-45751.62</v>
      </c>
      <c r="J981" s="1">
        <v>13209556.960000001</v>
      </c>
      <c r="K981" s="1">
        <v>739491.46900000004</v>
      </c>
    </row>
    <row r="982" spans="1:11">
      <c r="A982" t="s">
        <v>1</v>
      </c>
      <c r="B982" s="3">
        <v>41744</v>
      </c>
      <c r="C982" s="3">
        <v>41744</v>
      </c>
      <c r="D982" t="s">
        <v>6</v>
      </c>
      <c r="E982" s="1">
        <v>18.555499999999999</v>
      </c>
      <c r="F982" s="1">
        <v>3816.681</v>
      </c>
      <c r="G982" s="1">
        <v>5457.5290000000005</v>
      </c>
      <c r="H982" s="2">
        <v>70508.600000000006</v>
      </c>
      <c r="I982" s="2">
        <v>-100821.28</v>
      </c>
      <c r="J982" s="1">
        <v>37797018.659999996</v>
      </c>
      <c r="K982" s="1">
        <v>2036969.0619999999</v>
      </c>
    </row>
    <row r="983" spans="1:11">
      <c r="A983" t="s">
        <v>1</v>
      </c>
      <c r="B983" s="3">
        <v>41744</v>
      </c>
      <c r="C983" s="3">
        <v>41744</v>
      </c>
      <c r="D983" t="s">
        <v>5</v>
      </c>
      <c r="E983" s="1">
        <v>17.253299999999999</v>
      </c>
      <c r="F983" s="1">
        <v>133433</v>
      </c>
      <c r="G983" s="1">
        <v>0</v>
      </c>
      <c r="H983" s="2">
        <v>2291871.89</v>
      </c>
      <c r="I983" s="2">
        <v>0</v>
      </c>
      <c r="J983" s="1">
        <v>27286874.25</v>
      </c>
      <c r="K983" s="1">
        <v>1581545.1359999999</v>
      </c>
    </row>
    <row r="984" spans="1:11">
      <c r="A984" t="s">
        <v>1</v>
      </c>
      <c r="B984" s="3">
        <v>41744</v>
      </c>
      <c r="C984" s="3">
        <v>41744</v>
      </c>
      <c r="D984" t="s">
        <v>4</v>
      </c>
      <c r="E984" s="1">
        <v>11.0661</v>
      </c>
      <c r="F984" s="1">
        <v>3958.748</v>
      </c>
      <c r="G984" s="1">
        <v>0</v>
      </c>
      <c r="H984" s="2">
        <v>43613.13</v>
      </c>
      <c r="I984" s="2">
        <v>0</v>
      </c>
      <c r="J984" s="1">
        <v>3479539.21</v>
      </c>
      <c r="K984" s="1">
        <v>314432.04499999998</v>
      </c>
    </row>
    <row r="985" spans="1:11">
      <c r="A985" t="s">
        <v>1</v>
      </c>
      <c r="B985" s="3">
        <v>41744</v>
      </c>
      <c r="C985" s="3">
        <v>41744</v>
      </c>
      <c r="D985" t="s">
        <v>3</v>
      </c>
      <c r="E985" s="1">
        <v>10.7384</v>
      </c>
      <c r="F985" s="1">
        <v>0</v>
      </c>
      <c r="G985" s="1">
        <v>3125.3539999999998</v>
      </c>
      <c r="H985" s="2">
        <v>0</v>
      </c>
      <c r="I985" s="2">
        <v>-33413.47</v>
      </c>
      <c r="J985" s="1">
        <v>2014920.68</v>
      </c>
      <c r="K985" s="1">
        <v>187636.111</v>
      </c>
    </row>
    <row r="986" spans="1:11">
      <c r="A986" t="s">
        <v>1</v>
      </c>
      <c r="B986" s="3">
        <v>41744</v>
      </c>
      <c r="C986" s="3">
        <v>41744</v>
      </c>
      <c r="D986" t="s">
        <v>2</v>
      </c>
      <c r="E986" s="1">
        <v>17.0199</v>
      </c>
      <c r="F986" s="1">
        <v>2580.5329999999999</v>
      </c>
      <c r="G986" s="1">
        <v>5029.01</v>
      </c>
      <c r="H986" s="2">
        <v>43724.25</v>
      </c>
      <c r="I986" s="2">
        <v>-85210.93</v>
      </c>
      <c r="J986" s="1">
        <v>53073335.399999999</v>
      </c>
      <c r="K986" s="1">
        <v>3118301.608</v>
      </c>
    </row>
    <row r="987" spans="1:11">
      <c r="A987" t="s">
        <v>1</v>
      </c>
      <c r="B987" s="3">
        <v>41744</v>
      </c>
      <c r="C987" s="3">
        <v>41744</v>
      </c>
      <c r="D987" t="s">
        <v>0</v>
      </c>
      <c r="E987" s="1">
        <v>16.832999999999998</v>
      </c>
      <c r="F987" s="1">
        <v>2188.913</v>
      </c>
      <c r="G987" s="1">
        <v>0</v>
      </c>
      <c r="H987" s="2">
        <v>36681.35</v>
      </c>
      <c r="I987" s="2">
        <v>0</v>
      </c>
      <c r="J987" s="1">
        <v>683094.17</v>
      </c>
      <c r="K987" s="1">
        <v>40580.578000000001</v>
      </c>
    </row>
    <row r="988" spans="1:11">
      <c r="A988" t="s">
        <v>1</v>
      </c>
      <c r="B988" s="3">
        <v>41745</v>
      </c>
      <c r="C988" s="3">
        <v>41745</v>
      </c>
      <c r="D988" t="s">
        <v>7</v>
      </c>
      <c r="E988" s="1">
        <v>22.560700000000001</v>
      </c>
      <c r="F988" s="1">
        <v>12073.125</v>
      </c>
      <c r="G988" s="1">
        <v>15789.971</v>
      </c>
      <c r="H988" s="2">
        <v>270491.11</v>
      </c>
      <c r="I988" s="2">
        <v>-353764.85</v>
      </c>
      <c r="J988" s="1">
        <v>266313568.61000001</v>
      </c>
      <c r="K988" s="1">
        <v>11804336.733999999</v>
      </c>
    </row>
    <row r="989" spans="1:11">
      <c r="A989" t="s">
        <v>1</v>
      </c>
      <c r="B989" s="3">
        <v>41745</v>
      </c>
      <c r="C989" s="3">
        <v>41745</v>
      </c>
      <c r="D989" t="s">
        <v>12</v>
      </c>
      <c r="E989" s="1">
        <v>17.986899999999999</v>
      </c>
      <c r="F989" s="1">
        <v>1372.3320000000001</v>
      </c>
      <c r="G989" s="1">
        <v>436.94799999999998</v>
      </c>
      <c r="H989" s="2">
        <v>24513.96</v>
      </c>
      <c r="I989" s="2">
        <v>-7805.2</v>
      </c>
      <c r="J989" s="1">
        <v>13317973.4</v>
      </c>
      <c r="K989" s="1">
        <v>740426.853</v>
      </c>
    </row>
    <row r="990" spans="1:11">
      <c r="A990" t="s">
        <v>1</v>
      </c>
      <c r="B990" s="3">
        <v>41745</v>
      </c>
      <c r="C990" s="3">
        <v>41745</v>
      </c>
      <c r="D990" t="s">
        <v>6</v>
      </c>
      <c r="E990" s="1">
        <v>18.684200000000001</v>
      </c>
      <c r="F990" s="1">
        <v>231.602</v>
      </c>
      <c r="G990" s="1">
        <v>3701.143</v>
      </c>
      <c r="H990" s="2">
        <v>4297.49</v>
      </c>
      <c r="I990" s="2">
        <v>-68676.55</v>
      </c>
      <c r="J990" s="1">
        <v>37994268.5</v>
      </c>
      <c r="K990" s="1">
        <v>2033499.5209999999</v>
      </c>
    </row>
    <row r="991" spans="1:11">
      <c r="A991" t="s">
        <v>1</v>
      </c>
      <c r="B991" s="3">
        <v>41745</v>
      </c>
      <c r="C991" s="3">
        <v>41745</v>
      </c>
      <c r="D991" t="s">
        <v>5</v>
      </c>
      <c r="E991" s="1">
        <v>17.373999999999999</v>
      </c>
      <c r="F991" s="1">
        <v>43579</v>
      </c>
      <c r="G991" s="1">
        <v>0</v>
      </c>
      <c r="H991" s="2">
        <v>751881.56</v>
      </c>
      <c r="I991" s="2">
        <v>0</v>
      </c>
      <c r="J991" s="1">
        <v>28234898.100000001</v>
      </c>
      <c r="K991" s="1">
        <v>1625124.1359999999</v>
      </c>
    </row>
    <row r="992" spans="1:11">
      <c r="A992" t="s">
        <v>1</v>
      </c>
      <c r="B992" s="3">
        <v>41745</v>
      </c>
      <c r="C992" s="3">
        <v>41745</v>
      </c>
      <c r="D992" t="s">
        <v>4</v>
      </c>
      <c r="E992" s="1">
        <v>11.1433</v>
      </c>
      <c r="F992" s="1">
        <v>6144.893</v>
      </c>
      <c r="G992" s="1">
        <v>13985.525</v>
      </c>
      <c r="H992" s="2">
        <v>68000</v>
      </c>
      <c r="I992" s="2">
        <v>-154765.22</v>
      </c>
      <c r="J992" s="1">
        <v>3416438.09</v>
      </c>
      <c r="K992" s="1">
        <v>306591.413</v>
      </c>
    </row>
    <row r="993" spans="1:11">
      <c r="A993" t="s">
        <v>1</v>
      </c>
      <c r="B993" s="3">
        <v>41745</v>
      </c>
      <c r="C993" s="3">
        <v>41745</v>
      </c>
      <c r="D993" t="s">
        <v>14</v>
      </c>
      <c r="E993" s="1">
        <v>10.997999999999999</v>
      </c>
      <c r="F993" s="1">
        <v>606.13400000000001</v>
      </c>
      <c r="G993" s="1">
        <v>0</v>
      </c>
      <c r="H993" s="2">
        <v>6620.32</v>
      </c>
      <c r="I993" s="2">
        <v>0</v>
      </c>
      <c r="J993" s="1">
        <v>494207.82</v>
      </c>
      <c r="K993" s="1">
        <v>44936.317000000003</v>
      </c>
    </row>
    <row r="994" spans="1:11">
      <c r="A994" t="s">
        <v>1</v>
      </c>
      <c r="B994" s="3">
        <v>41745</v>
      </c>
      <c r="C994" s="3">
        <v>41745</v>
      </c>
      <c r="D994" t="s">
        <v>2</v>
      </c>
      <c r="E994" s="1">
        <v>17.138999999999999</v>
      </c>
      <c r="F994" s="1">
        <v>17487.548999999999</v>
      </c>
      <c r="G994" s="1">
        <v>1165</v>
      </c>
      <c r="H994" s="2">
        <v>297636.95</v>
      </c>
      <c r="I994" s="2">
        <v>-19828.22</v>
      </c>
      <c r="J994" s="1">
        <v>53724356.710000001</v>
      </c>
      <c r="K994" s="1">
        <v>3134624.1570000001</v>
      </c>
    </row>
    <row r="995" spans="1:11">
      <c r="A995" t="s">
        <v>1</v>
      </c>
      <c r="B995" s="3">
        <v>41745</v>
      </c>
      <c r="C995" s="3">
        <v>41745</v>
      </c>
      <c r="D995" t="s">
        <v>9</v>
      </c>
      <c r="E995" s="1">
        <v>18.3066</v>
      </c>
      <c r="F995" s="1">
        <v>0</v>
      </c>
      <c r="G995" s="1">
        <v>5.7629999999999999</v>
      </c>
      <c r="H995" s="2">
        <v>0</v>
      </c>
      <c r="I995" s="2">
        <v>-104.77</v>
      </c>
      <c r="J995" s="1">
        <v>1170556.1000000001</v>
      </c>
      <c r="K995" s="1">
        <v>63941.608</v>
      </c>
    </row>
    <row r="996" spans="1:11">
      <c r="A996" t="s">
        <v>1</v>
      </c>
      <c r="B996" s="3">
        <v>41745</v>
      </c>
      <c r="C996" s="3">
        <v>41745</v>
      </c>
      <c r="D996" t="s">
        <v>0</v>
      </c>
      <c r="E996" s="1">
        <v>16.950900000000001</v>
      </c>
      <c r="F996" s="1">
        <v>1544.442</v>
      </c>
      <c r="G996" s="1">
        <v>73.745000000000005</v>
      </c>
      <c r="H996" s="2">
        <v>25997.64</v>
      </c>
      <c r="I996" s="2">
        <v>-1241.3499999999999</v>
      </c>
      <c r="J996" s="1">
        <v>712805.07</v>
      </c>
      <c r="K996" s="1">
        <v>42051.275000000001</v>
      </c>
    </row>
    <row r="997" spans="1:11">
      <c r="A997" t="s">
        <v>1</v>
      </c>
      <c r="B997" s="3">
        <v>41746</v>
      </c>
      <c r="C997" s="3">
        <v>41746</v>
      </c>
      <c r="D997" t="s">
        <v>8</v>
      </c>
      <c r="E997" s="1">
        <v>18.411100000000001</v>
      </c>
      <c r="F997" s="1">
        <v>22.751000000000001</v>
      </c>
      <c r="G997" s="1">
        <v>0</v>
      </c>
      <c r="H997" s="2">
        <v>415.16</v>
      </c>
      <c r="I997" s="2">
        <v>0</v>
      </c>
      <c r="J997" s="1">
        <v>6374676.7599999998</v>
      </c>
      <c r="K997" s="1">
        <v>346241.13199999998</v>
      </c>
    </row>
    <row r="998" spans="1:11">
      <c r="A998" t="s">
        <v>1</v>
      </c>
      <c r="B998" s="3">
        <v>41746</v>
      </c>
      <c r="C998" s="3">
        <v>41746</v>
      </c>
      <c r="D998" t="s">
        <v>7</v>
      </c>
      <c r="E998" s="1">
        <v>22.762499999999999</v>
      </c>
      <c r="F998" s="1">
        <v>290292.44300000003</v>
      </c>
      <c r="G998" s="1">
        <v>9419.3889999999992</v>
      </c>
      <c r="H998" s="2">
        <v>6549200.71</v>
      </c>
      <c r="I998" s="2">
        <v>-212508.02</v>
      </c>
      <c r="J998" s="1">
        <v>275089995.10000002</v>
      </c>
      <c r="K998" s="1">
        <v>12085209.788000001</v>
      </c>
    </row>
    <row r="999" spans="1:11">
      <c r="A999" t="s">
        <v>1</v>
      </c>
      <c r="B999" s="3">
        <v>41746</v>
      </c>
      <c r="C999" s="3">
        <v>41746</v>
      </c>
      <c r="D999" t="s">
        <v>12</v>
      </c>
      <c r="E999" s="1">
        <v>18.147099999999998</v>
      </c>
      <c r="F999" s="1">
        <v>4568.6080000000002</v>
      </c>
      <c r="G999" s="1">
        <v>150.578</v>
      </c>
      <c r="H999" s="2">
        <v>82175.11</v>
      </c>
      <c r="I999" s="2">
        <v>-2708.43</v>
      </c>
      <c r="J999" s="1">
        <v>13516772.710000001</v>
      </c>
      <c r="K999" s="1">
        <v>744844.88300000003</v>
      </c>
    </row>
    <row r="1000" spans="1:11">
      <c r="A1000" t="s">
        <v>1</v>
      </c>
      <c r="B1000" s="3">
        <v>41746</v>
      </c>
      <c r="C1000" s="3">
        <v>41746</v>
      </c>
      <c r="D1000" t="s">
        <v>6</v>
      </c>
      <c r="E1000" s="1">
        <v>18.8506</v>
      </c>
      <c r="F1000" s="1">
        <v>12847.932000000001</v>
      </c>
      <c r="G1000" s="1">
        <v>5804.45</v>
      </c>
      <c r="H1000" s="2">
        <v>240053.33</v>
      </c>
      <c r="I1000" s="2">
        <v>-108451.5</v>
      </c>
      <c r="J1000" s="1">
        <v>38465462.079999998</v>
      </c>
      <c r="K1000" s="1">
        <v>2040543.003</v>
      </c>
    </row>
    <row r="1001" spans="1:11">
      <c r="A1001" t="s">
        <v>1</v>
      </c>
      <c r="B1001" s="3">
        <v>41746</v>
      </c>
      <c r="C1001" s="3">
        <v>41746</v>
      </c>
      <c r="D1001" t="s">
        <v>5</v>
      </c>
      <c r="E1001" s="1">
        <v>17.529800000000002</v>
      </c>
      <c r="F1001" s="1">
        <v>108910</v>
      </c>
      <c r="G1001" s="1">
        <v>0</v>
      </c>
      <c r="H1001" s="2">
        <v>1892202.34</v>
      </c>
      <c r="I1001" s="2">
        <v>0</v>
      </c>
      <c r="J1001" s="1">
        <v>30397303.329999998</v>
      </c>
      <c r="K1001" s="1">
        <v>1734034.1359999999</v>
      </c>
    </row>
    <row r="1002" spans="1:11">
      <c r="A1002" t="s">
        <v>1</v>
      </c>
      <c r="B1002" s="3">
        <v>41746</v>
      </c>
      <c r="C1002" s="3">
        <v>41746</v>
      </c>
      <c r="D1002" t="s">
        <v>4</v>
      </c>
      <c r="E1002" s="1">
        <v>11.243</v>
      </c>
      <c r="F1002" s="1">
        <v>1618.0550000000001</v>
      </c>
      <c r="G1002" s="1">
        <v>0</v>
      </c>
      <c r="H1002" s="2">
        <v>18030.48</v>
      </c>
      <c r="I1002" s="2">
        <v>0</v>
      </c>
      <c r="J1002" s="1">
        <v>3465200.94</v>
      </c>
      <c r="K1002" s="1">
        <v>308209.46799999999</v>
      </c>
    </row>
    <row r="1003" spans="1:11">
      <c r="A1003" t="s">
        <v>1</v>
      </c>
      <c r="B1003" s="3">
        <v>41746</v>
      </c>
      <c r="C1003" s="3">
        <v>41746</v>
      </c>
      <c r="D1003" t="s">
        <v>2</v>
      </c>
      <c r="E1003" s="1">
        <v>17.2927</v>
      </c>
      <c r="F1003" s="1">
        <v>9307.3940000000002</v>
      </c>
      <c r="G1003" s="1">
        <v>149.505</v>
      </c>
      <c r="H1003" s="2">
        <v>159519.71</v>
      </c>
      <c r="I1003" s="2">
        <v>-2562.38</v>
      </c>
      <c r="J1003" s="1">
        <v>54364562.899999999</v>
      </c>
      <c r="K1003" s="1">
        <v>3143782.0460000001</v>
      </c>
    </row>
    <row r="1004" spans="1:11">
      <c r="A1004" t="s">
        <v>1</v>
      </c>
      <c r="B1004" s="3">
        <v>41746</v>
      </c>
      <c r="C1004" s="3">
        <v>41746</v>
      </c>
      <c r="D1004" t="s">
        <v>9</v>
      </c>
      <c r="E1004" s="1">
        <v>18.470700000000001</v>
      </c>
      <c r="F1004" s="1">
        <v>0</v>
      </c>
      <c r="G1004" s="1">
        <v>16.111000000000001</v>
      </c>
      <c r="H1004" s="2">
        <v>0</v>
      </c>
      <c r="I1004" s="2">
        <v>-294.94</v>
      </c>
      <c r="J1004" s="1">
        <v>1180748.92</v>
      </c>
      <c r="K1004" s="1">
        <v>63925.497000000003</v>
      </c>
    </row>
    <row r="1005" spans="1:11">
      <c r="A1005" t="s">
        <v>1</v>
      </c>
      <c r="B1005" s="3">
        <v>41746</v>
      </c>
      <c r="C1005" s="3">
        <v>41746</v>
      </c>
      <c r="D1005" t="s">
        <v>0</v>
      </c>
      <c r="E1005" s="1">
        <v>17.103000000000002</v>
      </c>
      <c r="F1005" s="1">
        <v>2293.9609999999998</v>
      </c>
      <c r="G1005" s="1">
        <v>13.654</v>
      </c>
      <c r="H1005" s="2">
        <v>38884.57</v>
      </c>
      <c r="I1005" s="2">
        <v>-231.45</v>
      </c>
      <c r="J1005" s="1">
        <v>758200.93</v>
      </c>
      <c r="K1005" s="1">
        <v>44331.582000000002</v>
      </c>
    </row>
    <row r="1006" spans="1:11">
      <c r="A1006" t="s">
        <v>1</v>
      </c>
      <c r="B1006" s="3">
        <v>41751</v>
      </c>
      <c r="C1006" s="3">
        <v>41751</v>
      </c>
      <c r="D1006" t="s">
        <v>8</v>
      </c>
      <c r="E1006" s="1">
        <v>18.496500000000001</v>
      </c>
      <c r="F1006" s="1">
        <v>368.40100000000001</v>
      </c>
      <c r="G1006" s="1">
        <v>0</v>
      </c>
      <c r="H1006" s="2">
        <v>6782.67</v>
      </c>
      <c r="I1006" s="2">
        <v>0</v>
      </c>
      <c r="J1006" s="1">
        <v>6411068.2300000004</v>
      </c>
      <c r="K1006" s="1">
        <v>346609.533</v>
      </c>
    </row>
    <row r="1007" spans="1:11">
      <c r="A1007" t="s">
        <v>1</v>
      </c>
      <c r="B1007" s="3">
        <v>41751</v>
      </c>
      <c r="C1007" s="3">
        <v>41751</v>
      </c>
      <c r="D1007" t="s">
        <v>7</v>
      </c>
      <c r="E1007" s="1">
        <v>22.868099999999998</v>
      </c>
      <c r="F1007" s="1">
        <v>4713.5649999999996</v>
      </c>
      <c r="G1007" s="1">
        <v>7829.59</v>
      </c>
      <c r="H1007" s="2">
        <v>107292.52</v>
      </c>
      <c r="I1007" s="2">
        <v>-178221.03</v>
      </c>
      <c r="J1007" s="1">
        <v>276295104.60000002</v>
      </c>
      <c r="K1007" s="1">
        <v>12082093.763</v>
      </c>
    </row>
    <row r="1008" spans="1:11">
      <c r="A1008" t="s">
        <v>1</v>
      </c>
      <c r="B1008" s="3">
        <v>41751</v>
      </c>
      <c r="C1008" s="3">
        <v>41751</v>
      </c>
      <c r="D1008" t="s">
        <v>12</v>
      </c>
      <c r="E1008" s="1">
        <v>18.227599999999999</v>
      </c>
      <c r="F1008" s="1">
        <v>0</v>
      </c>
      <c r="G1008" s="1">
        <v>75773.551000000007</v>
      </c>
      <c r="H1008" s="2">
        <v>0</v>
      </c>
      <c r="I1008" s="2">
        <v>-1375070.21</v>
      </c>
      <c r="J1008" s="1">
        <v>12195542.890000001</v>
      </c>
      <c r="K1008" s="1">
        <v>669071.33200000005</v>
      </c>
    </row>
    <row r="1009" spans="1:11">
      <c r="A1009" t="s">
        <v>1</v>
      </c>
      <c r="B1009" s="3">
        <v>41751</v>
      </c>
      <c r="C1009" s="3">
        <v>41751</v>
      </c>
      <c r="D1009" t="s">
        <v>6</v>
      </c>
      <c r="E1009" s="1">
        <v>18.934200000000001</v>
      </c>
      <c r="F1009" s="1">
        <v>2.8450000000000002</v>
      </c>
      <c r="G1009" s="1">
        <v>51516.207999999999</v>
      </c>
      <c r="H1009" s="2">
        <v>53.63</v>
      </c>
      <c r="I1009" s="2">
        <v>-971111.48</v>
      </c>
      <c r="J1009" s="1">
        <v>37660667.060000002</v>
      </c>
      <c r="K1009" s="1">
        <v>1989029.64</v>
      </c>
    </row>
    <row r="1010" spans="1:11">
      <c r="A1010" t="s">
        <v>1</v>
      </c>
      <c r="B1010" s="3">
        <v>41751</v>
      </c>
      <c r="C1010" s="3">
        <v>41751</v>
      </c>
      <c r="D1010" t="s">
        <v>4</v>
      </c>
      <c r="E1010" s="1">
        <v>11.295199999999999</v>
      </c>
      <c r="F1010" s="1">
        <v>1956.7729999999999</v>
      </c>
      <c r="G1010" s="1">
        <v>1727.375</v>
      </c>
      <c r="H1010" s="2">
        <v>22000</v>
      </c>
      <c r="I1010" s="2">
        <v>-19420.87</v>
      </c>
      <c r="J1010" s="1">
        <v>3483869.93</v>
      </c>
      <c r="K1010" s="1">
        <v>308438.86599999998</v>
      </c>
    </row>
    <row r="1011" spans="1:11">
      <c r="A1011" t="s">
        <v>1</v>
      </c>
      <c r="B1011" s="3">
        <v>41751</v>
      </c>
      <c r="C1011" s="3">
        <v>41751</v>
      </c>
      <c r="D1011" t="s">
        <v>3</v>
      </c>
      <c r="E1011" s="1">
        <v>10.957599999999999</v>
      </c>
      <c r="F1011" s="1">
        <v>0</v>
      </c>
      <c r="G1011" s="1">
        <v>1124.6179999999999</v>
      </c>
      <c r="H1011" s="2">
        <v>0</v>
      </c>
      <c r="I1011" s="2">
        <v>-12268.68</v>
      </c>
      <c r="J1011" s="1">
        <v>2043717.11</v>
      </c>
      <c r="K1011" s="1">
        <v>186511.49299999999</v>
      </c>
    </row>
    <row r="1012" spans="1:11">
      <c r="A1012" t="s">
        <v>1</v>
      </c>
      <c r="B1012" s="3">
        <v>41751</v>
      </c>
      <c r="C1012" s="3">
        <v>41751</v>
      </c>
      <c r="D1012" t="s">
        <v>14</v>
      </c>
      <c r="E1012" s="1">
        <v>11.145099999999999</v>
      </c>
      <c r="F1012" s="1">
        <v>0</v>
      </c>
      <c r="G1012" s="1">
        <v>540.18100000000004</v>
      </c>
      <c r="H1012" s="2">
        <v>0</v>
      </c>
      <c r="I1012" s="2">
        <v>-5993.79</v>
      </c>
      <c r="J1012" s="1">
        <v>494800.42</v>
      </c>
      <c r="K1012" s="1">
        <v>44396.135999999999</v>
      </c>
    </row>
    <row r="1013" spans="1:11">
      <c r="A1013" t="s">
        <v>1</v>
      </c>
      <c r="B1013" s="3">
        <v>41751</v>
      </c>
      <c r="C1013" s="3">
        <v>41751</v>
      </c>
      <c r="D1013" t="s">
        <v>2</v>
      </c>
      <c r="E1013" s="1">
        <v>17.374700000000001</v>
      </c>
      <c r="F1013" s="1">
        <v>5583.8109999999997</v>
      </c>
      <c r="G1013" s="1">
        <v>573.05999999999995</v>
      </c>
      <c r="H1013" s="2">
        <v>96559.039999999994</v>
      </c>
      <c r="I1013" s="2">
        <v>-9909.73</v>
      </c>
      <c r="J1013" s="1">
        <v>54709450.140000001</v>
      </c>
      <c r="K1013" s="1">
        <v>3148792.7969999998</v>
      </c>
    </row>
    <row r="1014" spans="1:11">
      <c r="A1014" t="s">
        <v>1</v>
      </c>
      <c r="B1014" s="3">
        <v>41751</v>
      </c>
      <c r="C1014" s="3">
        <v>41751</v>
      </c>
      <c r="D1014" t="s">
        <v>9</v>
      </c>
      <c r="E1014" s="1">
        <v>18.557700000000001</v>
      </c>
      <c r="F1014" s="1">
        <v>0</v>
      </c>
      <c r="G1014" s="1">
        <v>9.1110000000000007</v>
      </c>
      <c r="H1014" s="2">
        <v>0</v>
      </c>
      <c r="I1014" s="2">
        <v>-168.28</v>
      </c>
      <c r="J1014" s="1">
        <v>1186139.17</v>
      </c>
      <c r="K1014" s="1">
        <v>63916.385999999999</v>
      </c>
    </row>
    <row r="1015" spans="1:11">
      <c r="A1015" t="s">
        <v>1</v>
      </c>
      <c r="B1015" s="3">
        <v>41751</v>
      </c>
      <c r="C1015" s="3">
        <v>41751</v>
      </c>
      <c r="D1015" t="s">
        <v>0</v>
      </c>
      <c r="E1015" s="1">
        <v>17.1844</v>
      </c>
      <c r="F1015" s="1">
        <v>1476.768</v>
      </c>
      <c r="G1015" s="1">
        <v>5.9390000000000001</v>
      </c>
      <c r="H1015" s="2">
        <v>25257.19</v>
      </c>
      <c r="I1015" s="2">
        <v>-101.57</v>
      </c>
      <c r="J1015" s="1">
        <v>787087.74</v>
      </c>
      <c r="K1015" s="1">
        <v>45802.411</v>
      </c>
    </row>
    <row r="1016" spans="1:11">
      <c r="A1016" t="s">
        <v>1</v>
      </c>
      <c r="B1016" s="3">
        <v>41752</v>
      </c>
      <c r="C1016" s="3">
        <v>41752</v>
      </c>
      <c r="D1016" t="s">
        <v>8</v>
      </c>
      <c r="E1016" s="1">
        <v>18.5487</v>
      </c>
      <c r="F1016" s="1">
        <v>22.408999999999999</v>
      </c>
      <c r="G1016" s="1">
        <v>0</v>
      </c>
      <c r="H1016" s="2">
        <v>414.5</v>
      </c>
      <c r="I1016" s="2">
        <v>0</v>
      </c>
      <c r="J1016" s="1">
        <v>6429574.6699999999</v>
      </c>
      <c r="K1016" s="1">
        <v>346631.94199999998</v>
      </c>
    </row>
    <row r="1017" spans="1:11">
      <c r="A1017" t="s">
        <v>1</v>
      </c>
      <c r="B1017" s="3">
        <v>41752</v>
      </c>
      <c r="C1017" s="3">
        <v>41752</v>
      </c>
      <c r="D1017" t="s">
        <v>7</v>
      </c>
      <c r="E1017" s="1">
        <v>22.932700000000001</v>
      </c>
      <c r="F1017" s="1">
        <v>67328.157999999996</v>
      </c>
      <c r="G1017" s="1">
        <v>13592.034</v>
      </c>
      <c r="H1017" s="2">
        <v>1539667.04</v>
      </c>
      <c r="I1017" s="2">
        <v>-310824</v>
      </c>
      <c r="J1017" s="1">
        <v>278307064.81999999</v>
      </c>
      <c r="K1017" s="1">
        <v>12135829.887</v>
      </c>
    </row>
    <row r="1018" spans="1:11">
      <c r="A1018" t="s">
        <v>1</v>
      </c>
      <c r="B1018" s="3">
        <v>41752</v>
      </c>
      <c r="C1018" s="3">
        <v>41752</v>
      </c>
      <c r="D1018" t="s">
        <v>12</v>
      </c>
      <c r="E1018" s="1">
        <v>18.278300000000002</v>
      </c>
      <c r="F1018" s="1">
        <v>0</v>
      </c>
      <c r="G1018" s="1">
        <v>11696.526</v>
      </c>
      <c r="H1018" s="2">
        <v>0</v>
      </c>
      <c r="I1018" s="2">
        <v>-213199.6</v>
      </c>
      <c r="J1018" s="1">
        <v>12015662.65</v>
      </c>
      <c r="K1018" s="1">
        <v>657374.80599999998</v>
      </c>
    </row>
    <row r="1019" spans="1:11">
      <c r="A1019" t="s">
        <v>1</v>
      </c>
      <c r="B1019" s="3">
        <v>41752</v>
      </c>
      <c r="C1019" s="3">
        <v>41752</v>
      </c>
      <c r="D1019" t="s">
        <v>6</v>
      </c>
      <c r="E1019" s="1">
        <v>18.986799999999999</v>
      </c>
      <c r="F1019" s="1">
        <v>216.893</v>
      </c>
      <c r="G1019" s="1">
        <v>18382.312999999998</v>
      </c>
      <c r="H1019" s="2">
        <v>4106.6899999999996</v>
      </c>
      <c r="I1019" s="2">
        <v>-348054.39</v>
      </c>
      <c r="J1019" s="1">
        <v>37420486.119999997</v>
      </c>
      <c r="K1019" s="1">
        <v>1970864.22</v>
      </c>
    </row>
    <row r="1020" spans="1:11">
      <c r="A1020" t="s">
        <v>1</v>
      </c>
      <c r="B1020" s="3">
        <v>41752</v>
      </c>
      <c r="C1020" s="3">
        <v>41752</v>
      </c>
      <c r="D1020" t="s">
        <v>10</v>
      </c>
      <c r="E1020" s="1">
        <v>18.880500000000001</v>
      </c>
      <c r="F1020" s="1">
        <v>0</v>
      </c>
      <c r="G1020" s="1">
        <v>9125.3349999999991</v>
      </c>
      <c r="H1020" s="2">
        <v>0</v>
      </c>
      <c r="I1020" s="2">
        <v>-171462.77</v>
      </c>
      <c r="J1020" s="1">
        <v>9856446.7300000004</v>
      </c>
      <c r="K1020" s="1">
        <v>522042.50300000003</v>
      </c>
    </row>
    <row r="1021" spans="1:11">
      <c r="A1021" t="s">
        <v>1</v>
      </c>
      <c r="B1021" s="3">
        <v>41752</v>
      </c>
      <c r="C1021" s="3">
        <v>41752</v>
      </c>
      <c r="D1021" t="s">
        <v>5</v>
      </c>
      <c r="E1021" s="1">
        <v>17.663</v>
      </c>
      <c r="F1021" s="1">
        <v>34086</v>
      </c>
      <c r="G1021" s="1">
        <v>0</v>
      </c>
      <c r="H1021" s="2">
        <v>600356.72</v>
      </c>
      <c r="I1021" s="2">
        <v>0</v>
      </c>
      <c r="J1021" s="1">
        <v>31230336.859999999</v>
      </c>
      <c r="K1021" s="1">
        <v>1768120.1359999999</v>
      </c>
    </row>
    <row r="1022" spans="1:11">
      <c r="A1022" t="s">
        <v>1</v>
      </c>
      <c r="B1022" s="3">
        <v>41752</v>
      </c>
      <c r="C1022" s="3">
        <v>41752</v>
      </c>
      <c r="D1022" t="s">
        <v>4</v>
      </c>
      <c r="E1022" s="1">
        <v>11.327</v>
      </c>
      <c r="F1022" s="1">
        <v>10943.224</v>
      </c>
      <c r="G1022" s="1">
        <v>535.72</v>
      </c>
      <c r="H1022" s="2">
        <v>123605.91</v>
      </c>
      <c r="I1022" s="2">
        <v>-6051.06</v>
      </c>
      <c r="J1022" s="1">
        <v>3611587.27</v>
      </c>
      <c r="K1022" s="1">
        <v>318846.37</v>
      </c>
    </row>
    <row r="1023" spans="1:11">
      <c r="A1023" t="s">
        <v>1</v>
      </c>
      <c r="B1023" s="3">
        <v>41752</v>
      </c>
      <c r="C1023" s="3">
        <v>41752</v>
      </c>
      <c r="D1023" t="s">
        <v>2</v>
      </c>
      <c r="E1023" s="1">
        <v>17.424099999999999</v>
      </c>
      <c r="F1023" s="1">
        <v>5755.3720000000003</v>
      </c>
      <c r="G1023" s="1">
        <v>0</v>
      </c>
      <c r="H1023" s="2">
        <v>99998.26</v>
      </c>
      <c r="I1023" s="2">
        <v>0</v>
      </c>
      <c r="J1023" s="1">
        <v>54965235.939999998</v>
      </c>
      <c r="K1023" s="1">
        <v>3154548.1690000002</v>
      </c>
    </row>
    <row r="1024" spans="1:11">
      <c r="A1024" t="s">
        <v>1</v>
      </c>
      <c r="B1024" s="3">
        <v>41752</v>
      </c>
      <c r="C1024" s="3">
        <v>41752</v>
      </c>
      <c r="D1024" t="s">
        <v>9</v>
      </c>
      <c r="E1024" s="1">
        <v>18.610299999999999</v>
      </c>
      <c r="F1024" s="1">
        <v>18.114000000000001</v>
      </c>
      <c r="G1024" s="1">
        <v>0</v>
      </c>
      <c r="H1024" s="2">
        <v>336.15</v>
      </c>
      <c r="I1024" s="2">
        <v>0</v>
      </c>
      <c r="J1024" s="1">
        <v>1189839.56</v>
      </c>
      <c r="K1024" s="1">
        <v>63934.5</v>
      </c>
    </row>
    <row r="1025" spans="1:11">
      <c r="A1025" t="s">
        <v>1</v>
      </c>
      <c r="B1025" s="3">
        <v>41752</v>
      </c>
      <c r="C1025" s="3">
        <v>41752</v>
      </c>
      <c r="D1025" t="s">
        <v>0</v>
      </c>
      <c r="E1025" s="1">
        <v>17.2333</v>
      </c>
      <c r="F1025" s="1">
        <v>1108.961</v>
      </c>
      <c r="G1025" s="1">
        <v>1.9850000000000001</v>
      </c>
      <c r="H1025" s="2">
        <v>19056.77</v>
      </c>
      <c r="I1025" s="2">
        <v>-34.119999999999997</v>
      </c>
      <c r="J1025" s="1">
        <v>808404.97</v>
      </c>
      <c r="K1025" s="1">
        <v>46909.387000000002</v>
      </c>
    </row>
    <row r="1026" spans="1:11">
      <c r="A1026" t="s">
        <v>1</v>
      </c>
      <c r="B1026" s="3">
        <v>41753</v>
      </c>
      <c r="C1026" s="3">
        <v>41753</v>
      </c>
      <c r="D1026" t="s">
        <v>7</v>
      </c>
      <c r="E1026" s="1">
        <v>22.924900000000001</v>
      </c>
      <c r="F1026" s="1">
        <v>7128.7430000000004</v>
      </c>
      <c r="G1026" s="1">
        <v>16863.634999999998</v>
      </c>
      <c r="H1026" s="2">
        <v>163481.34</v>
      </c>
      <c r="I1026" s="2">
        <v>-386728.67</v>
      </c>
      <c r="J1026" s="1">
        <v>277989193.35000002</v>
      </c>
      <c r="K1026" s="1">
        <v>12126094.994999999</v>
      </c>
    </row>
    <row r="1027" spans="1:11">
      <c r="A1027" t="s">
        <v>1</v>
      </c>
      <c r="B1027" s="3">
        <v>41753</v>
      </c>
      <c r="C1027" s="3">
        <v>41753</v>
      </c>
      <c r="D1027" t="s">
        <v>12</v>
      </c>
      <c r="E1027" s="1">
        <v>18.2713</v>
      </c>
      <c r="F1027" s="1">
        <v>8270.9259999999995</v>
      </c>
      <c r="G1027" s="1">
        <v>1653.28</v>
      </c>
      <c r="H1027" s="2">
        <v>151178.47</v>
      </c>
      <c r="I1027" s="2">
        <v>-30219.15</v>
      </c>
      <c r="J1027" s="1">
        <v>12131993.439999999</v>
      </c>
      <c r="K1027" s="1">
        <v>663992.45200000005</v>
      </c>
    </row>
    <row r="1028" spans="1:11">
      <c r="A1028" t="s">
        <v>1</v>
      </c>
      <c r="B1028" s="3">
        <v>41753</v>
      </c>
      <c r="C1028" s="3">
        <v>41753</v>
      </c>
      <c r="D1028" t="s">
        <v>6</v>
      </c>
      <c r="E1028" s="1">
        <v>18.979600000000001</v>
      </c>
      <c r="F1028" s="1">
        <v>27190.196</v>
      </c>
      <c r="G1028" s="1">
        <v>3519.4989999999998</v>
      </c>
      <c r="H1028" s="2">
        <v>516254.84</v>
      </c>
      <c r="I1028" s="2">
        <v>-66824.03</v>
      </c>
      <c r="J1028" s="1">
        <v>37855474.560000002</v>
      </c>
      <c r="K1028" s="1">
        <v>1994534.9169999999</v>
      </c>
    </row>
    <row r="1029" spans="1:11">
      <c r="A1029" t="s">
        <v>1</v>
      </c>
      <c r="B1029" s="3">
        <v>41753</v>
      </c>
      <c r="C1029" s="3">
        <v>41753</v>
      </c>
      <c r="D1029" t="s">
        <v>5</v>
      </c>
      <c r="E1029" s="1">
        <v>17.657399999999999</v>
      </c>
      <c r="F1029" s="1">
        <v>86163</v>
      </c>
      <c r="G1029" s="1">
        <v>0</v>
      </c>
      <c r="H1029" s="2">
        <v>1521897.07</v>
      </c>
      <c r="I1029" s="2">
        <v>0</v>
      </c>
      <c r="J1029" s="1">
        <v>32741762.260000002</v>
      </c>
      <c r="K1029" s="1">
        <v>1854283.1359999999</v>
      </c>
    </row>
    <row r="1030" spans="1:11">
      <c r="A1030" t="s">
        <v>1</v>
      </c>
      <c r="B1030" s="3">
        <v>41753</v>
      </c>
      <c r="C1030" s="3">
        <v>41753</v>
      </c>
      <c r="D1030" t="s">
        <v>4</v>
      </c>
      <c r="E1030" s="1">
        <v>11.3232</v>
      </c>
      <c r="F1030" s="1">
        <v>37.841000000000001</v>
      </c>
      <c r="G1030" s="1">
        <v>888.58900000000006</v>
      </c>
      <c r="H1030" s="2">
        <v>428.63</v>
      </c>
      <c r="I1030" s="2">
        <v>-10065.049999999999</v>
      </c>
      <c r="J1030" s="1">
        <v>3600725.2</v>
      </c>
      <c r="K1030" s="1">
        <v>317995.62199999997</v>
      </c>
    </row>
    <row r="1031" spans="1:11">
      <c r="A1031" t="s">
        <v>1</v>
      </c>
      <c r="B1031" s="3">
        <v>41753</v>
      </c>
      <c r="C1031" s="3">
        <v>41753</v>
      </c>
      <c r="D1031" t="s">
        <v>3</v>
      </c>
      <c r="E1031" s="1">
        <v>10.9839</v>
      </c>
      <c r="F1031" s="1">
        <v>2528.1179999999999</v>
      </c>
      <c r="G1031" s="1">
        <v>2045.9690000000001</v>
      </c>
      <c r="H1031" s="2">
        <v>27779.21</v>
      </c>
      <c r="I1031" s="2">
        <v>-22481.31</v>
      </c>
      <c r="J1031" s="1">
        <v>2053914.38</v>
      </c>
      <c r="K1031" s="1">
        <v>186993.64199999999</v>
      </c>
    </row>
    <row r="1032" spans="1:11">
      <c r="A1032" t="s">
        <v>1</v>
      </c>
      <c r="B1032" s="3">
        <v>41753</v>
      </c>
      <c r="C1032" s="3">
        <v>41753</v>
      </c>
      <c r="D1032" t="s">
        <v>2</v>
      </c>
      <c r="E1032" s="1">
        <v>17.418600000000001</v>
      </c>
      <c r="F1032" s="1">
        <v>6850</v>
      </c>
      <c r="G1032" s="1">
        <v>0</v>
      </c>
      <c r="H1032" s="2">
        <v>119354.58</v>
      </c>
      <c r="I1032" s="2">
        <v>0</v>
      </c>
      <c r="J1032" s="1">
        <v>55066978.640000001</v>
      </c>
      <c r="K1032" s="1">
        <v>3161398.1690000002</v>
      </c>
    </row>
    <row r="1033" spans="1:11">
      <c r="A1033" t="s">
        <v>1</v>
      </c>
      <c r="B1033" s="3">
        <v>41753</v>
      </c>
      <c r="C1033" s="3">
        <v>41753</v>
      </c>
      <c r="D1033" t="s">
        <v>9</v>
      </c>
      <c r="E1033" s="1">
        <v>18.604199999999999</v>
      </c>
      <c r="F1033" s="1">
        <v>0</v>
      </c>
      <c r="G1033" s="1">
        <v>1201.8699999999999</v>
      </c>
      <c r="H1033" s="2">
        <v>0</v>
      </c>
      <c r="I1033" s="2">
        <v>-22367.14</v>
      </c>
      <c r="J1033" s="1">
        <v>1167091.1499999999</v>
      </c>
      <c r="K1033" s="1">
        <v>62732.63</v>
      </c>
    </row>
    <row r="1034" spans="1:11">
      <c r="A1034" t="s">
        <v>1</v>
      </c>
      <c r="B1034" s="3">
        <v>41753</v>
      </c>
      <c r="C1034" s="3">
        <v>41753</v>
      </c>
      <c r="D1034" t="s">
        <v>0</v>
      </c>
      <c r="E1034" s="1">
        <v>17.227900000000002</v>
      </c>
      <c r="F1034" s="1">
        <v>1193.2919999999999</v>
      </c>
      <c r="G1034" s="1">
        <v>0.98299999999999998</v>
      </c>
      <c r="H1034" s="2">
        <v>20564.38</v>
      </c>
      <c r="I1034" s="2">
        <v>-16.940000000000001</v>
      </c>
      <c r="J1034" s="1">
        <v>828690.77</v>
      </c>
      <c r="K1034" s="1">
        <v>48101.696000000004</v>
      </c>
    </row>
    <row r="1035" spans="1:11">
      <c r="A1035" t="s">
        <v>1</v>
      </c>
      <c r="B1035" s="3">
        <v>41754</v>
      </c>
      <c r="C1035" s="3">
        <v>41754</v>
      </c>
      <c r="D1035" t="s">
        <v>7</v>
      </c>
      <c r="E1035" s="1">
        <v>22.8857</v>
      </c>
      <c r="F1035" s="1">
        <v>76744.433999999994</v>
      </c>
      <c r="G1035" s="1">
        <v>394018.83600000001</v>
      </c>
      <c r="H1035" s="2">
        <v>1759358.45</v>
      </c>
      <c r="I1035" s="2">
        <v>-9032842.4100000001</v>
      </c>
      <c r="J1035" s="1">
        <v>270252704</v>
      </c>
      <c r="K1035" s="1">
        <v>11808820.593</v>
      </c>
    </row>
    <row r="1036" spans="1:11">
      <c r="A1036" t="s">
        <v>1</v>
      </c>
      <c r="B1036" s="3">
        <v>41754</v>
      </c>
      <c r="C1036" s="3">
        <v>41754</v>
      </c>
      <c r="D1036" t="s">
        <v>12</v>
      </c>
      <c r="E1036" s="1">
        <v>18.235099999999999</v>
      </c>
      <c r="F1036" s="1">
        <v>2102.5100000000002</v>
      </c>
      <c r="G1036" s="1">
        <v>1195.056</v>
      </c>
      <c r="H1036" s="2">
        <v>38415.589999999997</v>
      </c>
      <c r="I1036" s="2">
        <v>-21835.22</v>
      </c>
      <c r="J1036" s="1">
        <v>12124494.390000001</v>
      </c>
      <c r="K1036" s="1">
        <v>664899.90599999996</v>
      </c>
    </row>
    <row r="1037" spans="1:11">
      <c r="A1037" t="s">
        <v>1</v>
      </c>
      <c r="B1037" s="3">
        <v>41754</v>
      </c>
      <c r="C1037" s="3">
        <v>41754</v>
      </c>
      <c r="D1037" t="s">
        <v>6</v>
      </c>
      <c r="E1037" s="1">
        <v>18.943899999999999</v>
      </c>
      <c r="F1037" s="1">
        <v>4300.2700000000004</v>
      </c>
      <c r="G1037" s="1">
        <v>14952.540999999999</v>
      </c>
      <c r="H1037" s="2">
        <v>81617.41</v>
      </c>
      <c r="I1037" s="2">
        <v>-283793.25</v>
      </c>
      <c r="J1037" s="1">
        <v>37582501.07</v>
      </c>
      <c r="K1037" s="1">
        <v>1983882.6459999999</v>
      </c>
    </row>
    <row r="1038" spans="1:11">
      <c r="A1038" t="s">
        <v>1</v>
      </c>
      <c r="B1038" s="3">
        <v>41754</v>
      </c>
      <c r="C1038" s="3">
        <v>41754</v>
      </c>
      <c r="D1038" t="s">
        <v>5</v>
      </c>
      <c r="E1038" s="1">
        <v>17.627500000000001</v>
      </c>
      <c r="F1038" s="1">
        <v>28300</v>
      </c>
      <c r="G1038" s="1">
        <v>20418</v>
      </c>
      <c r="H1038" s="2">
        <v>499704.42</v>
      </c>
      <c r="I1038" s="2">
        <v>-360528.79</v>
      </c>
      <c r="J1038" s="1">
        <v>32825269.039999999</v>
      </c>
      <c r="K1038" s="1">
        <v>1862165.1359999999</v>
      </c>
    </row>
    <row r="1039" spans="1:11">
      <c r="A1039" t="s">
        <v>1</v>
      </c>
      <c r="B1039" s="3">
        <v>41754</v>
      </c>
      <c r="C1039" s="3">
        <v>41754</v>
      </c>
      <c r="D1039" t="s">
        <v>4</v>
      </c>
      <c r="E1039" s="1">
        <v>11.3024</v>
      </c>
      <c r="F1039" s="1">
        <v>794.82799999999997</v>
      </c>
      <c r="G1039" s="1">
        <v>600.90499999999997</v>
      </c>
      <c r="H1039" s="2">
        <v>9000</v>
      </c>
      <c r="I1039" s="2">
        <v>-6804.17</v>
      </c>
      <c r="J1039" s="1">
        <v>3596292.85</v>
      </c>
      <c r="K1039" s="1">
        <v>318189.54499999998</v>
      </c>
    </row>
    <row r="1040" spans="1:11">
      <c r="A1040" t="s">
        <v>1</v>
      </c>
      <c r="B1040" s="3">
        <v>41754</v>
      </c>
      <c r="C1040" s="3">
        <v>41754</v>
      </c>
      <c r="D1040" t="s">
        <v>2</v>
      </c>
      <c r="E1040" s="1">
        <v>17.388100000000001</v>
      </c>
      <c r="F1040" s="1">
        <v>181610.32500000001</v>
      </c>
      <c r="G1040" s="1">
        <v>0</v>
      </c>
      <c r="H1040" s="2">
        <v>3163398.09</v>
      </c>
      <c r="I1040" s="2">
        <v>0</v>
      </c>
      <c r="J1040" s="1">
        <v>58128648.149999999</v>
      </c>
      <c r="K1040" s="1">
        <v>3343008.4939999999</v>
      </c>
    </row>
    <row r="1041" spans="1:11">
      <c r="A1041" t="s">
        <v>1</v>
      </c>
      <c r="B1041" s="3">
        <v>41754</v>
      </c>
      <c r="C1041" s="3">
        <v>41754</v>
      </c>
      <c r="D1041" t="s">
        <v>9</v>
      </c>
      <c r="E1041" s="1">
        <v>18.570499999999999</v>
      </c>
      <c r="F1041" s="1">
        <v>0</v>
      </c>
      <c r="G1041" s="1">
        <v>28.45</v>
      </c>
      <c r="H1041" s="2">
        <v>0</v>
      </c>
      <c r="I1041" s="2">
        <v>-529.29</v>
      </c>
      <c r="J1041" s="1">
        <v>1164448.8899999999</v>
      </c>
      <c r="K1041" s="1">
        <v>62704.18</v>
      </c>
    </row>
    <row r="1042" spans="1:11">
      <c r="A1042" t="s">
        <v>1</v>
      </c>
      <c r="B1042" s="3">
        <v>41754</v>
      </c>
      <c r="C1042" s="3">
        <v>41754</v>
      </c>
      <c r="D1042" t="s">
        <v>0</v>
      </c>
      <c r="E1042" s="1">
        <v>17.189499999999999</v>
      </c>
      <c r="F1042" s="1">
        <v>1786.018</v>
      </c>
      <c r="G1042" s="1">
        <v>8.3089999999999993</v>
      </c>
      <c r="H1042" s="2">
        <v>30769.29</v>
      </c>
      <c r="I1042" s="2">
        <v>-143.15</v>
      </c>
      <c r="J1042" s="1">
        <v>857401.68</v>
      </c>
      <c r="K1042" s="1">
        <v>49879.404999999999</v>
      </c>
    </row>
    <row r="1043" spans="1:11">
      <c r="A1043" t="s">
        <v>1</v>
      </c>
      <c r="B1043" s="3">
        <v>41757</v>
      </c>
      <c r="C1043" s="3">
        <v>41757</v>
      </c>
      <c r="D1043" t="s">
        <v>7</v>
      </c>
      <c r="E1043" s="1">
        <v>22.7408</v>
      </c>
      <c r="F1043" s="1">
        <v>4616.6329999999998</v>
      </c>
      <c r="G1043" s="1">
        <v>23669.397000000001</v>
      </c>
      <c r="H1043" s="2">
        <v>105654.86</v>
      </c>
      <c r="I1043" s="2">
        <v>-541690.69999999995</v>
      </c>
      <c r="J1043" s="1">
        <v>268108224.81</v>
      </c>
      <c r="K1043" s="1">
        <v>11789767.829</v>
      </c>
    </row>
    <row r="1044" spans="1:11">
      <c r="A1044" t="s">
        <v>1</v>
      </c>
      <c r="B1044" s="3">
        <v>41757</v>
      </c>
      <c r="C1044" s="3">
        <v>41757</v>
      </c>
      <c r="D1044" t="s">
        <v>12</v>
      </c>
      <c r="E1044" s="1">
        <v>18.1174</v>
      </c>
      <c r="F1044" s="1">
        <v>376.34800000000001</v>
      </c>
      <c r="G1044" s="1">
        <v>10117.664000000001</v>
      </c>
      <c r="H1044" s="2">
        <v>6862.74</v>
      </c>
      <c r="I1044" s="2">
        <v>-184496.64000000001</v>
      </c>
      <c r="J1044" s="1">
        <v>11869741.65</v>
      </c>
      <c r="K1044" s="1">
        <v>655158.59</v>
      </c>
    </row>
    <row r="1045" spans="1:11">
      <c r="A1045" t="s">
        <v>1</v>
      </c>
      <c r="B1045" s="3">
        <v>41757</v>
      </c>
      <c r="C1045" s="3">
        <v>41757</v>
      </c>
      <c r="D1045" t="s">
        <v>6</v>
      </c>
      <c r="E1045" s="1">
        <v>18.8216</v>
      </c>
      <c r="F1045" s="1">
        <v>3492.373</v>
      </c>
      <c r="G1045" s="1">
        <v>37427.159</v>
      </c>
      <c r="H1045" s="2">
        <v>66159.16</v>
      </c>
      <c r="I1045" s="2">
        <v>-709016.36</v>
      </c>
      <c r="J1045" s="1">
        <v>36701192.75</v>
      </c>
      <c r="K1045" s="1">
        <v>1949947.86</v>
      </c>
    </row>
    <row r="1046" spans="1:11">
      <c r="A1046" t="s">
        <v>1</v>
      </c>
      <c r="B1046" s="3">
        <v>41757</v>
      </c>
      <c r="C1046" s="3">
        <v>41757</v>
      </c>
      <c r="D1046" t="s">
        <v>5</v>
      </c>
      <c r="E1046" s="1">
        <v>17.5169</v>
      </c>
      <c r="F1046" s="1">
        <v>0</v>
      </c>
      <c r="G1046" s="1">
        <v>35198</v>
      </c>
      <c r="H1046" s="2">
        <v>0</v>
      </c>
      <c r="I1046" s="2">
        <v>-620452.75</v>
      </c>
      <c r="J1046" s="1">
        <v>32002884.899999999</v>
      </c>
      <c r="K1046" s="1">
        <v>1826967.1359999999</v>
      </c>
    </row>
    <row r="1047" spans="1:11">
      <c r="A1047" t="s">
        <v>1</v>
      </c>
      <c r="B1047" s="3">
        <v>41757</v>
      </c>
      <c r="C1047" s="3">
        <v>41757</v>
      </c>
      <c r="D1047" t="s">
        <v>4</v>
      </c>
      <c r="E1047" s="1">
        <v>11.2308</v>
      </c>
      <c r="F1047" s="1">
        <v>4423.8389999999999</v>
      </c>
      <c r="G1047" s="1">
        <v>37154.999000000003</v>
      </c>
      <c r="H1047" s="2">
        <v>50000</v>
      </c>
      <c r="I1047" s="2">
        <v>-419940.66</v>
      </c>
      <c r="J1047" s="1">
        <v>3205923.33</v>
      </c>
      <c r="K1047" s="1">
        <v>285458.38500000001</v>
      </c>
    </row>
    <row r="1048" spans="1:11">
      <c r="A1048" t="s">
        <v>1</v>
      </c>
      <c r="B1048" s="3">
        <v>41757</v>
      </c>
      <c r="C1048" s="3">
        <v>41757</v>
      </c>
      <c r="D1048" t="s">
        <v>3</v>
      </c>
      <c r="E1048" s="1">
        <v>10.8903</v>
      </c>
      <c r="F1048" s="1">
        <v>234.27500000000001</v>
      </c>
      <c r="G1048" s="1">
        <v>355.33699999999999</v>
      </c>
      <c r="H1048" s="2">
        <v>2567.91</v>
      </c>
      <c r="I1048" s="2">
        <v>-3894.88</v>
      </c>
      <c r="J1048" s="1">
        <v>2035097.71</v>
      </c>
      <c r="K1048" s="1">
        <v>186872.58</v>
      </c>
    </row>
    <row r="1049" spans="1:11">
      <c r="A1049" t="s">
        <v>1</v>
      </c>
      <c r="B1049" s="3">
        <v>41757</v>
      </c>
      <c r="C1049" s="3">
        <v>41757</v>
      </c>
      <c r="D1049" t="s">
        <v>2</v>
      </c>
      <c r="E1049" s="1">
        <v>17.2791</v>
      </c>
      <c r="F1049" s="1">
        <v>7982.4939999999997</v>
      </c>
      <c r="G1049" s="1">
        <v>2700</v>
      </c>
      <c r="H1049" s="2">
        <v>138800.56</v>
      </c>
      <c r="I1049" s="2">
        <v>-46947.92</v>
      </c>
      <c r="J1049" s="1">
        <v>57855445.229999997</v>
      </c>
      <c r="K1049" s="1">
        <v>3348290.9879999999</v>
      </c>
    </row>
    <row r="1050" spans="1:11">
      <c r="A1050" t="s">
        <v>1</v>
      </c>
      <c r="B1050" s="3">
        <v>41757</v>
      </c>
      <c r="C1050" s="3">
        <v>41757</v>
      </c>
      <c r="D1050" t="s">
        <v>0</v>
      </c>
      <c r="E1050" s="1">
        <v>17.081900000000001</v>
      </c>
      <c r="F1050" s="1">
        <v>4482.1120000000001</v>
      </c>
      <c r="G1050" s="1">
        <v>0</v>
      </c>
      <c r="H1050" s="2">
        <v>77045.289999999994</v>
      </c>
      <c r="I1050" s="2">
        <v>0</v>
      </c>
      <c r="J1050" s="1">
        <v>928599.29</v>
      </c>
      <c r="K1050" s="1">
        <v>54361.517</v>
      </c>
    </row>
    <row r="1051" spans="1:11">
      <c r="A1051" t="s">
        <v>1</v>
      </c>
      <c r="B1051" s="3">
        <v>41758</v>
      </c>
      <c r="C1051" s="3">
        <v>41758</v>
      </c>
      <c r="D1051" t="s">
        <v>8</v>
      </c>
      <c r="E1051" s="1">
        <v>18.3949</v>
      </c>
      <c r="F1051" s="1">
        <v>22.620999999999999</v>
      </c>
      <c r="G1051" s="1">
        <v>0</v>
      </c>
      <c r="H1051" s="2">
        <v>416.04</v>
      </c>
      <c r="I1051" s="2">
        <v>0</v>
      </c>
      <c r="J1051" s="1">
        <v>6376663.0899999999</v>
      </c>
      <c r="K1051" s="1">
        <v>346654.56300000002</v>
      </c>
    </row>
    <row r="1052" spans="1:11">
      <c r="A1052" t="s">
        <v>1</v>
      </c>
      <c r="B1052" s="3">
        <v>41758</v>
      </c>
      <c r="C1052" s="3">
        <v>41758</v>
      </c>
      <c r="D1052" t="s">
        <v>7</v>
      </c>
      <c r="E1052" s="1">
        <v>22.744199999999999</v>
      </c>
      <c r="F1052" s="1">
        <v>763.18</v>
      </c>
      <c r="G1052" s="1">
        <v>72732.69</v>
      </c>
      <c r="H1052" s="2">
        <v>17355.310000000001</v>
      </c>
      <c r="I1052" s="2">
        <v>-1653999.53</v>
      </c>
      <c r="J1052" s="1">
        <v>266511583.87</v>
      </c>
      <c r="K1052" s="1">
        <v>11717798.319</v>
      </c>
    </row>
    <row r="1053" spans="1:11">
      <c r="A1053" t="s">
        <v>1</v>
      </c>
      <c r="B1053" s="3">
        <v>41758</v>
      </c>
      <c r="C1053" s="3">
        <v>41758</v>
      </c>
      <c r="D1053" t="s">
        <v>12</v>
      </c>
      <c r="E1053" s="1">
        <v>18.119299999999999</v>
      </c>
      <c r="F1053" s="1">
        <v>0</v>
      </c>
      <c r="G1053" s="1">
        <v>1388.5709999999999</v>
      </c>
      <c r="H1053" s="2">
        <v>0</v>
      </c>
      <c r="I1053" s="2">
        <v>-25157.3</v>
      </c>
      <c r="J1053" s="1">
        <v>11845875.720000001</v>
      </c>
      <c r="K1053" s="1">
        <v>653770.01899999997</v>
      </c>
    </row>
    <row r="1054" spans="1:11">
      <c r="A1054" t="s">
        <v>1</v>
      </c>
      <c r="B1054" s="3">
        <v>41758</v>
      </c>
      <c r="C1054" s="3">
        <v>41758</v>
      </c>
      <c r="D1054" t="s">
        <v>6</v>
      </c>
      <c r="E1054" s="1">
        <v>18.823699999999999</v>
      </c>
      <c r="F1054" s="1">
        <v>263.36099999999999</v>
      </c>
      <c r="G1054" s="1">
        <v>4994.7650000000003</v>
      </c>
      <c r="H1054" s="2">
        <v>4956.87</v>
      </c>
      <c r="I1054" s="2">
        <v>-94009.47</v>
      </c>
      <c r="J1054" s="1">
        <v>36616131.840000004</v>
      </c>
      <c r="K1054" s="1">
        <v>1945216.456</v>
      </c>
    </row>
    <row r="1055" spans="1:11">
      <c r="A1055" t="s">
        <v>1</v>
      </c>
      <c r="B1055" s="3">
        <v>41758</v>
      </c>
      <c r="C1055" s="3">
        <v>41758</v>
      </c>
      <c r="D1055" t="s">
        <v>10</v>
      </c>
      <c r="E1055" s="1">
        <v>18.744</v>
      </c>
      <c r="F1055" s="1">
        <v>0</v>
      </c>
      <c r="G1055" s="1">
        <v>39</v>
      </c>
      <c r="H1055" s="2">
        <v>0</v>
      </c>
      <c r="I1055" s="2">
        <v>-731.29</v>
      </c>
      <c r="J1055" s="1">
        <v>9784444.1699999999</v>
      </c>
      <c r="K1055" s="1">
        <v>522003.50300000003</v>
      </c>
    </row>
    <row r="1056" spans="1:11">
      <c r="A1056" t="s">
        <v>1</v>
      </c>
      <c r="B1056" s="3">
        <v>41758</v>
      </c>
      <c r="C1056" s="3">
        <v>41758</v>
      </c>
      <c r="D1056" t="s">
        <v>5</v>
      </c>
      <c r="E1056" s="1">
        <v>17.5199</v>
      </c>
      <c r="F1056" s="1">
        <v>0</v>
      </c>
      <c r="G1056" s="1">
        <v>51313</v>
      </c>
      <c r="H1056" s="2">
        <v>0</v>
      </c>
      <c r="I1056" s="2">
        <v>-898844.69</v>
      </c>
      <c r="J1056" s="1">
        <v>31109348.760000002</v>
      </c>
      <c r="K1056" s="1">
        <v>1775654.1359999999</v>
      </c>
    </row>
    <row r="1057" spans="1:11">
      <c r="A1057" t="s">
        <v>1</v>
      </c>
      <c r="B1057" s="3">
        <v>41758</v>
      </c>
      <c r="C1057" s="3">
        <v>41758</v>
      </c>
      <c r="D1057" t="s">
        <v>4</v>
      </c>
      <c r="E1057" s="1">
        <v>11.2325</v>
      </c>
      <c r="F1057" s="1">
        <v>3003.9290000000001</v>
      </c>
      <c r="G1057" s="1">
        <v>0</v>
      </c>
      <c r="H1057" s="2">
        <v>33736.519999999997</v>
      </c>
      <c r="I1057" s="2">
        <v>0</v>
      </c>
      <c r="J1057" s="1">
        <v>3240146.2</v>
      </c>
      <c r="K1057" s="1">
        <v>288462.31400000001</v>
      </c>
    </row>
    <row r="1058" spans="1:11">
      <c r="A1058" t="s">
        <v>1</v>
      </c>
      <c r="B1058" s="3">
        <v>41758</v>
      </c>
      <c r="C1058" s="3">
        <v>41758</v>
      </c>
      <c r="D1058" t="s">
        <v>2</v>
      </c>
      <c r="E1058" s="1">
        <v>17.282</v>
      </c>
      <c r="F1058" s="1">
        <v>6291.2359999999999</v>
      </c>
      <c r="G1058" s="1">
        <v>0</v>
      </c>
      <c r="H1058" s="2">
        <v>108706.39</v>
      </c>
      <c r="I1058" s="2">
        <v>0</v>
      </c>
      <c r="J1058" s="1">
        <v>57974044.369999997</v>
      </c>
      <c r="K1058" s="1">
        <v>3354582.2239999999</v>
      </c>
    </row>
    <row r="1059" spans="1:11">
      <c r="A1059" t="s">
        <v>1</v>
      </c>
      <c r="B1059" s="3">
        <v>41758</v>
      </c>
      <c r="C1059" s="3">
        <v>41758</v>
      </c>
      <c r="D1059" t="s">
        <v>0</v>
      </c>
      <c r="E1059" s="1">
        <v>17.084900000000001</v>
      </c>
      <c r="F1059" s="1">
        <v>2454.8679999999999</v>
      </c>
      <c r="G1059" s="1">
        <v>16.475999999999999</v>
      </c>
      <c r="H1059" s="2">
        <v>41933.620000000003</v>
      </c>
      <c r="I1059" s="2">
        <v>-281.45</v>
      </c>
      <c r="J1059" s="1">
        <v>970421.03</v>
      </c>
      <c r="K1059" s="1">
        <v>56799.909</v>
      </c>
    </row>
    <row r="1060" spans="1:11">
      <c r="A1060" t="s">
        <v>1</v>
      </c>
      <c r="B1060" s="3">
        <v>41759</v>
      </c>
      <c r="C1060" s="3">
        <v>41759</v>
      </c>
      <c r="D1060" t="s">
        <v>7</v>
      </c>
      <c r="E1060" s="1">
        <v>22.912099999999999</v>
      </c>
      <c r="F1060" s="1">
        <v>2551.2020000000002</v>
      </c>
      <c r="G1060" s="1">
        <v>39743.097000000002</v>
      </c>
      <c r="H1060" s="2">
        <v>58025.03</v>
      </c>
      <c r="I1060" s="2">
        <v>-903924.96</v>
      </c>
      <c r="J1060" s="1">
        <v>267626661.66999999</v>
      </c>
      <c r="K1060" s="1">
        <v>11680606.424000001</v>
      </c>
    </row>
    <row r="1061" spans="1:11">
      <c r="A1061" t="s">
        <v>1</v>
      </c>
      <c r="B1061" s="3">
        <v>41759</v>
      </c>
      <c r="C1061" s="3">
        <v>41759</v>
      </c>
      <c r="D1061" t="s">
        <v>12</v>
      </c>
      <c r="E1061" s="1">
        <v>18.252300000000002</v>
      </c>
      <c r="F1061" s="1">
        <v>0</v>
      </c>
      <c r="G1061" s="1">
        <v>14837.279</v>
      </c>
      <c r="H1061" s="2">
        <v>0</v>
      </c>
      <c r="I1061" s="2">
        <v>-268841.09999999998</v>
      </c>
      <c r="J1061" s="1">
        <v>11662013.289999999</v>
      </c>
      <c r="K1061" s="1">
        <v>638932.74</v>
      </c>
    </row>
    <row r="1062" spans="1:11">
      <c r="A1062" t="s">
        <v>1</v>
      </c>
      <c r="B1062" s="3">
        <v>41759</v>
      </c>
      <c r="C1062" s="3">
        <v>41759</v>
      </c>
      <c r="D1062" t="s">
        <v>6</v>
      </c>
      <c r="E1062" s="1">
        <v>18.9619</v>
      </c>
      <c r="F1062" s="1">
        <v>3712.6709999999998</v>
      </c>
      <c r="G1062" s="1">
        <v>39036.760999999999</v>
      </c>
      <c r="H1062" s="2">
        <v>69886.19</v>
      </c>
      <c r="I1062" s="2">
        <v>-734816.28</v>
      </c>
      <c r="J1062" s="1">
        <v>36215093.57</v>
      </c>
      <c r="K1062" s="1">
        <v>1909892.3659999999</v>
      </c>
    </row>
    <row r="1063" spans="1:11">
      <c r="A1063" t="s">
        <v>1</v>
      </c>
      <c r="B1063" s="3">
        <v>41759</v>
      </c>
      <c r="C1063" s="3">
        <v>41759</v>
      </c>
      <c r="D1063" t="s">
        <v>2</v>
      </c>
      <c r="E1063" s="1">
        <v>17.41</v>
      </c>
      <c r="F1063" s="1">
        <v>19644.936000000002</v>
      </c>
      <c r="G1063" s="1">
        <v>3527.7840000000001</v>
      </c>
      <c r="H1063" s="2">
        <v>339505.46</v>
      </c>
      <c r="I1063" s="2">
        <v>-60967.47</v>
      </c>
      <c r="J1063" s="1">
        <v>58683763.43</v>
      </c>
      <c r="K1063" s="1">
        <v>3370699.3760000002</v>
      </c>
    </row>
    <row r="1064" spans="1:11">
      <c r="A1064" t="s">
        <v>1</v>
      </c>
      <c r="B1064" s="3">
        <v>41759</v>
      </c>
      <c r="C1064" s="3">
        <v>41759</v>
      </c>
      <c r="D1064" t="s">
        <v>9</v>
      </c>
      <c r="E1064" s="1">
        <v>18.5932</v>
      </c>
      <c r="F1064" s="1">
        <v>11.624000000000001</v>
      </c>
      <c r="G1064" s="1">
        <v>0</v>
      </c>
      <c r="H1064" s="2">
        <v>214.54</v>
      </c>
      <c r="I1064" s="2">
        <v>0</v>
      </c>
      <c r="J1064" s="1">
        <v>1166087.7</v>
      </c>
      <c r="K1064" s="1">
        <v>62715.803999999996</v>
      </c>
    </row>
    <row r="1065" spans="1:11">
      <c r="A1065" t="s">
        <v>1</v>
      </c>
      <c r="B1065" s="3">
        <v>41759</v>
      </c>
      <c r="C1065" s="3">
        <v>41759</v>
      </c>
      <c r="D1065" t="s">
        <v>0</v>
      </c>
      <c r="E1065" s="1">
        <v>17.211400000000001</v>
      </c>
      <c r="F1065" s="1">
        <v>933.02499999999998</v>
      </c>
      <c r="G1065" s="1">
        <v>0</v>
      </c>
      <c r="H1065" s="2">
        <v>15940.68</v>
      </c>
      <c r="I1065" s="2">
        <v>0</v>
      </c>
      <c r="J1065" s="1">
        <v>993666.76</v>
      </c>
      <c r="K1065" s="1">
        <v>57732.934000000001</v>
      </c>
    </row>
    <row r="1066" spans="1:11">
      <c r="A1066" t="s">
        <v>1</v>
      </c>
      <c r="B1066" s="3">
        <v>41760</v>
      </c>
      <c r="C1066" s="3">
        <v>41760</v>
      </c>
      <c r="D1066" t="s">
        <v>8</v>
      </c>
      <c r="E1066" s="1">
        <v>18.518699999999999</v>
      </c>
      <c r="F1066" s="1">
        <v>2.0880000000000001</v>
      </c>
      <c r="G1066" s="1">
        <v>8328.89</v>
      </c>
      <c r="H1066" s="2">
        <v>38.69</v>
      </c>
      <c r="I1066" s="2">
        <v>-154339.03</v>
      </c>
      <c r="J1066" s="1">
        <v>6265391.2699999996</v>
      </c>
      <c r="K1066" s="1">
        <v>338327.761</v>
      </c>
    </row>
    <row r="1067" spans="1:11">
      <c r="A1067" t="s">
        <v>1</v>
      </c>
      <c r="B1067" s="3">
        <v>41760</v>
      </c>
      <c r="C1067" s="3">
        <v>41760</v>
      </c>
      <c r="D1067" t="s">
        <v>7</v>
      </c>
      <c r="E1067" s="1">
        <v>22.897300000000001</v>
      </c>
      <c r="F1067" s="1">
        <v>1449.9010000000001</v>
      </c>
      <c r="G1067" s="1">
        <v>28276.68</v>
      </c>
      <c r="H1067" s="2">
        <v>33220.26</v>
      </c>
      <c r="I1067" s="2">
        <v>-647878.14</v>
      </c>
      <c r="J1067" s="1">
        <v>266839941</v>
      </c>
      <c r="K1067" s="1">
        <v>11653779.645</v>
      </c>
    </row>
    <row r="1068" spans="1:11">
      <c r="A1068" t="s">
        <v>1</v>
      </c>
      <c r="B1068" s="3">
        <v>41760</v>
      </c>
      <c r="C1068" s="3">
        <v>41760</v>
      </c>
      <c r="D1068" t="s">
        <v>12</v>
      </c>
      <c r="E1068" s="1">
        <v>18.239799999999999</v>
      </c>
      <c r="F1068" s="1">
        <v>0</v>
      </c>
      <c r="G1068" s="1">
        <v>31838.531999999999</v>
      </c>
      <c r="H1068" s="2">
        <v>0</v>
      </c>
      <c r="I1068" s="2">
        <v>-581126.43000000005</v>
      </c>
      <c r="J1068" s="1">
        <v>11073290.93</v>
      </c>
      <c r="K1068" s="1">
        <v>607094.20799999998</v>
      </c>
    </row>
    <row r="1069" spans="1:11">
      <c r="A1069" t="s">
        <v>1</v>
      </c>
      <c r="B1069" s="3">
        <v>41760</v>
      </c>
      <c r="C1069" s="3">
        <v>41760</v>
      </c>
      <c r="D1069" t="s">
        <v>6</v>
      </c>
      <c r="E1069" s="1">
        <v>18.948899999999998</v>
      </c>
      <c r="F1069" s="1">
        <v>11683.468999999999</v>
      </c>
      <c r="G1069" s="1">
        <v>2246.049</v>
      </c>
      <c r="H1069" s="2">
        <v>221540.75</v>
      </c>
      <c r="I1069" s="2">
        <v>-42589.34</v>
      </c>
      <c r="J1069" s="1">
        <v>36369096.969999999</v>
      </c>
      <c r="K1069" s="1">
        <v>1919329.7860000001</v>
      </c>
    </row>
    <row r="1070" spans="1:11">
      <c r="A1070" t="s">
        <v>1</v>
      </c>
      <c r="B1070" s="3">
        <v>41760</v>
      </c>
      <c r="C1070" s="3">
        <v>41760</v>
      </c>
      <c r="D1070" t="s">
        <v>10</v>
      </c>
      <c r="E1070" s="1">
        <v>18.891500000000001</v>
      </c>
      <c r="F1070" s="1">
        <v>0</v>
      </c>
      <c r="G1070" s="1">
        <v>463.20600000000002</v>
      </c>
      <c r="H1070" s="2">
        <v>0</v>
      </c>
      <c r="I1070" s="2">
        <v>-8727.16</v>
      </c>
      <c r="J1070" s="1">
        <v>9852659.2599999998</v>
      </c>
      <c r="K1070" s="1">
        <v>521540.29700000002</v>
      </c>
    </row>
    <row r="1071" spans="1:11">
      <c r="A1071" t="s">
        <v>1</v>
      </c>
      <c r="B1071" s="3">
        <v>41760</v>
      </c>
      <c r="C1071" s="3">
        <v>41760</v>
      </c>
      <c r="D1071" t="s">
        <v>5</v>
      </c>
      <c r="E1071" s="1">
        <v>17.6386</v>
      </c>
      <c r="F1071" s="1">
        <v>33926</v>
      </c>
      <c r="G1071" s="1">
        <v>0</v>
      </c>
      <c r="H1071" s="2">
        <v>598780.32999999996</v>
      </c>
      <c r="I1071" s="2">
        <v>0</v>
      </c>
      <c r="J1071" s="1">
        <v>31918473.16</v>
      </c>
      <c r="K1071" s="1">
        <v>1809580.1359999999</v>
      </c>
    </row>
    <row r="1072" spans="1:11">
      <c r="A1072" t="s">
        <v>1</v>
      </c>
      <c r="B1072" s="3">
        <v>41760</v>
      </c>
      <c r="C1072" s="3">
        <v>41760</v>
      </c>
      <c r="D1072" t="s">
        <v>3</v>
      </c>
      <c r="E1072" s="1">
        <v>10.963900000000001</v>
      </c>
      <c r="F1072" s="1">
        <v>0</v>
      </c>
      <c r="G1072" s="1">
        <v>3215.1030000000001</v>
      </c>
      <c r="H1072" s="2">
        <v>0</v>
      </c>
      <c r="I1072" s="2">
        <v>-35274.18</v>
      </c>
      <c r="J1072" s="1">
        <v>2013604</v>
      </c>
      <c r="K1072" s="1">
        <v>183657.47700000001</v>
      </c>
    </row>
    <row r="1073" spans="1:11">
      <c r="A1073" t="s">
        <v>1</v>
      </c>
      <c r="B1073" s="3">
        <v>41760</v>
      </c>
      <c r="C1073" s="3">
        <v>41760</v>
      </c>
      <c r="D1073" t="s">
        <v>2</v>
      </c>
      <c r="E1073" s="1">
        <v>17.399100000000001</v>
      </c>
      <c r="F1073" s="1">
        <v>16843.306</v>
      </c>
      <c r="G1073" s="1">
        <v>957.87</v>
      </c>
      <c r="H1073" s="2">
        <v>293241.01</v>
      </c>
      <c r="I1073" s="2">
        <v>-16676.46</v>
      </c>
      <c r="J1073" s="1">
        <v>58923545.380000003</v>
      </c>
      <c r="K1073" s="1">
        <v>3386584.8119999999</v>
      </c>
    </row>
    <row r="1074" spans="1:11">
      <c r="A1074" t="s">
        <v>1</v>
      </c>
      <c r="B1074" s="3">
        <v>41760</v>
      </c>
      <c r="C1074" s="3">
        <v>41760</v>
      </c>
      <c r="D1074" t="s">
        <v>0</v>
      </c>
      <c r="E1074" s="1">
        <v>17.200800000000001</v>
      </c>
      <c r="F1074" s="1">
        <v>3186.1590000000001</v>
      </c>
      <c r="G1074" s="1">
        <v>360.959</v>
      </c>
      <c r="H1074" s="2">
        <v>54838.09</v>
      </c>
      <c r="I1074" s="2">
        <v>-6212.59</v>
      </c>
      <c r="J1074" s="1">
        <v>1041646.3</v>
      </c>
      <c r="K1074" s="1">
        <v>60558.133999999998</v>
      </c>
    </row>
    <row r="1075" spans="1:11">
      <c r="A1075" t="s">
        <v>1</v>
      </c>
      <c r="B1075" s="3">
        <v>41761</v>
      </c>
      <c r="C1075" s="3">
        <v>41761</v>
      </c>
      <c r="D1075" t="s">
        <v>8</v>
      </c>
      <c r="E1075" s="1">
        <v>18.503799999999998</v>
      </c>
      <c r="F1075" s="1">
        <v>0</v>
      </c>
      <c r="G1075" s="1">
        <v>1586.3440000000001</v>
      </c>
      <c r="H1075" s="2">
        <v>0</v>
      </c>
      <c r="I1075" s="2">
        <v>-29376.92</v>
      </c>
      <c r="J1075" s="1">
        <v>6231010.0099999998</v>
      </c>
      <c r="K1075" s="1">
        <v>336741.41700000002</v>
      </c>
    </row>
    <row r="1076" spans="1:11">
      <c r="A1076" t="s">
        <v>1</v>
      </c>
      <c r="B1076" s="3">
        <v>41761</v>
      </c>
      <c r="C1076" s="3">
        <v>41761</v>
      </c>
      <c r="D1076" t="s">
        <v>7</v>
      </c>
      <c r="E1076" s="1">
        <v>22.878900000000002</v>
      </c>
      <c r="F1076" s="1">
        <v>131.02000000000001</v>
      </c>
      <c r="G1076" s="1">
        <v>13728.941999999999</v>
      </c>
      <c r="H1076" s="2">
        <v>3000</v>
      </c>
      <c r="I1076" s="2">
        <v>-314355.71000000002</v>
      </c>
      <c r="J1076" s="1">
        <v>266314698.94</v>
      </c>
      <c r="K1076" s="1">
        <v>11640181.722999999</v>
      </c>
    </row>
    <row r="1077" spans="1:11">
      <c r="A1077" t="s">
        <v>1</v>
      </c>
      <c r="B1077" s="3">
        <v>41761</v>
      </c>
      <c r="C1077" s="3">
        <v>41761</v>
      </c>
      <c r="D1077" t="s">
        <v>6</v>
      </c>
      <c r="E1077" s="1">
        <v>18.9329</v>
      </c>
      <c r="F1077" s="1">
        <v>3393.337</v>
      </c>
      <c r="G1077" s="1">
        <v>0</v>
      </c>
      <c r="H1077" s="2">
        <v>64300</v>
      </c>
      <c r="I1077" s="2">
        <v>0</v>
      </c>
      <c r="J1077" s="1">
        <v>36402662.299999997</v>
      </c>
      <c r="K1077" s="1">
        <v>1922723.1229999999</v>
      </c>
    </row>
    <row r="1078" spans="1:11">
      <c r="A1078" t="s">
        <v>1</v>
      </c>
      <c r="B1078" s="3">
        <v>41761</v>
      </c>
      <c r="C1078" s="3">
        <v>41761</v>
      </c>
      <c r="D1078" t="s">
        <v>2</v>
      </c>
      <c r="E1078" s="1">
        <v>17.3855</v>
      </c>
      <c r="F1078" s="1">
        <v>5700.5789999999997</v>
      </c>
      <c r="G1078" s="1">
        <v>1480</v>
      </c>
      <c r="H1078" s="2">
        <v>99184.93</v>
      </c>
      <c r="I1078" s="2">
        <v>-25750.65</v>
      </c>
      <c r="J1078" s="1">
        <v>58950847.479999997</v>
      </c>
      <c r="K1078" s="1">
        <v>3390805.3909999998</v>
      </c>
    </row>
    <row r="1079" spans="1:11">
      <c r="A1079" t="s">
        <v>1</v>
      </c>
      <c r="B1079" s="3">
        <v>41761</v>
      </c>
      <c r="C1079" s="3">
        <v>41761</v>
      </c>
      <c r="D1079" t="s">
        <v>9</v>
      </c>
      <c r="E1079" s="1">
        <v>18.566800000000001</v>
      </c>
      <c r="F1079" s="1">
        <v>0</v>
      </c>
      <c r="G1079" s="1">
        <v>211.351</v>
      </c>
      <c r="H1079" s="2">
        <v>0</v>
      </c>
      <c r="I1079" s="2">
        <v>-3927.21</v>
      </c>
      <c r="J1079" s="1">
        <v>1160508.8999999999</v>
      </c>
      <c r="K1079" s="1">
        <v>62504.453000000001</v>
      </c>
    </row>
    <row r="1080" spans="1:11">
      <c r="A1080" t="s">
        <v>1</v>
      </c>
      <c r="B1080" s="3">
        <v>41761</v>
      </c>
      <c r="C1080" s="3">
        <v>41761</v>
      </c>
      <c r="D1080" t="s">
        <v>0</v>
      </c>
      <c r="E1080" s="1">
        <v>17.1874</v>
      </c>
      <c r="F1080" s="1">
        <v>1555.375</v>
      </c>
      <c r="G1080" s="1">
        <v>0.98299999999999998</v>
      </c>
      <c r="H1080" s="2">
        <v>26753.73</v>
      </c>
      <c r="I1080" s="2">
        <v>-16.899999999999999</v>
      </c>
      <c r="J1080" s="1">
        <v>1067552.1100000001</v>
      </c>
      <c r="K1080" s="1">
        <v>62112.525999999998</v>
      </c>
    </row>
    <row r="1081" spans="1:11">
      <c r="A1081" t="s">
        <v>1</v>
      </c>
      <c r="B1081" s="3">
        <v>41765</v>
      </c>
      <c r="C1081" s="3">
        <v>41765</v>
      </c>
      <c r="D1081" t="s">
        <v>7</v>
      </c>
      <c r="E1081" s="1">
        <v>22.824100000000001</v>
      </c>
      <c r="F1081" s="1">
        <v>14814.027</v>
      </c>
      <c r="G1081" s="1">
        <v>1791.479</v>
      </c>
      <c r="H1081" s="2">
        <v>338928.64000000001</v>
      </c>
      <c r="I1081" s="2">
        <v>-40987.050000000003</v>
      </c>
      <c r="J1081" s="1">
        <v>265974056.08000001</v>
      </c>
      <c r="K1081" s="1">
        <v>11653204.271</v>
      </c>
    </row>
    <row r="1082" spans="1:11">
      <c r="A1082" t="s">
        <v>1</v>
      </c>
      <c r="B1082" s="3">
        <v>41765</v>
      </c>
      <c r="C1082" s="3">
        <v>41765</v>
      </c>
      <c r="D1082" t="s">
        <v>12</v>
      </c>
      <c r="E1082" s="1">
        <v>18.177800000000001</v>
      </c>
      <c r="F1082" s="1">
        <v>0</v>
      </c>
      <c r="G1082" s="1">
        <v>492.66800000000001</v>
      </c>
      <c r="H1082" s="2">
        <v>0</v>
      </c>
      <c r="I1082" s="2">
        <v>-8978.58</v>
      </c>
      <c r="J1082" s="1">
        <v>11026675.220000001</v>
      </c>
      <c r="K1082" s="1">
        <v>606601.54</v>
      </c>
    </row>
    <row r="1083" spans="1:11">
      <c r="A1083" t="s">
        <v>1</v>
      </c>
      <c r="B1083" s="3">
        <v>41765</v>
      </c>
      <c r="C1083" s="3">
        <v>41765</v>
      </c>
      <c r="D1083" t="s">
        <v>6</v>
      </c>
      <c r="E1083" s="1">
        <v>18.884399999999999</v>
      </c>
      <c r="F1083" s="1">
        <v>2863.4589999999998</v>
      </c>
      <c r="G1083" s="1">
        <v>375.83699999999999</v>
      </c>
      <c r="H1083" s="2">
        <v>54213.58</v>
      </c>
      <c r="I1083" s="2">
        <v>-7115.68</v>
      </c>
      <c r="J1083" s="1">
        <v>36356464.840000004</v>
      </c>
      <c r="K1083" s="1">
        <v>1925210.7450000001</v>
      </c>
    </row>
    <row r="1084" spans="1:11">
      <c r="A1084" t="s">
        <v>1</v>
      </c>
      <c r="B1084" s="3">
        <v>41765</v>
      </c>
      <c r="C1084" s="3">
        <v>41765</v>
      </c>
      <c r="D1084" t="s">
        <v>5</v>
      </c>
      <c r="E1084" s="1">
        <v>17.584</v>
      </c>
      <c r="F1084" s="1">
        <v>95355</v>
      </c>
      <c r="G1084" s="1">
        <v>0</v>
      </c>
      <c r="H1084" s="2">
        <v>1680612.8</v>
      </c>
      <c r="I1084" s="2">
        <v>0</v>
      </c>
      <c r="J1084" s="1">
        <v>33496471.129999999</v>
      </c>
      <c r="K1084" s="1">
        <v>1904935.1359999999</v>
      </c>
    </row>
    <row r="1085" spans="1:11">
      <c r="A1085" t="s">
        <v>1</v>
      </c>
      <c r="B1085" s="3">
        <v>41765</v>
      </c>
      <c r="C1085" s="3">
        <v>41765</v>
      </c>
      <c r="D1085" t="s">
        <v>4</v>
      </c>
      <c r="E1085" s="1">
        <v>11.272</v>
      </c>
      <c r="F1085" s="1">
        <v>3048.7759999999998</v>
      </c>
      <c r="G1085" s="1">
        <v>0</v>
      </c>
      <c r="H1085" s="2">
        <v>34448.120000000003</v>
      </c>
      <c r="I1085" s="2">
        <v>0</v>
      </c>
      <c r="J1085" s="1">
        <v>3285900.8</v>
      </c>
      <c r="K1085" s="1">
        <v>291511.09000000003</v>
      </c>
    </row>
    <row r="1086" spans="1:11">
      <c r="A1086" t="s">
        <v>1</v>
      </c>
      <c r="B1086" s="3">
        <v>41765</v>
      </c>
      <c r="C1086" s="3">
        <v>41765</v>
      </c>
      <c r="D1086" t="s">
        <v>2</v>
      </c>
      <c r="E1086" s="1">
        <v>17.345300000000002</v>
      </c>
      <c r="F1086" s="1">
        <v>3349.2179999999998</v>
      </c>
      <c r="G1086" s="1">
        <v>910</v>
      </c>
      <c r="H1086" s="2">
        <v>58227.9</v>
      </c>
      <c r="I1086" s="2">
        <v>-15820.83</v>
      </c>
      <c r="J1086" s="1">
        <v>58856804.049999997</v>
      </c>
      <c r="K1086" s="1">
        <v>3393244.6090000002</v>
      </c>
    </row>
    <row r="1087" spans="1:11">
      <c r="A1087" t="s">
        <v>1</v>
      </c>
      <c r="B1087" s="3">
        <v>41765</v>
      </c>
      <c r="C1087" s="3">
        <v>41765</v>
      </c>
      <c r="D1087" t="s">
        <v>9</v>
      </c>
      <c r="E1087" s="1">
        <v>18.523399999999999</v>
      </c>
      <c r="F1087" s="1">
        <v>0</v>
      </c>
      <c r="G1087" s="1">
        <v>2200</v>
      </c>
      <c r="H1087" s="2">
        <v>0</v>
      </c>
      <c r="I1087" s="2">
        <v>-40846.82</v>
      </c>
      <c r="J1087" s="1">
        <v>1117041.6499999999</v>
      </c>
      <c r="K1087" s="1">
        <v>60304.453000000001</v>
      </c>
    </row>
    <row r="1088" spans="1:11">
      <c r="A1088" t="s">
        <v>1</v>
      </c>
      <c r="B1088" s="3">
        <v>41765</v>
      </c>
      <c r="C1088" s="3">
        <v>41765</v>
      </c>
      <c r="D1088" t="s">
        <v>0</v>
      </c>
      <c r="E1088" s="1">
        <v>17.1479</v>
      </c>
      <c r="F1088" s="1">
        <v>2603.66</v>
      </c>
      <c r="G1088" s="1">
        <v>16.207000000000001</v>
      </c>
      <c r="H1088" s="2">
        <v>44750.2</v>
      </c>
      <c r="I1088" s="2">
        <v>-278.56</v>
      </c>
      <c r="J1088" s="1">
        <v>1109469.92</v>
      </c>
      <c r="K1088" s="1">
        <v>64699.978999999999</v>
      </c>
    </row>
    <row r="1089" spans="1:11">
      <c r="A1089" t="s">
        <v>1</v>
      </c>
      <c r="B1089" s="3">
        <v>41766</v>
      </c>
      <c r="C1089" s="3">
        <v>41766</v>
      </c>
      <c r="D1089" t="s">
        <v>8</v>
      </c>
      <c r="E1089" s="1">
        <v>18.332699999999999</v>
      </c>
      <c r="F1089" s="1">
        <v>22.648</v>
      </c>
      <c r="G1089" s="1">
        <v>0</v>
      </c>
      <c r="H1089" s="2">
        <v>418.07</v>
      </c>
      <c r="I1089" s="2">
        <v>0</v>
      </c>
      <c r="J1089" s="1">
        <v>6173800.1900000004</v>
      </c>
      <c r="K1089" s="1">
        <v>336764.065</v>
      </c>
    </row>
    <row r="1090" spans="1:11">
      <c r="A1090" t="s">
        <v>1</v>
      </c>
      <c r="B1090" s="3">
        <v>41766</v>
      </c>
      <c r="C1090" s="3">
        <v>41766</v>
      </c>
      <c r="D1090" t="s">
        <v>7</v>
      </c>
      <c r="E1090" s="1">
        <v>22.667300000000001</v>
      </c>
      <c r="F1090" s="1">
        <v>9127.1790000000001</v>
      </c>
      <c r="G1090" s="1">
        <v>5617.835</v>
      </c>
      <c r="H1090" s="2">
        <v>208319.64</v>
      </c>
      <c r="I1090" s="2">
        <v>-128222.02</v>
      </c>
      <c r="J1090" s="1">
        <v>264226527.06</v>
      </c>
      <c r="K1090" s="1">
        <v>11656713.615</v>
      </c>
    </row>
    <row r="1091" spans="1:11">
      <c r="A1091" t="s">
        <v>1</v>
      </c>
      <c r="B1091" s="3">
        <v>41766</v>
      </c>
      <c r="C1091" s="3">
        <v>41766</v>
      </c>
      <c r="D1091" t="s">
        <v>12</v>
      </c>
      <c r="E1091" s="1">
        <v>18.052199999999999</v>
      </c>
      <c r="F1091" s="1">
        <v>7424.018</v>
      </c>
      <c r="G1091" s="1">
        <v>2685.4810000000002</v>
      </c>
      <c r="H1091" s="2">
        <v>134952.31</v>
      </c>
      <c r="I1091" s="2">
        <v>-48816.13</v>
      </c>
      <c r="J1091" s="1">
        <v>11036016.609999999</v>
      </c>
      <c r="K1091" s="1">
        <v>611340.07700000005</v>
      </c>
    </row>
    <row r="1092" spans="1:11">
      <c r="A1092" t="s">
        <v>1</v>
      </c>
      <c r="B1092" s="3">
        <v>41766</v>
      </c>
      <c r="C1092" s="3">
        <v>41766</v>
      </c>
      <c r="D1092" t="s">
        <v>6</v>
      </c>
      <c r="E1092" s="1">
        <v>18.753900000000002</v>
      </c>
      <c r="F1092" s="1">
        <v>57194.252</v>
      </c>
      <c r="G1092" s="1">
        <v>9455.3989999999994</v>
      </c>
      <c r="H1092" s="2">
        <v>1080079.06</v>
      </c>
      <c r="I1092" s="2">
        <v>-178559.53</v>
      </c>
      <c r="J1092" s="1">
        <v>37000514.030000001</v>
      </c>
      <c r="K1092" s="1">
        <v>1972949.598</v>
      </c>
    </row>
    <row r="1093" spans="1:11">
      <c r="A1093" t="s">
        <v>1</v>
      </c>
      <c r="B1093" s="3">
        <v>41766</v>
      </c>
      <c r="C1093" s="3">
        <v>41766</v>
      </c>
      <c r="D1093" t="s">
        <v>5</v>
      </c>
      <c r="E1093" s="1">
        <v>17.4636</v>
      </c>
      <c r="F1093" s="1">
        <v>34978</v>
      </c>
      <c r="G1093" s="1">
        <v>0</v>
      </c>
      <c r="H1093" s="2">
        <v>615053.15</v>
      </c>
      <c r="I1093" s="2">
        <v>0</v>
      </c>
      <c r="J1093" s="1">
        <v>33877900.259999998</v>
      </c>
      <c r="K1093" s="1">
        <v>1939913.1359999999</v>
      </c>
    </row>
    <row r="1094" spans="1:11">
      <c r="A1094" t="s">
        <v>1</v>
      </c>
      <c r="B1094" s="3">
        <v>41766</v>
      </c>
      <c r="C1094" s="3">
        <v>41766</v>
      </c>
      <c r="D1094" t="s">
        <v>4</v>
      </c>
      <c r="E1094" s="1">
        <v>11.1945</v>
      </c>
      <c r="F1094" s="1">
        <v>1293.4739999999999</v>
      </c>
      <c r="G1094" s="1">
        <v>0</v>
      </c>
      <c r="H1094" s="2">
        <v>14580.03</v>
      </c>
      <c r="I1094" s="2">
        <v>0</v>
      </c>
      <c r="J1094" s="1">
        <v>3277808.59</v>
      </c>
      <c r="K1094" s="1">
        <v>292804.56400000001</v>
      </c>
    </row>
    <row r="1095" spans="1:11">
      <c r="A1095" t="s">
        <v>1</v>
      </c>
      <c r="B1095" s="3">
        <v>41766</v>
      </c>
      <c r="C1095" s="3">
        <v>41766</v>
      </c>
      <c r="D1095" t="s">
        <v>2</v>
      </c>
      <c r="E1095" s="1">
        <v>17.226500000000001</v>
      </c>
      <c r="F1095" s="1">
        <v>4737.6589999999997</v>
      </c>
      <c r="G1095" s="1">
        <v>0</v>
      </c>
      <c r="H1095" s="2">
        <v>82176.399999999994</v>
      </c>
      <c r="I1095" s="2">
        <v>0</v>
      </c>
      <c r="J1095" s="1">
        <v>58535317.390000001</v>
      </c>
      <c r="K1095" s="1">
        <v>3397982.2680000002</v>
      </c>
    </row>
    <row r="1096" spans="1:11">
      <c r="A1096" t="s">
        <v>1</v>
      </c>
      <c r="B1096" s="3">
        <v>41766</v>
      </c>
      <c r="C1096" s="3">
        <v>41766</v>
      </c>
      <c r="D1096" t="s">
        <v>0</v>
      </c>
      <c r="E1096" s="1">
        <v>17.0305</v>
      </c>
      <c r="F1096" s="1">
        <v>1299.777</v>
      </c>
      <c r="G1096" s="1">
        <v>0</v>
      </c>
      <c r="H1096" s="2">
        <v>22288.43</v>
      </c>
      <c r="I1096" s="2">
        <v>0</v>
      </c>
      <c r="J1096" s="1">
        <v>1124011.78</v>
      </c>
      <c r="K1096" s="1">
        <v>65999.755999999994</v>
      </c>
    </row>
    <row r="1097" spans="1:11">
      <c r="A1097" t="s">
        <v>1</v>
      </c>
      <c r="B1097" s="3">
        <v>41767</v>
      </c>
      <c r="C1097" s="3">
        <v>41767</v>
      </c>
      <c r="D1097" t="s">
        <v>8</v>
      </c>
      <c r="E1097" s="1">
        <v>18.444400000000002</v>
      </c>
      <c r="F1097" s="1">
        <v>16.931999999999999</v>
      </c>
      <c r="G1097" s="1">
        <v>0</v>
      </c>
      <c r="H1097" s="2">
        <v>310.41000000000003</v>
      </c>
      <c r="I1097" s="2">
        <v>0</v>
      </c>
      <c r="J1097" s="1">
        <v>6211715.6699999999</v>
      </c>
      <c r="K1097" s="1">
        <v>336780.99699999997</v>
      </c>
    </row>
    <row r="1098" spans="1:11">
      <c r="A1098" t="s">
        <v>1</v>
      </c>
      <c r="B1098" s="3">
        <v>41767</v>
      </c>
      <c r="C1098" s="3">
        <v>41767</v>
      </c>
      <c r="D1098" t="s">
        <v>7</v>
      </c>
      <c r="E1098" s="1">
        <v>22.806699999999999</v>
      </c>
      <c r="F1098" s="1">
        <v>21403.075000000001</v>
      </c>
      <c r="G1098" s="1">
        <v>3922.3319999999999</v>
      </c>
      <c r="H1098" s="2">
        <v>485149.93</v>
      </c>
      <c r="I1098" s="2">
        <v>-88908.65</v>
      </c>
      <c r="J1098" s="1">
        <v>266250306.18000001</v>
      </c>
      <c r="K1098" s="1">
        <v>11674194.357999999</v>
      </c>
    </row>
    <row r="1099" spans="1:11">
      <c r="A1099" t="s">
        <v>1</v>
      </c>
      <c r="B1099" s="3">
        <v>41767</v>
      </c>
      <c r="C1099" s="3">
        <v>41767</v>
      </c>
      <c r="D1099" t="s">
        <v>12</v>
      </c>
      <c r="E1099" s="1">
        <v>18.154900000000001</v>
      </c>
      <c r="F1099" s="1">
        <v>8931.0049999999992</v>
      </c>
      <c r="G1099" s="1">
        <v>10036.556</v>
      </c>
      <c r="H1099" s="2">
        <v>161224.29</v>
      </c>
      <c r="I1099" s="2">
        <v>-181181.92</v>
      </c>
      <c r="J1099" s="1">
        <v>11078737.369999999</v>
      </c>
      <c r="K1099" s="1">
        <v>610234.52599999995</v>
      </c>
    </row>
    <row r="1100" spans="1:11">
      <c r="A1100" t="s">
        <v>1</v>
      </c>
      <c r="B1100" s="3">
        <v>41767</v>
      </c>
      <c r="C1100" s="3">
        <v>41767</v>
      </c>
      <c r="D1100" t="s">
        <v>6</v>
      </c>
      <c r="E1100" s="1">
        <v>18.8645</v>
      </c>
      <c r="F1100" s="1">
        <v>1025.0899999999999</v>
      </c>
      <c r="G1100" s="1">
        <v>23121.599999999999</v>
      </c>
      <c r="H1100" s="2">
        <v>19224.43</v>
      </c>
      <c r="I1100" s="2">
        <v>-433620.17</v>
      </c>
      <c r="J1100" s="1">
        <v>36801936.810000002</v>
      </c>
      <c r="K1100" s="1">
        <v>1950853.088</v>
      </c>
    </row>
    <row r="1101" spans="1:11">
      <c r="A1101" t="s">
        <v>1</v>
      </c>
      <c r="B1101" s="3">
        <v>41767</v>
      </c>
      <c r="C1101" s="3">
        <v>41767</v>
      </c>
      <c r="D1101" t="s">
        <v>10</v>
      </c>
      <c r="E1101" s="1">
        <v>18.910299999999999</v>
      </c>
      <c r="F1101" s="1">
        <v>2</v>
      </c>
      <c r="G1101" s="1">
        <v>0</v>
      </c>
      <c r="H1101" s="2">
        <v>37.549999999999997</v>
      </c>
      <c r="I1101" s="2">
        <v>0</v>
      </c>
      <c r="J1101" s="1">
        <v>9862496.8100000005</v>
      </c>
      <c r="K1101" s="1">
        <v>521542.29700000002</v>
      </c>
    </row>
    <row r="1102" spans="1:11">
      <c r="A1102" t="s">
        <v>1</v>
      </c>
      <c r="B1102" s="3">
        <v>41767</v>
      </c>
      <c r="C1102" s="3">
        <v>41767</v>
      </c>
      <c r="D1102" t="s">
        <v>5</v>
      </c>
      <c r="E1102" s="1">
        <v>17.5717</v>
      </c>
      <c r="F1102" s="1">
        <v>98849</v>
      </c>
      <c r="G1102" s="1">
        <v>0</v>
      </c>
      <c r="H1102" s="2">
        <v>1726259.4</v>
      </c>
      <c r="I1102" s="2">
        <v>0</v>
      </c>
      <c r="J1102" s="1">
        <v>35824415.780000001</v>
      </c>
      <c r="K1102" s="1">
        <v>2038762.1359999999</v>
      </c>
    </row>
    <row r="1103" spans="1:11">
      <c r="A1103" t="s">
        <v>1</v>
      </c>
      <c r="B1103" s="3">
        <v>41767</v>
      </c>
      <c r="C1103" s="3">
        <v>41767</v>
      </c>
      <c r="D1103" t="s">
        <v>4</v>
      </c>
      <c r="E1103" s="1">
        <v>11.258800000000001</v>
      </c>
      <c r="F1103" s="1">
        <v>374.64499999999998</v>
      </c>
      <c r="G1103" s="1">
        <v>0</v>
      </c>
      <c r="H1103" s="2">
        <v>4193.96</v>
      </c>
      <c r="I1103" s="2">
        <v>0</v>
      </c>
      <c r="J1103" s="1">
        <v>3300843.44</v>
      </c>
      <c r="K1103" s="1">
        <v>293179.20899999997</v>
      </c>
    </row>
    <row r="1104" spans="1:11">
      <c r="A1104" t="s">
        <v>1</v>
      </c>
      <c r="B1104" s="3">
        <v>41767</v>
      </c>
      <c r="C1104" s="3">
        <v>41767</v>
      </c>
      <c r="D1104" t="s">
        <v>3</v>
      </c>
      <c r="E1104" s="1">
        <v>10.912599999999999</v>
      </c>
      <c r="F1104" s="1">
        <v>0</v>
      </c>
      <c r="G1104" s="1">
        <v>2345.8020000000001</v>
      </c>
      <c r="H1104" s="2">
        <v>0</v>
      </c>
      <c r="I1104" s="2">
        <v>-25454.53</v>
      </c>
      <c r="J1104" s="1">
        <v>1978573.3</v>
      </c>
      <c r="K1104" s="1">
        <v>181311.67499999999</v>
      </c>
    </row>
    <row r="1105" spans="1:11">
      <c r="A1105" t="s">
        <v>1</v>
      </c>
      <c r="B1105" s="3">
        <v>41767</v>
      </c>
      <c r="C1105" s="3">
        <v>41767</v>
      </c>
      <c r="D1105" t="s">
        <v>2</v>
      </c>
      <c r="E1105" s="1">
        <v>17.3323</v>
      </c>
      <c r="F1105" s="1">
        <v>13605.894</v>
      </c>
      <c r="G1105" s="1">
        <v>1300</v>
      </c>
      <c r="H1105" s="2">
        <v>234381.01</v>
      </c>
      <c r="I1105" s="2">
        <v>-22394.36</v>
      </c>
      <c r="J1105" s="1">
        <v>59108135.810000002</v>
      </c>
      <c r="K1105" s="1">
        <v>3410288.162</v>
      </c>
    </row>
    <row r="1106" spans="1:11">
      <c r="A1106" t="s">
        <v>1</v>
      </c>
      <c r="B1106" s="3">
        <v>41767</v>
      </c>
      <c r="C1106" s="3">
        <v>41767</v>
      </c>
      <c r="D1106" t="s">
        <v>9</v>
      </c>
      <c r="E1106" s="1">
        <v>18.508099999999999</v>
      </c>
      <c r="F1106" s="1">
        <v>0</v>
      </c>
      <c r="G1106" s="1">
        <v>610.12699999999995</v>
      </c>
      <c r="H1106" s="2">
        <v>0</v>
      </c>
      <c r="I1106" s="2">
        <v>-11224.19</v>
      </c>
      <c r="J1106" s="1">
        <v>1104827.01</v>
      </c>
      <c r="K1106" s="1">
        <v>59694.326000000001</v>
      </c>
    </row>
    <row r="1107" spans="1:11">
      <c r="A1107" t="s">
        <v>1</v>
      </c>
      <c r="B1107" s="3">
        <v>41767</v>
      </c>
      <c r="C1107" s="3">
        <v>41767</v>
      </c>
      <c r="D1107" t="s">
        <v>0</v>
      </c>
      <c r="E1107" s="1">
        <v>17.1252</v>
      </c>
      <c r="F1107" s="1">
        <v>1919.2059999999999</v>
      </c>
      <c r="G1107" s="1">
        <v>2.302</v>
      </c>
      <c r="H1107" s="2">
        <v>32685.03</v>
      </c>
      <c r="I1107" s="2">
        <v>-39.21</v>
      </c>
      <c r="J1107" s="1">
        <v>1163084.01</v>
      </c>
      <c r="K1107" s="1">
        <v>67916.66</v>
      </c>
    </row>
    <row r="1108" spans="1:11">
      <c r="A1108" t="s">
        <v>1</v>
      </c>
      <c r="B1108" s="3">
        <v>41768</v>
      </c>
      <c r="C1108" s="3">
        <v>41768</v>
      </c>
      <c r="D1108" t="s">
        <v>7</v>
      </c>
      <c r="E1108" s="1">
        <v>22.795100000000001</v>
      </c>
      <c r="F1108" s="1">
        <v>18565.859</v>
      </c>
      <c r="G1108" s="1">
        <v>28852.616999999998</v>
      </c>
      <c r="H1108" s="2">
        <v>423425.96</v>
      </c>
      <c r="I1108" s="2">
        <v>-658032.97</v>
      </c>
      <c r="J1108" s="1">
        <v>265880456.63</v>
      </c>
      <c r="K1108" s="1">
        <v>11663907.6</v>
      </c>
    </row>
    <row r="1109" spans="1:11">
      <c r="A1109" t="s">
        <v>1</v>
      </c>
      <c r="B1109" s="3">
        <v>41768</v>
      </c>
      <c r="C1109" s="3">
        <v>41768</v>
      </c>
      <c r="D1109" t="s">
        <v>12</v>
      </c>
      <c r="E1109" s="1">
        <v>18.1449</v>
      </c>
      <c r="F1109" s="1">
        <v>1652.4459999999999</v>
      </c>
      <c r="G1109" s="1">
        <v>1106.27</v>
      </c>
      <c r="H1109" s="2">
        <v>30000</v>
      </c>
      <c r="I1109" s="2">
        <v>-20084.22</v>
      </c>
      <c r="J1109" s="1">
        <v>11082559.949999999</v>
      </c>
      <c r="K1109" s="1">
        <v>610780.70200000005</v>
      </c>
    </row>
    <row r="1110" spans="1:11">
      <c r="A1110" t="s">
        <v>1</v>
      </c>
      <c r="B1110" s="3">
        <v>41768</v>
      </c>
      <c r="C1110" s="3">
        <v>41768</v>
      </c>
      <c r="D1110" t="s">
        <v>6</v>
      </c>
      <c r="E1110" s="1">
        <v>18.854199999999999</v>
      </c>
      <c r="F1110" s="1">
        <v>3937.2080000000001</v>
      </c>
      <c r="G1110" s="1">
        <v>7256.0870000000004</v>
      </c>
      <c r="H1110" s="2">
        <v>74273.440000000002</v>
      </c>
      <c r="I1110" s="2">
        <v>-136882.48000000001</v>
      </c>
      <c r="J1110" s="1">
        <v>36719139.640000001</v>
      </c>
      <c r="K1110" s="1">
        <v>1947534.209</v>
      </c>
    </row>
    <row r="1111" spans="1:11">
      <c r="A1111" t="s">
        <v>1</v>
      </c>
      <c r="B1111" s="3">
        <v>41768</v>
      </c>
      <c r="C1111" s="3">
        <v>41768</v>
      </c>
      <c r="D1111" t="s">
        <v>5</v>
      </c>
      <c r="E1111" s="1">
        <v>17.563099999999999</v>
      </c>
      <c r="F1111" s="1">
        <v>88805</v>
      </c>
      <c r="G1111" s="1">
        <v>22640</v>
      </c>
      <c r="H1111" s="2">
        <v>1560454.82</v>
      </c>
      <c r="I1111" s="2">
        <v>-397823.29</v>
      </c>
      <c r="J1111" s="1">
        <v>36969003.049999997</v>
      </c>
      <c r="K1111" s="1">
        <v>2104927.1359999999</v>
      </c>
    </row>
    <row r="1112" spans="1:11">
      <c r="A1112" t="s">
        <v>1</v>
      </c>
      <c r="B1112" s="3">
        <v>41768</v>
      </c>
      <c r="C1112" s="3">
        <v>41768</v>
      </c>
      <c r="D1112" t="s">
        <v>2</v>
      </c>
      <c r="E1112" s="1">
        <v>17.323799999999999</v>
      </c>
      <c r="F1112" s="1">
        <v>4749.5029999999997</v>
      </c>
      <c r="G1112" s="1">
        <v>0</v>
      </c>
      <c r="H1112" s="2">
        <v>82319.78</v>
      </c>
      <c r="I1112" s="2">
        <v>0</v>
      </c>
      <c r="J1112" s="1">
        <v>59161579.340000004</v>
      </c>
      <c r="K1112" s="1">
        <v>3415037.665</v>
      </c>
    </row>
    <row r="1113" spans="1:11">
      <c r="A1113" t="s">
        <v>1</v>
      </c>
      <c r="B1113" s="3">
        <v>41768</v>
      </c>
      <c r="C1113" s="3">
        <v>41768</v>
      </c>
      <c r="D1113" t="s">
        <v>0</v>
      </c>
      <c r="E1113" s="1">
        <v>17.116900000000001</v>
      </c>
      <c r="F1113" s="1">
        <v>2123.4110000000001</v>
      </c>
      <c r="G1113" s="1">
        <v>65.382000000000005</v>
      </c>
      <c r="H1113" s="2">
        <v>36363.71</v>
      </c>
      <c r="I1113" s="2">
        <v>-1119.67</v>
      </c>
      <c r="J1113" s="1">
        <v>1197748.3700000001</v>
      </c>
      <c r="K1113" s="1">
        <v>69974.688999999998</v>
      </c>
    </row>
    <row r="1114" spans="1:11">
      <c r="A1114" t="s">
        <v>1</v>
      </c>
      <c r="B1114" s="3">
        <v>41771</v>
      </c>
      <c r="C1114" s="3">
        <v>41771</v>
      </c>
      <c r="D1114" t="s">
        <v>7</v>
      </c>
      <c r="E1114" s="1">
        <v>22.7852</v>
      </c>
      <c r="F1114" s="1">
        <v>5628.4740000000002</v>
      </c>
      <c r="G1114" s="1">
        <v>9031.2250000000004</v>
      </c>
      <c r="H1114" s="2">
        <v>128301.63</v>
      </c>
      <c r="I1114" s="2">
        <v>-205867.69</v>
      </c>
      <c r="J1114" s="1">
        <v>265686928.40000001</v>
      </c>
      <c r="K1114" s="1">
        <v>11660504.848999999</v>
      </c>
    </row>
    <row r="1115" spans="1:11">
      <c r="A1115" t="s">
        <v>1</v>
      </c>
      <c r="B1115" s="3">
        <v>41771</v>
      </c>
      <c r="C1115" s="3">
        <v>41771</v>
      </c>
      <c r="D1115" t="s">
        <v>12</v>
      </c>
      <c r="E1115" s="1">
        <v>18.134799999999998</v>
      </c>
      <c r="F1115" s="1">
        <v>0</v>
      </c>
      <c r="G1115" s="1">
        <v>6652.2110000000002</v>
      </c>
      <c r="H1115" s="2">
        <v>0</v>
      </c>
      <c r="I1115" s="2">
        <v>-120703.7</v>
      </c>
      <c r="J1115" s="1">
        <v>10955722.439999999</v>
      </c>
      <c r="K1115" s="1">
        <v>604128.49100000004</v>
      </c>
    </row>
    <row r="1116" spans="1:11">
      <c r="A1116" t="s">
        <v>1</v>
      </c>
      <c r="B1116" s="3">
        <v>41771</v>
      </c>
      <c r="C1116" s="3">
        <v>41771</v>
      </c>
      <c r="D1116" t="s">
        <v>6</v>
      </c>
      <c r="E1116" s="1">
        <v>18.843599999999999</v>
      </c>
      <c r="F1116" s="1">
        <v>5421.7860000000001</v>
      </c>
      <c r="G1116" s="1">
        <v>4553.9719999999998</v>
      </c>
      <c r="H1116" s="2">
        <v>102223.44</v>
      </c>
      <c r="I1116" s="2">
        <v>-85861.5</v>
      </c>
      <c r="J1116" s="1">
        <v>36714945.93</v>
      </c>
      <c r="K1116" s="1">
        <v>1948402.023</v>
      </c>
    </row>
    <row r="1117" spans="1:11">
      <c r="A1117" t="s">
        <v>1</v>
      </c>
      <c r="B1117" s="3">
        <v>41771</v>
      </c>
      <c r="C1117" s="3">
        <v>41771</v>
      </c>
      <c r="D1117" t="s">
        <v>10</v>
      </c>
      <c r="E1117" s="1">
        <v>18.6374</v>
      </c>
      <c r="F1117" s="1">
        <v>250.86099999999999</v>
      </c>
      <c r="G1117" s="1">
        <v>0</v>
      </c>
      <c r="H1117" s="2">
        <v>4692.17</v>
      </c>
      <c r="I1117" s="2">
        <v>0</v>
      </c>
      <c r="J1117" s="1">
        <v>9724872.3900000006</v>
      </c>
      <c r="K1117" s="1">
        <v>521793.158</v>
      </c>
    </row>
    <row r="1118" spans="1:11">
      <c r="A1118" t="s">
        <v>1</v>
      </c>
      <c r="B1118" s="3">
        <v>41771</v>
      </c>
      <c r="C1118" s="3">
        <v>41771</v>
      </c>
      <c r="D1118" t="s">
        <v>5</v>
      </c>
      <c r="E1118" s="1">
        <v>17.5565</v>
      </c>
      <c r="F1118" s="1">
        <v>131968</v>
      </c>
      <c r="G1118" s="1">
        <v>0</v>
      </c>
      <c r="H1118" s="2">
        <v>2317767.1800000002</v>
      </c>
      <c r="I1118" s="2">
        <v>0</v>
      </c>
      <c r="J1118" s="1">
        <v>39272052.350000001</v>
      </c>
      <c r="K1118" s="1">
        <v>2236895.1359999999</v>
      </c>
    </row>
    <row r="1119" spans="1:11">
      <c r="A1119" t="s">
        <v>1</v>
      </c>
      <c r="B1119" s="3">
        <v>41771</v>
      </c>
      <c r="C1119" s="3">
        <v>41771</v>
      </c>
      <c r="D1119" t="s">
        <v>4</v>
      </c>
      <c r="E1119" s="1">
        <v>11.248200000000001</v>
      </c>
      <c r="F1119" s="1">
        <v>1203.954</v>
      </c>
      <c r="G1119" s="1">
        <v>295.88900000000001</v>
      </c>
      <c r="H1119" s="2">
        <v>13548.22</v>
      </c>
      <c r="I1119" s="2">
        <v>-3329.67</v>
      </c>
      <c r="J1119" s="1">
        <v>3307940.06</v>
      </c>
      <c r="K1119" s="1">
        <v>294087.27399999998</v>
      </c>
    </row>
    <row r="1120" spans="1:11">
      <c r="A1120" t="s">
        <v>1</v>
      </c>
      <c r="B1120" s="3">
        <v>41771</v>
      </c>
      <c r="C1120" s="3">
        <v>41771</v>
      </c>
      <c r="D1120" t="s">
        <v>2</v>
      </c>
      <c r="E1120" s="1">
        <v>17.317399999999999</v>
      </c>
      <c r="F1120" s="1">
        <v>12416.735000000001</v>
      </c>
      <c r="G1120" s="1">
        <v>0</v>
      </c>
      <c r="H1120" s="2">
        <v>215104.99</v>
      </c>
      <c r="I1120" s="2">
        <v>0</v>
      </c>
      <c r="J1120" s="1">
        <v>59354440.200000003</v>
      </c>
      <c r="K1120" s="1">
        <v>3427454.4</v>
      </c>
    </row>
    <row r="1121" spans="1:11">
      <c r="A1121" t="s">
        <v>1</v>
      </c>
      <c r="B1121" s="3">
        <v>41771</v>
      </c>
      <c r="C1121" s="3">
        <v>41771</v>
      </c>
      <c r="D1121" t="s">
        <v>0</v>
      </c>
      <c r="E1121" s="1">
        <v>17.110700000000001</v>
      </c>
      <c r="F1121" s="1">
        <v>2047.096</v>
      </c>
      <c r="G1121" s="1">
        <v>1.2929999999999999</v>
      </c>
      <c r="H1121" s="2">
        <v>35039.79</v>
      </c>
      <c r="I1121" s="2">
        <v>-22.13</v>
      </c>
      <c r="J1121" s="1">
        <v>1232319.3999999999</v>
      </c>
      <c r="K1121" s="1">
        <v>72020.491999999998</v>
      </c>
    </row>
    <row r="1122" spans="1:11">
      <c r="A1122" t="s">
        <v>1</v>
      </c>
      <c r="B1122" s="3">
        <v>41772</v>
      </c>
      <c r="C1122" s="3">
        <v>41772</v>
      </c>
      <c r="D1122" t="s">
        <v>8</v>
      </c>
      <c r="E1122" s="1">
        <v>18.5901</v>
      </c>
      <c r="F1122" s="1">
        <v>22.396999999999998</v>
      </c>
      <c r="G1122" s="1">
        <v>0</v>
      </c>
      <c r="H1122" s="2">
        <v>412.71</v>
      </c>
      <c r="I1122" s="2">
        <v>0</v>
      </c>
      <c r="J1122" s="1">
        <v>6261193.3300000001</v>
      </c>
      <c r="K1122" s="1">
        <v>336803.39399999997</v>
      </c>
    </row>
    <row r="1123" spans="1:11">
      <c r="A1123" t="s">
        <v>1</v>
      </c>
      <c r="B1123" s="3">
        <v>41772</v>
      </c>
      <c r="C1123" s="3">
        <v>41772</v>
      </c>
      <c r="D1123" t="s">
        <v>7</v>
      </c>
      <c r="E1123" s="1">
        <v>22.986899999999999</v>
      </c>
      <c r="F1123" s="1">
        <v>53879.582999999999</v>
      </c>
      <c r="G1123" s="1">
        <v>113414.36500000001</v>
      </c>
      <c r="H1123" s="2">
        <v>1227657.06</v>
      </c>
      <c r="I1123" s="2">
        <v>-2584168.9900000002</v>
      </c>
      <c r="J1123" s="1">
        <v>266670004.94</v>
      </c>
      <c r="K1123" s="1">
        <v>11600970.067</v>
      </c>
    </row>
    <row r="1124" spans="1:11">
      <c r="A1124" t="s">
        <v>1</v>
      </c>
      <c r="B1124" s="3">
        <v>41772</v>
      </c>
      <c r="C1124" s="3">
        <v>41772</v>
      </c>
      <c r="D1124" t="s">
        <v>12</v>
      </c>
      <c r="E1124" s="1">
        <v>18.294499999999999</v>
      </c>
      <c r="F1124" s="1">
        <v>0</v>
      </c>
      <c r="G1124" s="1">
        <v>10295.123</v>
      </c>
      <c r="H1124" s="2">
        <v>0</v>
      </c>
      <c r="I1124" s="2">
        <v>-186700</v>
      </c>
      <c r="J1124" s="1">
        <v>10863896.49</v>
      </c>
      <c r="K1124" s="1">
        <v>593833.36800000002</v>
      </c>
    </row>
    <row r="1125" spans="1:11">
      <c r="A1125" t="s">
        <v>1</v>
      </c>
      <c r="B1125" s="3">
        <v>41772</v>
      </c>
      <c r="C1125" s="3">
        <v>41772</v>
      </c>
      <c r="D1125" t="s">
        <v>6</v>
      </c>
      <c r="E1125" s="1">
        <v>19.009599999999999</v>
      </c>
      <c r="F1125" s="1">
        <v>12906.91</v>
      </c>
      <c r="G1125" s="1">
        <v>5.1369999999999996</v>
      </c>
      <c r="H1125" s="2">
        <v>243212.69</v>
      </c>
      <c r="I1125" s="2">
        <v>-96.8</v>
      </c>
      <c r="J1125" s="1">
        <v>37283658.799999997</v>
      </c>
      <c r="K1125" s="1">
        <v>1961303.7960000001</v>
      </c>
    </row>
    <row r="1126" spans="1:11">
      <c r="A1126" t="s">
        <v>1</v>
      </c>
      <c r="B1126" s="3">
        <v>41772</v>
      </c>
      <c r="C1126" s="3">
        <v>41772</v>
      </c>
      <c r="D1126" t="s">
        <v>5</v>
      </c>
      <c r="E1126" s="1">
        <v>17.712299999999999</v>
      </c>
      <c r="F1126" s="1">
        <v>185421</v>
      </c>
      <c r="G1126" s="1">
        <v>0</v>
      </c>
      <c r="H1126" s="2">
        <v>3255343.79</v>
      </c>
      <c r="I1126" s="2">
        <v>0</v>
      </c>
      <c r="J1126" s="1">
        <v>42904679.960000001</v>
      </c>
      <c r="K1126" s="1">
        <v>2422316.1359999999</v>
      </c>
    </row>
    <row r="1127" spans="1:11">
      <c r="A1127" t="s">
        <v>1</v>
      </c>
      <c r="B1127" s="3">
        <v>41772</v>
      </c>
      <c r="C1127" s="3">
        <v>41772</v>
      </c>
      <c r="D1127" t="s">
        <v>4</v>
      </c>
      <c r="E1127" s="1">
        <v>11.3477</v>
      </c>
      <c r="F1127" s="1">
        <v>14194.736000000001</v>
      </c>
      <c r="G1127" s="1">
        <v>4272.3890000000001</v>
      </c>
      <c r="H1127" s="2">
        <v>159665.23000000001</v>
      </c>
      <c r="I1127" s="2">
        <v>-48056.69</v>
      </c>
      <c r="J1127" s="1">
        <v>3449815</v>
      </c>
      <c r="K1127" s="1">
        <v>304009.62099999998</v>
      </c>
    </row>
    <row r="1128" spans="1:11">
      <c r="A1128" t="s">
        <v>1</v>
      </c>
      <c r="B1128" s="3">
        <v>41772</v>
      </c>
      <c r="C1128" s="3">
        <v>41772</v>
      </c>
      <c r="D1128" t="s">
        <v>2</v>
      </c>
      <c r="E1128" s="1">
        <v>17.471</v>
      </c>
      <c r="F1128" s="1">
        <v>6014.8249999999998</v>
      </c>
      <c r="G1128" s="1">
        <v>2450</v>
      </c>
      <c r="H1128" s="2">
        <v>104160.67</v>
      </c>
      <c r="I1128" s="2">
        <v>-42427.43</v>
      </c>
      <c r="J1128" s="1">
        <v>59943286.840000004</v>
      </c>
      <c r="K1128" s="1">
        <v>3431019.2250000001</v>
      </c>
    </row>
    <row r="1129" spans="1:11">
      <c r="A1129" t="s">
        <v>1</v>
      </c>
      <c r="B1129" s="3">
        <v>41772</v>
      </c>
      <c r="C1129" s="3">
        <v>41772</v>
      </c>
      <c r="D1129" t="s">
        <v>9</v>
      </c>
      <c r="E1129" s="1">
        <v>18.6555</v>
      </c>
      <c r="F1129" s="1">
        <v>13.31</v>
      </c>
      <c r="G1129" s="1">
        <v>7.681</v>
      </c>
      <c r="H1129" s="2">
        <v>246.13</v>
      </c>
      <c r="I1129" s="2">
        <v>-142.03</v>
      </c>
      <c r="J1129" s="1">
        <v>1113734.28</v>
      </c>
      <c r="K1129" s="1">
        <v>59699.955000000002</v>
      </c>
    </row>
    <row r="1130" spans="1:11">
      <c r="A1130" t="s">
        <v>1</v>
      </c>
      <c r="B1130" s="3">
        <v>41772</v>
      </c>
      <c r="C1130" s="3">
        <v>41772</v>
      </c>
      <c r="D1130" t="s">
        <v>0</v>
      </c>
      <c r="E1130" s="1">
        <v>17.262499999999999</v>
      </c>
      <c r="F1130" s="1">
        <v>2879.8780000000002</v>
      </c>
      <c r="G1130" s="1">
        <v>39.767000000000003</v>
      </c>
      <c r="H1130" s="2">
        <v>49276.87</v>
      </c>
      <c r="I1130" s="2">
        <v>-680.45</v>
      </c>
      <c r="J1130" s="1">
        <v>1292284.8</v>
      </c>
      <c r="K1130" s="1">
        <v>74860.603000000003</v>
      </c>
    </row>
    <row r="1131" spans="1:11">
      <c r="A1131" t="s">
        <v>1</v>
      </c>
      <c r="B1131" s="3">
        <v>41773</v>
      </c>
      <c r="C1131" s="3">
        <v>41773</v>
      </c>
      <c r="D1131" t="s">
        <v>7</v>
      </c>
      <c r="E1131" s="1">
        <v>22.993200000000002</v>
      </c>
      <c r="F1131" s="1">
        <v>5413.7690000000002</v>
      </c>
      <c r="G1131" s="1">
        <v>9198.0849999999991</v>
      </c>
      <c r="H1131" s="2">
        <v>124445.75999999999</v>
      </c>
      <c r="I1131" s="2">
        <v>-211435.47</v>
      </c>
      <c r="J1131" s="1">
        <v>266655943.53999999</v>
      </c>
      <c r="K1131" s="1">
        <v>11597185.751</v>
      </c>
    </row>
    <row r="1132" spans="1:11">
      <c r="A1132" t="s">
        <v>1</v>
      </c>
      <c r="B1132" s="3">
        <v>41773</v>
      </c>
      <c r="C1132" s="3">
        <v>41773</v>
      </c>
      <c r="D1132" t="s">
        <v>12</v>
      </c>
      <c r="E1132" s="1">
        <v>18.2988</v>
      </c>
      <c r="F1132" s="1">
        <v>0</v>
      </c>
      <c r="G1132" s="1">
        <v>1739.328</v>
      </c>
      <c r="H1132" s="2">
        <v>0</v>
      </c>
      <c r="I1132" s="2">
        <v>-31820.13</v>
      </c>
      <c r="J1132" s="1">
        <v>10834594.52</v>
      </c>
      <c r="K1132" s="1">
        <v>592094.04</v>
      </c>
    </row>
    <row r="1133" spans="1:11">
      <c r="A1133" t="s">
        <v>1</v>
      </c>
      <c r="B1133" s="3">
        <v>41773</v>
      </c>
      <c r="C1133" s="3">
        <v>41773</v>
      </c>
      <c r="D1133" t="s">
        <v>6</v>
      </c>
      <c r="E1133" s="1">
        <v>19.013999999999999</v>
      </c>
      <c r="F1133" s="1">
        <v>10057.26</v>
      </c>
      <c r="G1133" s="1">
        <v>2742.1790000000001</v>
      </c>
      <c r="H1133" s="2">
        <v>191184.48</v>
      </c>
      <c r="I1133" s="2">
        <v>-52127.72</v>
      </c>
      <c r="J1133" s="1">
        <v>37431415.229999997</v>
      </c>
      <c r="K1133" s="1">
        <v>1968618.8770000001</v>
      </c>
    </row>
    <row r="1134" spans="1:11">
      <c r="A1134" t="s">
        <v>1</v>
      </c>
      <c r="B1134" s="3">
        <v>41773</v>
      </c>
      <c r="C1134" s="3">
        <v>41773</v>
      </c>
      <c r="D1134" t="s">
        <v>5</v>
      </c>
      <c r="E1134" s="1">
        <v>17.717500000000001</v>
      </c>
      <c r="F1134" s="1">
        <v>95408</v>
      </c>
      <c r="G1134" s="1">
        <v>0</v>
      </c>
      <c r="H1134" s="2">
        <v>1689895.12</v>
      </c>
      <c r="I1134" s="2">
        <v>0</v>
      </c>
      <c r="J1134" s="1">
        <v>44607691</v>
      </c>
      <c r="K1134" s="1">
        <v>2517724.1359999999</v>
      </c>
    </row>
    <row r="1135" spans="1:11">
      <c r="A1135" t="s">
        <v>1</v>
      </c>
      <c r="B1135" s="3">
        <v>41773</v>
      </c>
      <c r="C1135" s="3">
        <v>41773</v>
      </c>
      <c r="D1135" t="s">
        <v>4</v>
      </c>
      <c r="E1135" s="1">
        <v>11.3508</v>
      </c>
      <c r="F1135" s="1">
        <v>2461.3919999999998</v>
      </c>
      <c r="G1135" s="1">
        <v>0</v>
      </c>
      <c r="H1135" s="2">
        <v>27931.14</v>
      </c>
      <c r="I1135" s="2">
        <v>0</v>
      </c>
      <c r="J1135" s="1">
        <v>3478697.52</v>
      </c>
      <c r="K1135" s="1">
        <v>306471.01299999998</v>
      </c>
    </row>
    <row r="1136" spans="1:11">
      <c r="A1136" t="s">
        <v>1</v>
      </c>
      <c r="B1136" s="3">
        <v>41773</v>
      </c>
      <c r="C1136" s="3">
        <v>41773</v>
      </c>
      <c r="D1136" t="s">
        <v>2</v>
      </c>
      <c r="E1136" s="1">
        <v>17.476099999999999</v>
      </c>
      <c r="F1136" s="1">
        <v>97221.520999999993</v>
      </c>
      <c r="G1136" s="1">
        <v>2088.402</v>
      </c>
      <c r="H1136" s="2">
        <v>1698553</v>
      </c>
      <c r="I1136" s="2">
        <v>-36486.379999999997</v>
      </c>
      <c r="J1136" s="1">
        <v>61623472.509999998</v>
      </c>
      <c r="K1136" s="1">
        <v>3526152.344</v>
      </c>
    </row>
    <row r="1137" spans="1:11">
      <c r="A1137" t="s">
        <v>1</v>
      </c>
      <c r="B1137" s="3">
        <v>41773</v>
      </c>
      <c r="C1137" s="3">
        <v>41773</v>
      </c>
      <c r="D1137" t="s">
        <v>0</v>
      </c>
      <c r="E1137" s="1">
        <v>17.267700000000001</v>
      </c>
      <c r="F1137" s="1">
        <v>1990.027</v>
      </c>
      <c r="G1137" s="1">
        <v>87.561999999999998</v>
      </c>
      <c r="H1137" s="2">
        <v>34352.980000000003</v>
      </c>
      <c r="I1137" s="2">
        <v>-1511.56</v>
      </c>
      <c r="J1137" s="1">
        <v>1325521.3899999999</v>
      </c>
      <c r="K1137" s="1">
        <v>76763.067999999999</v>
      </c>
    </row>
    <row r="1138" spans="1:11">
      <c r="A1138" t="s">
        <v>1</v>
      </c>
      <c r="B1138" s="3">
        <v>41774</v>
      </c>
      <c r="C1138" s="3">
        <v>41774</v>
      </c>
      <c r="D1138" t="s">
        <v>7</v>
      </c>
      <c r="E1138" s="1">
        <v>22.872800000000002</v>
      </c>
      <c r="F1138" s="1">
        <v>10256.396000000001</v>
      </c>
      <c r="G1138" s="1">
        <v>26418.876</v>
      </c>
      <c r="H1138" s="2">
        <v>235827.39</v>
      </c>
      <c r="I1138" s="2">
        <v>-607454.5</v>
      </c>
      <c r="J1138" s="1">
        <v>264890021.44</v>
      </c>
      <c r="K1138" s="1">
        <v>11581023.271</v>
      </c>
    </row>
    <row r="1139" spans="1:11">
      <c r="A1139" t="s">
        <v>1</v>
      </c>
      <c r="B1139" s="3">
        <v>41774</v>
      </c>
      <c r="C1139" s="3">
        <v>41774</v>
      </c>
      <c r="D1139" t="s">
        <v>12</v>
      </c>
      <c r="E1139" s="1">
        <v>18.202200000000001</v>
      </c>
      <c r="F1139" s="1">
        <v>0</v>
      </c>
      <c r="G1139" s="1">
        <v>6594.893</v>
      </c>
      <c r="H1139" s="2">
        <v>0</v>
      </c>
      <c r="I1139" s="2">
        <v>-120678.64</v>
      </c>
      <c r="J1139" s="1">
        <v>10657376.300000001</v>
      </c>
      <c r="K1139" s="1">
        <v>585499.147</v>
      </c>
    </row>
    <row r="1140" spans="1:11">
      <c r="A1140" t="s">
        <v>1</v>
      </c>
      <c r="B1140" s="3">
        <v>41774</v>
      </c>
      <c r="C1140" s="3">
        <v>41774</v>
      </c>
      <c r="D1140" t="s">
        <v>6</v>
      </c>
      <c r="E1140" s="1">
        <v>18.913699999999999</v>
      </c>
      <c r="F1140" s="1">
        <v>42642.19</v>
      </c>
      <c r="G1140" s="1">
        <v>7017.9560000000001</v>
      </c>
      <c r="H1140" s="2">
        <v>810798.62</v>
      </c>
      <c r="I1140" s="2">
        <v>-133439.43</v>
      </c>
      <c r="J1140" s="1">
        <v>37907666.409999996</v>
      </c>
      <c r="K1140" s="1">
        <v>2004243.111</v>
      </c>
    </row>
    <row r="1141" spans="1:11">
      <c r="A1141" t="s">
        <v>1</v>
      </c>
      <c r="B1141" s="3">
        <v>41774</v>
      </c>
      <c r="C1141" s="3">
        <v>41774</v>
      </c>
      <c r="D1141" t="s">
        <v>5</v>
      </c>
      <c r="E1141" s="1">
        <v>17.6251</v>
      </c>
      <c r="F1141" s="1">
        <v>315098</v>
      </c>
      <c r="G1141" s="1">
        <v>5660</v>
      </c>
      <c r="H1141" s="2">
        <v>5582748.8200000003</v>
      </c>
      <c r="I1141" s="2">
        <v>-100281.05</v>
      </c>
      <c r="J1141" s="1">
        <v>49828910.219999999</v>
      </c>
      <c r="K1141" s="1">
        <v>2827162.1359999999</v>
      </c>
    </row>
    <row r="1142" spans="1:11">
      <c r="A1142" t="s">
        <v>1</v>
      </c>
      <c r="B1142" s="3">
        <v>41774</v>
      </c>
      <c r="C1142" s="3">
        <v>41774</v>
      </c>
      <c r="D1142" t="s">
        <v>4</v>
      </c>
      <c r="E1142" s="1">
        <v>11.291399999999999</v>
      </c>
      <c r="F1142" s="1">
        <v>1692.0509999999999</v>
      </c>
      <c r="G1142" s="1">
        <v>201.898</v>
      </c>
      <c r="H1142" s="2">
        <v>19206.13</v>
      </c>
      <c r="I1142" s="2">
        <v>-2291.6999999999998</v>
      </c>
      <c r="J1142" s="1">
        <v>3477308.52</v>
      </c>
      <c r="K1142" s="1">
        <v>307961.16600000003</v>
      </c>
    </row>
    <row r="1143" spans="1:11">
      <c r="A1143" t="s">
        <v>1</v>
      </c>
      <c r="B1143" s="3">
        <v>41774</v>
      </c>
      <c r="C1143" s="3">
        <v>41774</v>
      </c>
      <c r="D1143" t="s">
        <v>2</v>
      </c>
      <c r="E1143" s="1">
        <v>17.385000000000002</v>
      </c>
      <c r="F1143" s="1">
        <v>24709.705000000002</v>
      </c>
      <c r="G1143" s="1">
        <v>1185.403</v>
      </c>
      <c r="H1143" s="2">
        <v>431829.02</v>
      </c>
      <c r="I1143" s="2">
        <v>-20716.22</v>
      </c>
      <c r="J1143" s="1">
        <v>61711039.810000002</v>
      </c>
      <c r="K1143" s="1">
        <v>3549676.6460000002</v>
      </c>
    </row>
    <row r="1144" spans="1:11">
      <c r="A1144" t="s">
        <v>1</v>
      </c>
      <c r="B1144" s="3">
        <v>41774</v>
      </c>
      <c r="C1144" s="3">
        <v>41774</v>
      </c>
      <c r="D1144" t="s">
        <v>9</v>
      </c>
      <c r="E1144" s="1">
        <v>18.563400000000001</v>
      </c>
      <c r="F1144" s="1">
        <v>0</v>
      </c>
      <c r="G1144" s="1">
        <v>840.89</v>
      </c>
      <c r="H1144" s="2">
        <v>0</v>
      </c>
      <c r="I1144" s="2">
        <v>-15691.73</v>
      </c>
      <c r="J1144" s="1">
        <v>1092626.3899999999</v>
      </c>
      <c r="K1144" s="1">
        <v>58859.065000000002</v>
      </c>
    </row>
    <row r="1145" spans="1:11">
      <c r="A1145" t="s">
        <v>1</v>
      </c>
      <c r="B1145" s="3">
        <v>41774</v>
      </c>
      <c r="C1145" s="3">
        <v>41774</v>
      </c>
      <c r="D1145" t="s">
        <v>0</v>
      </c>
      <c r="E1145" s="1">
        <v>17.177700000000002</v>
      </c>
      <c r="F1145" s="1">
        <v>1440.758</v>
      </c>
      <c r="G1145" s="1">
        <v>5.7720000000000002</v>
      </c>
      <c r="H1145" s="2">
        <v>24878.7</v>
      </c>
      <c r="I1145" s="2">
        <v>-99.68</v>
      </c>
      <c r="J1145" s="1">
        <v>1343263.37</v>
      </c>
      <c r="K1145" s="1">
        <v>78198.054000000004</v>
      </c>
    </row>
    <row r="1146" spans="1:11">
      <c r="A1146" t="s">
        <v>1</v>
      </c>
      <c r="B1146" s="3">
        <v>41775</v>
      </c>
      <c r="C1146" s="3">
        <v>41775</v>
      </c>
      <c r="D1146" t="s">
        <v>7</v>
      </c>
      <c r="E1146" s="1">
        <v>22.674099999999999</v>
      </c>
      <c r="F1146" s="1">
        <v>3828.3510000000001</v>
      </c>
      <c r="G1146" s="1">
        <v>4505.567</v>
      </c>
      <c r="H1146" s="2">
        <v>87565.11</v>
      </c>
      <c r="I1146" s="2">
        <v>-103054.96</v>
      </c>
      <c r="J1146" s="1">
        <v>262573848.72</v>
      </c>
      <c r="K1146" s="1">
        <v>11580346.055</v>
      </c>
    </row>
    <row r="1147" spans="1:11">
      <c r="A1147" t="s">
        <v>1</v>
      </c>
      <c r="B1147" s="3">
        <v>41775</v>
      </c>
      <c r="C1147" s="3">
        <v>41775</v>
      </c>
      <c r="D1147" t="s">
        <v>12</v>
      </c>
      <c r="E1147" s="1">
        <v>18.043399999999998</v>
      </c>
      <c r="F1147" s="1">
        <v>4752.1729999999998</v>
      </c>
      <c r="G1147" s="1">
        <v>19618.767</v>
      </c>
      <c r="H1147" s="2">
        <v>86500</v>
      </c>
      <c r="I1147" s="2">
        <v>-357104.72</v>
      </c>
      <c r="J1147" s="1">
        <v>10296125.9</v>
      </c>
      <c r="K1147" s="1">
        <v>570632.55299999996</v>
      </c>
    </row>
    <row r="1148" spans="1:11">
      <c r="A1148" t="s">
        <v>1</v>
      </c>
      <c r="B1148" s="3">
        <v>41775</v>
      </c>
      <c r="C1148" s="3">
        <v>41775</v>
      </c>
      <c r="D1148" t="s">
        <v>6</v>
      </c>
      <c r="E1148" s="1">
        <v>18.7486</v>
      </c>
      <c r="F1148" s="1">
        <v>1781.5139999999999</v>
      </c>
      <c r="G1148" s="1">
        <v>55.64</v>
      </c>
      <c r="H1148" s="2">
        <v>33695.019999999997</v>
      </c>
      <c r="I1148" s="2">
        <v>-1052.3599999999999</v>
      </c>
      <c r="J1148" s="1">
        <v>37609202.840000004</v>
      </c>
      <c r="K1148" s="1">
        <v>2005968.9850000001</v>
      </c>
    </row>
    <row r="1149" spans="1:11">
      <c r="A1149" t="s">
        <v>1</v>
      </c>
      <c r="B1149" s="3">
        <v>41775</v>
      </c>
      <c r="C1149" s="3">
        <v>41775</v>
      </c>
      <c r="D1149" t="s">
        <v>5</v>
      </c>
      <c r="E1149" s="1">
        <v>17.472300000000001</v>
      </c>
      <c r="F1149" s="1">
        <v>0</v>
      </c>
      <c r="G1149" s="1">
        <v>93721</v>
      </c>
      <c r="H1149" s="2">
        <v>0</v>
      </c>
      <c r="I1149" s="2">
        <v>-1651842</v>
      </c>
      <c r="J1149" s="1">
        <v>47759595.32</v>
      </c>
      <c r="K1149" s="1">
        <v>2733441.1359999999</v>
      </c>
    </row>
    <row r="1150" spans="1:11">
      <c r="A1150" t="s">
        <v>1</v>
      </c>
      <c r="B1150" s="3">
        <v>41775</v>
      </c>
      <c r="C1150" s="3">
        <v>41775</v>
      </c>
      <c r="D1150" t="s">
        <v>4</v>
      </c>
      <c r="E1150" s="1">
        <v>11.193300000000001</v>
      </c>
      <c r="F1150" s="1">
        <v>2703.4490000000001</v>
      </c>
      <c r="G1150" s="1">
        <v>10467.092000000001</v>
      </c>
      <c r="H1150" s="2">
        <v>30525.72</v>
      </c>
      <c r="I1150" s="2">
        <v>-118188.13</v>
      </c>
      <c r="J1150" s="1">
        <v>3360203.86</v>
      </c>
      <c r="K1150" s="1">
        <v>300197.52299999999</v>
      </c>
    </row>
    <row r="1151" spans="1:11">
      <c r="A1151" t="s">
        <v>1</v>
      </c>
      <c r="B1151" s="3">
        <v>41775</v>
      </c>
      <c r="C1151" s="3">
        <v>41775</v>
      </c>
      <c r="D1151" t="s">
        <v>3</v>
      </c>
      <c r="E1151" s="1">
        <v>10.845499999999999</v>
      </c>
      <c r="F1151" s="1">
        <v>0</v>
      </c>
      <c r="G1151" s="1">
        <v>1733.0519999999999</v>
      </c>
      <c r="H1151" s="2">
        <v>0</v>
      </c>
      <c r="I1151" s="2">
        <v>-18961.32</v>
      </c>
      <c r="J1151" s="1">
        <v>1947622.83</v>
      </c>
      <c r="K1151" s="1">
        <v>179578.62299999999</v>
      </c>
    </row>
    <row r="1152" spans="1:11">
      <c r="A1152" t="s">
        <v>1</v>
      </c>
      <c r="B1152" s="3">
        <v>41775</v>
      </c>
      <c r="C1152" s="3">
        <v>41775</v>
      </c>
      <c r="D1152" t="s">
        <v>14</v>
      </c>
      <c r="E1152" s="1">
        <v>11.0158</v>
      </c>
      <c r="F1152" s="1">
        <v>204.55799999999999</v>
      </c>
      <c r="G1152" s="1">
        <v>0</v>
      </c>
      <c r="H1152" s="2">
        <v>2273.21</v>
      </c>
      <c r="I1152" s="2">
        <v>0</v>
      </c>
      <c r="J1152" s="1">
        <v>491313.14</v>
      </c>
      <c r="K1152" s="1">
        <v>44600.694000000003</v>
      </c>
    </row>
    <row r="1153" spans="1:11">
      <c r="A1153" t="s">
        <v>1</v>
      </c>
      <c r="B1153" s="3">
        <v>41775</v>
      </c>
      <c r="C1153" s="3">
        <v>41775</v>
      </c>
      <c r="D1153" t="s">
        <v>2</v>
      </c>
      <c r="E1153" s="1">
        <v>17.234300000000001</v>
      </c>
      <c r="F1153" s="1">
        <v>46255.370999999999</v>
      </c>
      <c r="G1153" s="1">
        <v>0</v>
      </c>
      <c r="H1153" s="2">
        <v>804146.84</v>
      </c>
      <c r="I1153" s="2">
        <v>0</v>
      </c>
      <c r="J1153" s="1">
        <v>61973468.390000001</v>
      </c>
      <c r="K1153" s="1">
        <v>3595932.017</v>
      </c>
    </row>
    <row r="1154" spans="1:11">
      <c r="A1154" t="s">
        <v>1</v>
      </c>
      <c r="B1154" s="3">
        <v>41775</v>
      </c>
      <c r="C1154" s="3">
        <v>41775</v>
      </c>
      <c r="D1154" t="s">
        <v>0</v>
      </c>
      <c r="E1154" s="1">
        <v>17.0289</v>
      </c>
      <c r="F1154" s="1">
        <v>1744.9659999999999</v>
      </c>
      <c r="G1154" s="1">
        <v>86.513000000000005</v>
      </c>
      <c r="H1154" s="2">
        <v>29974.51</v>
      </c>
      <c r="I1154" s="2">
        <v>-1486.1</v>
      </c>
      <c r="J1154" s="1">
        <v>1359870.65</v>
      </c>
      <c r="K1154" s="1">
        <v>79856.506999999998</v>
      </c>
    </row>
    <row r="1155" spans="1:11">
      <c r="A1155" t="s">
        <v>1</v>
      </c>
      <c r="B1155" s="3">
        <v>41778</v>
      </c>
      <c r="C1155" s="3">
        <v>41778</v>
      </c>
      <c r="D1155" t="s">
        <v>8</v>
      </c>
      <c r="E1155" s="1">
        <v>18.3584</v>
      </c>
      <c r="F1155" s="1">
        <v>22.402000000000001</v>
      </c>
      <c r="G1155" s="1">
        <v>0</v>
      </c>
      <c r="H1155" s="2">
        <v>410.79</v>
      </c>
      <c r="I1155" s="2">
        <v>0</v>
      </c>
      <c r="J1155" s="1">
        <v>6183589.2599999998</v>
      </c>
      <c r="K1155" s="1">
        <v>336825.79599999997</v>
      </c>
    </row>
    <row r="1156" spans="1:11">
      <c r="A1156" t="s">
        <v>1</v>
      </c>
      <c r="B1156" s="3">
        <v>41778</v>
      </c>
      <c r="C1156" s="3">
        <v>41778</v>
      </c>
      <c r="D1156" t="s">
        <v>7</v>
      </c>
      <c r="E1156" s="1">
        <v>22.700500000000002</v>
      </c>
      <c r="F1156" s="1">
        <v>2494.8110000000001</v>
      </c>
      <c r="G1156" s="1">
        <v>164706.054</v>
      </c>
      <c r="H1156" s="2">
        <v>56567.59</v>
      </c>
      <c r="I1156" s="2">
        <v>-3734561.55</v>
      </c>
      <c r="J1156" s="1">
        <v>259196814.53999999</v>
      </c>
      <c r="K1156" s="1">
        <v>11418134.812000001</v>
      </c>
    </row>
    <row r="1157" spans="1:11">
      <c r="A1157" t="s">
        <v>1</v>
      </c>
      <c r="B1157" s="3">
        <v>41778</v>
      </c>
      <c r="C1157" s="3">
        <v>41778</v>
      </c>
      <c r="D1157" t="s">
        <v>12</v>
      </c>
      <c r="E1157" s="1">
        <v>18.062100000000001</v>
      </c>
      <c r="F1157" s="1">
        <v>0</v>
      </c>
      <c r="G1157" s="1">
        <v>12029.272999999999</v>
      </c>
      <c r="H1157" s="2">
        <v>0</v>
      </c>
      <c r="I1157" s="2">
        <v>-217048.98</v>
      </c>
      <c r="J1157" s="1">
        <v>10089550.960000001</v>
      </c>
      <c r="K1157" s="1">
        <v>558603.28</v>
      </c>
    </row>
    <row r="1158" spans="1:11">
      <c r="A1158" t="s">
        <v>1</v>
      </c>
      <c r="B1158" s="3">
        <v>41778</v>
      </c>
      <c r="C1158" s="3">
        <v>41778</v>
      </c>
      <c r="D1158" t="s">
        <v>6</v>
      </c>
      <c r="E1158" s="1">
        <v>18.7681</v>
      </c>
      <c r="F1158" s="1">
        <v>9385.3690000000006</v>
      </c>
      <c r="G1158" s="1">
        <v>17944.277999999998</v>
      </c>
      <c r="H1158" s="2">
        <v>175962.54</v>
      </c>
      <c r="I1158" s="2">
        <v>-336430.1</v>
      </c>
      <c r="J1158" s="1">
        <v>37487651.520000003</v>
      </c>
      <c r="K1158" s="1">
        <v>1997410.0759999999</v>
      </c>
    </row>
    <row r="1159" spans="1:11">
      <c r="A1159" t="s">
        <v>1</v>
      </c>
      <c r="B1159" s="3">
        <v>41778</v>
      </c>
      <c r="C1159" s="3">
        <v>41778</v>
      </c>
      <c r="D1159" t="s">
        <v>10</v>
      </c>
      <c r="E1159" s="1">
        <v>18.513300000000001</v>
      </c>
      <c r="F1159" s="1">
        <v>0</v>
      </c>
      <c r="G1159" s="1">
        <v>2362.44</v>
      </c>
      <c r="H1159" s="2">
        <v>0</v>
      </c>
      <c r="I1159" s="2">
        <v>-43615.040000000001</v>
      </c>
      <c r="J1159" s="1">
        <v>9616381.3699999992</v>
      </c>
      <c r="K1159" s="1">
        <v>519430.71799999999</v>
      </c>
    </row>
    <row r="1160" spans="1:11">
      <c r="A1160" t="s">
        <v>1</v>
      </c>
      <c r="B1160" s="3">
        <v>41778</v>
      </c>
      <c r="C1160" s="3">
        <v>41778</v>
      </c>
      <c r="D1160" t="s">
        <v>5</v>
      </c>
      <c r="E1160" s="1">
        <v>17.4937</v>
      </c>
      <c r="F1160" s="1">
        <v>0</v>
      </c>
      <c r="G1160" s="1">
        <v>268786</v>
      </c>
      <c r="H1160" s="2">
        <v>0</v>
      </c>
      <c r="I1160" s="2">
        <v>-4696309.63</v>
      </c>
      <c r="J1160" s="1">
        <v>43116000.25</v>
      </c>
      <c r="K1160" s="1">
        <v>2464655.1359999999</v>
      </c>
    </row>
    <row r="1161" spans="1:11">
      <c r="A1161" t="s">
        <v>1</v>
      </c>
      <c r="B1161" s="3">
        <v>41778</v>
      </c>
      <c r="C1161" s="3">
        <v>41778</v>
      </c>
      <c r="D1161" t="s">
        <v>4</v>
      </c>
      <c r="E1161" s="1">
        <v>11.206300000000001</v>
      </c>
      <c r="F1161" s="1">
        <v>4240.3649999999998</v>
      </c>
      <c r="G1161" s="1">
        <v>0</v>
      </c>
      <c r="H1161" s="2">
        <v>47463.68</v>
      </c>
      <c r="I1161" s="2">
        <v>0</v>
      </c>
      <c r="J1161" s="1">
        <v>3411628.89</v>
      </c>
      <c r="K1161" s="1">
        <v>304437.88799999998</v>
      </c>
    </row>
    <row r="1162" spans="1:11">
      <c r="A1162" t="s">
        <v>1</v>
      </c>
      <c r="B1162" s="3">
        <v>41778</v>
      </c>
      <c r="C1162" s="3">
        <v>41778</v>
      </c>
      <c r="D1162" t="s">
        <v>2</v>
      </c>
      <c r="E1162" s="1">
        <v>17.255400000000002</v>
      </c>
      <c r="F1162" s="1">
        <v>3934.6590000000001</v>
      </c>
      <c r="G1162" s="1">
        <v>0</v>
      </c>
      <c r="H1162" s="2">
        <v>67810.84</v>
      </c>
      <c r="I1162" s="2">
        <v>0</v>
      </c>
      <c r="J1162" s="1">
        <v>62117225.090000004</v>
      </c>
      <c r="K1162" s="1">
        <v>3599866.676</v>
      </c>
    </row>
    <row r="1163" spans="1:11">
      <c r="A1163" t="s">
        <v>1</v>
      </c>
      <c r="B1163" s="3">
        <v>41778</v>
      </c>
      <c r="C1163" s="3">
        <v>41778</v>
      </c>
      <c r="D1163" t="s">
        <v>9</v>
      </c>
      <c r="E1163" s="1">
        <v>18.424600000000002</v>
      </c>
      <c r="F1163" s="1">
        <v>0</v>
      </c>
      <c r="G1163" s="1">
        <v>22.236999999999998</v>
      </c>
      <c r="H1163" s="2">
        <v>0</v>
      </c>
      <c r="I1163" s="2">
        <v>-409.22</v>
      </c>
      <c r="J1163" s="1">
        <v>1084044.81</v>
      </c>
      <c r="K1163" s="1">
        <v>58836.828000000001</v>
      </c>
    </row>
    <row r="1164" spans="1:11">
      <c r="A1164" t="s">
        <v>1</v>
      </c>
      <c r="B1164" s="3">
        <v>41778</v>
      </c>
      <c r="C1164" s="3">
        <v>41778</v>
      </c>
      <c r="D1164" t="s">
        <v>0</v>
      </c>
      <c r="E1164" s="1">
        <v>17.05</v>
      </c>
      <c r="F1164" s="1">
        <v>1403.8440000000001</v>
      </c>
      <c r="G1164" s="1">
        <v>34.927999999999997</v>
      </c>
      <c r="H1164" s="2">
        <v>23906</v>
      </c>
      <c r="I1164" s="2">
        <v>-594.78</v>
      </c>
      <c r="J1164" s="1">
        <v>1384892.09</v>
      </c>
      <c r="K1164" s="1">
        <v>81225.422999999995</v>
      </c>
    </row>
    <row r="1165" spans="1:11">
      <c r="A1165" t="s">
        <v>1</v>
      </c>
      <c r="B1165" s="3">
        <v>41779</v>
      </c>
      <c r="C1165" s="3">
        <v>41779</v>
      </c>
      <c r="D1165" t="s">
        <v>8</v>
      </c>
      <c r="E1165" s="1">
        <v>18.428799999999999</v>
      </c>
      <c r="F1165" s="1">
        <v>0</v>
      </c>
      <c r="G1165" s="1">
        <v>1344.729</v>
      </c>
      <c r="H1165" s="2">
        <v>0</v>
      </c>
      <c r="I1165" s="2">
        <v>-24687</v>
      </c>
      <c r="J1165" s="1">
        <v>6182497.9900000002</v>
      </c>
      <c r="K1165" s="1">
        <v>335481.06699999998</v>
      </c>
    </row>
    <row r="1166" spans="1:11">
      <c r="A1166" t="s">
        <v>1</v>
      </c>
      <c r="B1166" s="3">
        <v>41779</v>
      </c>
      <c r="C1166" s="3">
        <v>41779</v>
      </c>
      <c r="D1166" t="s">
        <v>7</v>
      </c>
      <c r="E1166" s="1">
        <v>22.787400000000002</v>
      </c>
      <c r="F1166" s="1">
        <v>32325.47</v>
      </c>
      <c r="G1166" s="1">
        <v>90573.312000000005</v>
      </c>
      <c r="H1166" s="2">
        <v>733804.37</v>
      </c>
      <c r="I1166" s="2">
        <v>-2056059.47</v>
      </c>
      <c r="J1166" s="1">
        <v>258862517.84</v>
      </c>
      <c r="K1166" s="1">
        <v>11359886.970000001</v>
      </c>
    </row>
    <row r="1167" spans="1:11">
      <c r="A1167" t="s">
        <v>1</v>
      </c>
      <c r="B1167" s="3">
        <v>41779</v>
      </c>
      <c r="C1167" s="3">
        <v>41779</v>
      </c>
      <c r="D1167" t="s">
        <v>12</v>
      </c>
      <c r="E1167" s="1">
        <v>18.130600000000001</v>
      </c>
      <c r="F1167" s="1">
        <v>0</v>
      </c>
      <c r="G1167" s="1">
        <v>5428.2420000000002</v>
      </c>
      <c r="H1167" s="2">
        <v>0</v>
      </c>
      <c r="I1167" s="2">
        <v>-98045.45</v>
      </c>
      <c r="J1167" s="1">
        <v>10029373.939999999</v>
      </c>
      <c r="K1167" s="1">
        <v>553175.03799999994</v>
      </c>
    </row>
    <row r="1168" spans="1:11">
      <c r="A1168" t="s">
        <v>1</v>
      </c>
      <c r="B1168" s="3">
        <v>41779</v>
      </c>
      <c r="C1168" s="3">
        <v>41779</v>
      </c>
      <c r="D1168" t="s">
        <v>6</v>
      </c>
      <c r="E1168" s="1">
        <v>18.839300000000001</v>
      </c>
      <c r="F1168" s="1">
        <v>762.96199999999999</v>
      </c>
      <c r="G1168" s="1">
        <v>8448.3140000000003</v>
      </c>
      <c r="H1168" s="2">
        <v>14319.34</v>
      </c>
      <c r="I1168" s="2">
        <v>-158558.79</v>
      </c>
      <c r="J1168" s="1">
        <v>37484945.950000003</v>
      </c>
      <c r="K1168" s="1">
        <v>1989724.7239999999</v>
      </c>
    </row>
    <row r="1169" spans="1:11">
      <c r="A1169" t="s">
        <v>1</v>
      </c>
      <c r="B1169" s="3">
        <v>41779</v>
      </c>
      <c r="C1169" s="3">
        <v>41779</v>
      </c>
      <c r="D1169" t="s">
        <v>10</v>
      </c>
      <c r="E1169" s="1">
        <v>18.5611</v>
      </c>
      <c r="F1169" s="1">
        <v>0</v>
      </c>
      <c r="G1169" s="1">
        <v>9910</v>
      </c>
      <c r="H1169" s="2">
        <v>0</v>
      </c>
      <c r="I1169" s="2">
        <v>-183467.1</v>
      </c>
      <c r="J1169" s="1">
        <v>9457272.1099999994</v>
      </c>
      <c r="K1169" s="1">
        <v>509520.71799999999</v>
      </c>
    </row>
    <row r="1170" spans="1:11">
      <c r="A1170" t="s">
        <v>1</v>
      </c>
      <c r="B1170" s="3">
        <v>41779</v>
      </c>
      <c r="C1170" s="3">
        <v>41779</v>
      </c>
      <c r="D1170" t="s">
        <v>5</v>
      </c>
      <c r="E1170" s="1">
        <v>17.5611</v>
      </c>
      <c r="F1170" s="1">
        <v>0</v>
      </c>
      <c r="G1170" s="1">
        <v>561076</v>
      </c>
      <c r="H1170" s="2">
        <v>0</v>
      </c>
      <c r="I1170" s="2">
        <v>-9815295.2200000007</v>
      </c>
      <c r="J1170" s="1">
        <v>33428969.59</v>
      </c>
      <c r="K1170" s="1">
        <v>1903579.1359999999</v>
      </c>
    </row>
    <row r="1171" spans="1:11">
      <c r="A1171" t="s">
        <v>1</v>
      </c>
      <c r="B1171" s="3">
        <v>41779</v>
      </c>
      <c r="C1171" s="3">
        <v>41779</v>
      </c>
      <c r="D1171" t="s">
        <v>4</v>
      </c>
      <c r="E1171" s="1">
        <v>11.2493</v>
      </c>
      <c r="F1171" s="1">
        <v>2587.83</v>
      </c>
      <c r="G1171" s="1">
        <v>0</v>
      </c>
      <c r="H1171" s="2">
        <v>29000</v>
      </c>
      <c r="I1171" s="2">
        <v>0</v>
      </c>
      <c r="J1171" s="1">
        <v>3453810.49</v>
      </c>
      <c r="K1171" s="1">
        <v>307025.71799999999</v>
      </c>
    </row>
    <row r="1172" spans="1:11">
      <c r="A1172" t="s">
        <v>1</v>
      </c>
      <c r="B1172" s="3">
        <v>41779</v>
      </c>
      <c r="C1172" s="3">
        <v>41779</v>
      </c>
      <c r="D1172" t="s">
        <v>2</v>
      </c>
      <c r="E1172" s="1">
        <v>17.321899999999999</v>
      </c>
      <c r="F1172" s="1">
        <v>1870.998</v>
      </c>
      <c r="G1172" s="1">
        <v>133740</v>
      </c>
      <c r="H1172" s="2">
        <v>32284.95</v>
      </c>
      <c r="I1172" s="2">
        <v>-2307745.42</v>
      </c>
      <c r="J1172" s="1">
        <v>60072257.560000002</v>
      </c>
      <c r="K1172" s="1">
        <v>3467997.6740000001</v>
      </c>
    </row>
    <row r="1173" spans="1:11">
      <c r="A1173" t="s">
        <v>1</v>
      </c>
      <c r="B1173" s="3">
        <v>41779</v>
      </c>
      <c r="C1173" s="3">
        <v>41779</v>
      </c>
      <c r="D1173" t="s">
        <v>9</v>
      </c>
      <c r="E1173" s="1">
        <v>18.4954</v>
      </c>
      <c r="F1173" s="1">
        <v>595.81299999999999</v>
      </c>
      <c r="G1173" s="1">
        <v>9.1929999999999996</v>
      </c>
      <c r="H1173" s="2">
        <v>10977.6</v>
      </c>
      <c r="I1173" s="2">
        <v>-169.37</v>
      </c>
      <c r="J1173" s="1">
        <v>1099062.6200000001</v>
      </c>
      <c r="K1173" s="1">
        <v>59423.447999999997</v>
      </c>
    </row>
    <row r="1174" spans="1:11">
      <c r="A1174" t="s">
        <v>1</v>
      </c>
      <c r="B1174" s="3">
        <v>41779</v>
      </c>
      <c r="C1174" s="3">
        <v>41779</v>
      </c>
      <c r="D1174" t="s">
        <v>0</v>
      </c>
      <c r="E1174" s="1">
        <v>17.1157</v>
      </c>
      <c r="F1174" s="1">
        <v>9349.4650000000001</v>
      </c>
      <c r="G1174" s="1">
        <v>16.096</v>
      </c>
      <c r="H1174" s="2">
        <v>159407.70000000001</v>
      </c>
      <c r="I1174" s="2">
        <v>-274.44</v>
      </c>
      <c r="J1174" s="1">
        <v>1549978.83</v>
      </c>
      <c r="K1174" s="1">
        <v>90558.792000000001</v>
      </c>
    </row>
    <row r="1175" spans="1:11">
      <c r="A1175" t="s">
        <v>1</v>
      </c>
      <c r="B1175" s="3">
        <v>41780</v>
      </c>
      <c r="C1175" s="3">
        <v>41780</v>
      </c>
      <c r="D1175" t="s">
        <v>8</v>
      </c>
      <c r="E1175" s="1">
        <v>18.275600000000001</v>
      </c>
      <c r="F1175" s="1">
        <v>0</v>
      </c>
      <c r="G1175" s="1">
        <v>368.40100000000001</v>
      </c>
      <c r="H1175" s="2">
        <v>0</v>
      </c>
      <c r="I1175" s="2">
        <v>-6789.17</v>
      </c>
      <c r="J1175" s="1">
        <v>6124368.6100000003</v>
      </c>
      <c r="K1175" s="1">
        <v>335112.66600000003</v>
      </c>
    </row>
    <row r="1176" spans="1:11">
      <c r="A1176" t="s">
        <v>1</v>
      </c>
      <c r="B1176" s="3">
        <v>41780</v>
      </c>
      <c r="C1176" s="3">
        <v>41780</v>
      </c>
      <c r="D1176" t="s">
        <v>7</v>
      </c>
      <c r="E1176" s="1">
        <v>22.597999999999999</v>
      </c>
      <c r="F1176" s="1">
        <v>11085.33</v>
      </c>
      <c r="G1176" s="1">
        <v>8517.4969999999994</v>
      </c>
      <c r="H1176" s="2">
        <v>252605.85</v>
      </c>
      <c r="I1176" s="2">
        <v>-194091.6</v>
      </c>
      <c r="J1176" s="1">
        <v>256768556.94</v>
      </c>
      <c r="K1176" s="1">
        <v>11362454.802999999</v>
      </c>
    </row>
    <row r="1177" spans="1:11">
      <c r="A1177" t="s">
        <v>1</v>
      </c>
      <c r="B1177" s="3">
        <v>41780</v>
      </c>
      <c r="C1177" s="3">
        <v>41780</v>
      </c>
      <c r="D1177" t="s">
        <v>12</v>
      </c>
      <c r="E1177" s="1">
        <v>17.979099999999999</v>
      </c>
      <c r="F1177" s="1">
        <v>0</v>
      </c>
      <c r="G1177" s="1">
        <v>2490.8290000000002</v>
      </c>
      <c r="H1177" s="2">
        <v>0</v>
      </c>
      <c r="I1177" s="2">
        <v>-45160.22</v>
      </c>
      <c r="J1177" s="1">
        <v>9900802.1600000001</v>
      </c>
      <c r="K1177" s="1">
        <v>550684.20900000003</v>
      </c>
    </row>
    <row r="1178" spans="1:11">
      <c r="A1178" t="s">
        <v>1</v>
      </c>
      <c r="B1178" s="3">
        <v>41780</v>
      </c>
      <c r="C1178" s="3">
        <v>41780</v>
      </c>
      <c r="D1178" t="s">
        <v>6</v>
      </c>
      <c r="E1178" s="1">
        <v>18.681899999999999</v>
      </c>
      <c r="F1178" s="1">
        <v>2913.6790000000001</v>
      </c>
      <c r="G1178" s="1">
        <v>10684.817999999999</v>
      </c>
      <c r="H1178" s="2">
        <v>54891.67</v>
      </c>
      <c r="I1178" s="2">
        <v>-201294.5</v>
      </c>
      <c r="J1178" s="1">
        <v>37026604.039999999</v>
      </c>
      <c r="K1178" s="1">
        <v>1981953.585</v>
      </c>
    </row>
    <row r="1179" spans="1:11">
      <c r="A1179" t="s">
        <v>1</v>
      </c>
      <c r="B1179" s="3">
        <v>41780</v>
      </c>
      <c r="C1179" s="3">
        <v>41780</v>
      </c>
      <c r="D1179" t="s">
        <v>4</v>
      </c>
      <c r="E1179" s="1">
        <v>11.1557</v>
      </c>
      <c r="F1179" s="1">
        <v>14.738</v>
      </c>
      <c r="G1179" s="1">
        <v>0</v>
      </c>
      <c r="H1179" s="2">
        <v>165.79</v>
      </c>
      <c r="I1179" s="2">
        <v>0</v>
      </c>
      <c r="J1179" s="1">
        <v>3425262.51</v>
      </c>
      <c r="K1179" s="1">
        <v>307040.45600000001</v>
      </c>
    </row>
    <row r="1180" spans="1:11">
      <c r="A1180" t="s">
        <v>1</v>
      </c>
      <c r="B1180" s="3">
        <v>41780</v>
      </c>
      <c r="C1180" s="3">
        <v>41780</v>
      </c>
      <c r="D1180" t="s">
        <v>3</v>
      </c>
      <c r="E1180" s="1">
        <v>10.806900000000001</v>
      </c>
      <c r="F1180" s="1">
        <v>0</v>
      </c>
      <c r="G1180" s="1">
        <v>668.71699999999998</v>
      </c>
      <c r="H1180" s="2">
        <v>0</v>
      </c>
      <c r="I1180" s="2">
        <v>-7287.61</v>
      </c>
      <c r="J1180" s="1">
        <v>1933459.58</v>
      </c>
      <c r="K1180" s="1">
        <v>178909.90599999999</v>
      </c>
    </row>
    <row r="1181" spans="1:11">
      <c r="A1181" t="s">
        <v>1</v>
      </c>
      <c r="B1181" s="3">
        <v>41780</v>
      </c>
      <c r="C1181" s="3">
        <v>41780</v>
      </c>
      <c r="D1181" t="s">
        <v>2</v>
      </c>
      <c r="E1181" s="1">
        <v>17.1782</v>
      </c>
      <c r="F1181" s="1">
        <v>11624.289000000001</v>
      </c>
      <c r="G1181" s="1">
        <v>1202.27</v>
      </c>
      <c r="H1181" s="2">
        <v>201354.57</v>
      </c>
      <c r="I1181" s="2">
        <v>-20825.57</v>
      </c>
      <c r="J1181" s="1">
        <v>59753128.210000001</v>
      </c>
      <c r="K1181" s="1">
        <v>3478419.693</v>
      </c>
    </row>
    <row r="1182" spans="1:11">
      <c r="A1182" t="s">
        <v>1</v>
      </c>
      <c r="B1182" s="3">
        <v>41780</v>
      </c>
      <c r="C1182" s="3">
        <v>41780</v>
      </c>
      <c r="D1182" t="s">
        <v>9</v>
      </c>
      <c r="E1182" s="1">
        <v>18.341899999999999</v>
      </c>
      <c r="F1182" s="1">
        <v>18.18</v>
      </c>
      <c r="G1182" s="1">
        <v>8.9480000000000004</v>
      </c>
      <c r="H1182" s="2">
        <v>336.25</v>
      </c>
      <c r="I1182" s="2">
        <v>-165.49</v>
      </c>
      <c r="J1182" s="1">
        <v>1090110.25</v>
      </c>
      <c r="K1182" s="1">
        <v>59432.68</v>
      </c>
    </row>
    <row r="1183" spans="1:11">
      <c r="A1183" t="s">
        <v>1</v>
      </c>
      <c r="B1183" s="3">
        <v>41780</v>
      </c>
      <c r="C1183" s="3">
        <v>41780</v>
      </c>
      <c r="D1183" t="s">
        <v>0</v>
      </c>
      <c r="E1183" s="1">
        <v>16.9739</v>
      </c>
      <c r="F1183" s="1">
        <v>1934.472</v>
      </c>
      <c r="G1183" s="1">
        <v>102.127</v>
      </c>
      <c r="H1183" s="2">
        <v>33109.949999999997</v>
      </c>
      <c r="I1183" s="2">
        <v>-1747.97</v>
      </c>
      <c r="J1183" s="1">
        <v>1568233.71</v>
      </c>
      <c r="K1183" s="1">
        <v>92391.137000000002</v>
      </c>
    </row>
    <row r="1184" spans="1:11">
      <c r="A1184" t="s">
        <v>1</v>
      </c>
      <c r="B1184" s="3">
        <v>41781</v>
      </c>
      <c r="C1184" s="3">
        <v>41781</v>
      </c>
      <c r="D1184" t="s">
        <v>7</v>
      </c>
      <c r="E1184" s="1">
        <v>22.781700000000001</v>
      </c>
      <c r="F1184" s="1">
        <v>43240.281000000003</v>
      </c>
      <c r="G1184" s="1">
        <v>18845.878000000001</v>
      </c>
      <c r="H1184" s="2">
        <v>977143.86</v>
      </c>
      <c r="I1184" s="2">
        <v>-425879.13</v>
      </c>
      <c r="J1184" s="1">
        <v>259411535.75999999</v>
      </c>
      <c r="K1184" s="1">
        <v>11386849.206</v>
      </c>
    </row>
    <row r="1185" spans="1:11">
      <c r="A1185" t="s">
        <v>1</v>
      </c>
      <c r="B1185" s="3">
        <v>41781</v>
      </c>
      <c r="C1185" s="3">
        <v>41781</v>
      </c>
      <c r="D1185" t="s">
        <v>12</v>
      </c>
      <c r="E1185" s="1">
        <v>18.124500000000001</v>
      </c>
      <c r="F1185" s="1">
        <v>0</v>
      </c>
      <c r="G1185" s="1">
        <v>3449.9960000000001</v>
      </c>
      <c r="H1185" s="2">
        <v>0</v>
      </c>
      <c r="I1185" s="2">
        <v>-62027.83</v>
      </c>
      <c r="J1185" s="1">
        <v>9918347.9199999999</v>
      </c>
      <c r="K1185" s="1">
        <v>547234.21299999999</v>
      </c>
    </row>
    <row r="1186" spans="1:11">
      <c r="A1186" t="s">
        <v>1</v>
      </c>
      <c r="B1186" s="3">
        <v>41781</v>
      </c>
      <c r="C1186" s="3">
        <v>41781</v>
      </c>
      <c r="D1186" t="s">
        <v>6</v>
      </c>
      <c r="E1186" s="1">
        <v>18.832999999999998</v>
      </c>
      <c r="F1186" s="1">
        <v>669.09699999999998</v>
      </c>
      <c r="G1186" s="1">
        <v>2232.7820000000002</v>
      </c>
      <c r="H1186" s="2">
        <v>12500</v>
      </c>
      <c r="I1186" s="2">
        <v>-41712.61</v>
      </c>
      <c r="J1186" s="1">
        <v>37296617.229999997</v>
      </c>
      <c r="K1186" s="1">
        <v>1980389.9</v>
      </c>
    </row>
    <row r="1187" spans="1:11">
      <c r="A1187" t="s">
        <v>1</v>
      </c>
      <c r="B1187" s="3">
        <v>41781</v>
      </c>
      <c r="C1187" s="3">
        <v>41781</v>
      </c>
      <c r="D1187" t="s">
        <v>5</v>
      </c>
      <c r="E1187" s="1">
        <v>17.557400000000001</v>
      </c>
      <c r="F1187" s="1">
        <v>695521</v>
      </c>
      <c r="G1187" s="1">
        <v>108751</v>
      </c>
      <c r="H1187" s="2">
        <v>12112845.98</v>
      </c>
      <c r="I1187" s="2">
        <v>-1893953.04</v>
      </c>
      <c r="J1187" s="1">
        <v>43724090.710000001</v>
      </c>
      <c r="K1187" s="1">
        <v>2490349.1359999999</v>
      </c>
    </row>
    <row r="1188" spans="1:11">
      <c r="A1188" t="s">
        <v>1</v>
      </c>
      <c r="B1188" s="3">
        <v>41781</v>
      </c>
      <c r="C1188" s="3">
        <v>41781</v>
      </c>
      <c r="D1188" t="s">
        <v>4</v>
      </c>
      <c r="E1188" s="1">
        <v>11.2464</v>
      </c>
      <c r="F1188" s="1">
        <v>520.04200000000003</v>
      </c>
      <c r="G1188" s="1">
        <v>0</v>
      </c>
      <c r="H1188" s="2">
        <v>5801.43</v>
      </c>
      <c r="I1188" s="2">
        <v>0</v>
      </c>
      <c r="J1188" s="1">
        <v>3458954.56</v>
      </c>
      <c r="K1188" s="1">
        <v>307560.49800000002</v>
      </c>
    </row>
    <row r="1189" spans="1:11">
      <c r="A1189" t="s">
        <v>1</v>
      </c>
      <c r="B1189" s="3">
        <v>41781</v>
      </c>
      <c r="C1189" s="3">
        <v>41781</v>
      </c>
      <c r="D1189" t="s">
        <v>2</v>
      </c>
      <c r="E1189" s="1">
        <v>17.318200000000001</v>
      </c>
      <c r="F1189" s="1">
        <v>10865.806</v>
      </c>
      <c r="G1189" s="1">
        <v>2431.7139999999999</v>
      </c>
      <c r="H1189" s="2">
        <v>186654.42</v>
      </c>
      <c r="I1189" s="2">
        <v>-41772.339999999997</v>
      </c>
      <c r="J1189" s="1">
        <v>60386142.969999999</v>
      </c>
      <c r="K1189" s="1">
        <v>3486853.7850000001</v>
      </c>
    </row>
    <row r="1190" spans="1:11">
      <c r="A1190" t="s">
        <v>1</v>
      </c>
      <c r="B1190" s="3">
        <v>41781</v>
      </c>
      <c r="C1190" s="3">
        <v>41781</v>
      </c>
      <c r="D1190" t="s">
        <v>0</v>
      </c>
      <c r="E1190" s="1">
        <v>17.112300000000001</v>
      </c>
      <c r="F1190" s="1">
        <v>3113.6709999999998</v>
      </c>
      <c r="G1190" s="1">
        <v>0</v>
      </c>
      <c r="H1190" s="2">
        <v>52851.25</v>
      </c>
      <c r="I1190" s="2">
        <v>0</v>
      </c>
      <c r="J1190" s="1">
        <v>1634302.49</v>
      </c>
      <c r="K1190" s="1">
        <v>95504.808000000005</v>
      </c>
    </row>
    <row r="1191" spans="1:11">
      <c r="A1191" t="s">
        <v>1</v>
      </c>
      <c r="B1191" s="3">
        <v>41782</v>
      </c>
      <c r="C1191" s="3">
        <v>41782</v>
      </c>
      <c r="D1191" t="s">
        <v>7</v>
      </c>
      <c r="E1191" s="1">
        <v>22.832699999999999</v>
      </c>
      <c r="F1191" s="1">
        <v>8135.62</v>
      </c>
      <c r="G1191" s="1">
        <v>20885.530999999999</v>
      </c>
      <c r="H1191" s="2">
        <v>185343.26</v>
      </c>
      <c r="I1191" s="2">
        <v>-475807.9</v>
      </c>
      <c r="J1191" s="1">
        <v>259700893.30000001</v>
      </c>
      <c r="K1191" s="1">
        <v>11374099.295</v>
      </c>
    </row>
    <row r="1192" spans="1:11">
      <c r="A1192" t="s">
        <v>1</v>
      </c>
      <c r="B1192" s="3">
        <v>41782</v>
      </c>
      <c r="C1192" s="3">
        <v>41782</v>
      </c>
      <c r="D1192" t="s">
        <v>12</v>
      </c>
      <c r="E1192" s="1">
        <v>18.164300000000001</v>
      </c>
      <c r="F1192" s="1">
        <v>6256.6559999999999</v>
      </c>
      <c r="G1192" s="1">
        <v>455.05399999999997</v>
      </c>
      <c r="H1192" s="2">
        <v>113398.77</v>
      </c>
      <c r="I1192" s="2">
        <v>-8247.6299999999992</v>
      </c>
      <c r="J1192" s="1">
        <v>10045516.210000001</v>
      </c>
      <c r="K1192" s="1">
        <v>553035.81499999994</v>
      </c>
    </row>
    <row r="1193" spans="1:11">
      <c r="A1193" t="s">
        <v>1</v>
      </c>
      <c r="B1193" s="3">
        <v>41782</v>
      </c>
      <c r="C1193" s="3">
        <v>41782</v>
      </c>
      <c r="D1193" t="s">
        <v>6</v>
      </c>
      <c r="E1193" s="1">
        <v>18.874300000000002</v>
      </c>
      <c r="F1193" s="1">
        <v>17578</v>
      </c>
      <c r="G1193" s="1">
        <v>38594.258999999998</v>
      </c>
      <c r="H1193" s="2">
        <v>331046.45</v>
      </c>
      <c r="I1193" s="2">
        <v>-726845.66</v>
      </c>
      <c r="J1193" s="1">
        <v>36981872.640000001</v>
      </c>
      <c r="K1193" s="1">
        <v>1959373.6410000001</v>
      </c>
    </row>
    <row r="1194" spans="1:11">
      <c r="A1194" t="s">
        <v>1</v>
      </c>
      <c r="B1194" s="3">
        <v>41782</v>
      </c>
      <c r="C1194" s="3">
        <v>41782</v>
      </c>
      <c r="D1194" t="s">
        <v>4</v>
      </c>
      <c r="E1194" s="1">
        <v>11.271599999999999</v>
      </c>
      <c r="F1194" s="1">
        <v>103.084</v>
      </c>
      <c r="G1194" s="1">
        <v>0</v>
      </c>
      <c r="H1194" s="2">
        <v>1159.32</v>
      </c>
      <c r="I1194" s="2">
        <v>0</v>
      </c>
      <c r="J1194" s="1">
        <v>3467856.41</v>
      </c>
      <c r="K1194" s="1">
        <v>307663.58199999999</v>
      </c>
    </row>
    <row r="1195" spans="1:11">
      <c r="A1195" t="s">
        <v>1</v>
      </c>
      <c r="B1195" s="3">
        <v>41782</v>
      </c>
      <c r="C1195" s="3">
        <v>41782</v>
      </c>
      <c r="D1195" t="s">
        <v>2</v>
      </c>
      <c r="E1195" s="1">
        <v>17.357299999999999</v>
      </c>
      <c r="F1195" s="1">
        <v>17739.252</v>
      </c>
      <c r="G1195" s="1">
        <v>0</v>
      </c>
      <c r="H1195" s="2">
        <v>307211.51</v>
      </c>
      <c r="I1195" s="2">
        <v>0</v>
      </c>
      <c r="J1195" s="1">
        <v>60830412.049999997</v>
      </c>
      <c r="K1195" s="1">
        <v>3504593.037</v>
      </c>
    </row>
    <row r="1196" spans="1:11">
      <c r="A1196" t="s">
        <v>1</v>
      </c>
      <c r="B1196" s="3">
        <v>41782</v>
      </c>
      <c r="C1196" s="3">
        <v>41782</v>
      </c>
      <c r="D1196" t="s">
        <v>9</v>
      </c>
      <c r="E1196" s="1">
        <v>18.532900000000001</v>
      </c>
      <c r="F1196" s="1">
        <v>0</v>
      </c>
      <c r="G1196" s="1">
        <v>16.548999999999999</v>
      </c>
      <c r="H1196" s="2">
        <v>0</v>
      </c>
      <c r="I1196" s="2">
        <v>-306.02</v>
      </c>
      <c r="J1196" s="1">
        <v>1101154.03</v>
      </c>
      <c r="K1196" s="1">
        <v>59416.131000000001</v>
      </c>
    </row>
    <row r="1197" spans="1:11">
      <c r="A1197" t="s">
        <v>1</v>
      </c>
      <c r="B1197" s="3">
        <v>41782</v>
      </c>
      <c r="C1197" s="3">
        <v>41782</v>
      </c>
      <c r="D1197" t="s">
        <v>0</v>
      </c>
      <c r="E1197" s="1">
        <v>17.151</v>
      </c>
      <c r="F1197" s="1">
        <v>1390.704</v>
      </c>
      <c r="G1197" s="1">
        <v>12.9</v>
      </c>
      <c r="H1197" s="2">
        <v>23798.06</v>
      </c>
      <c r="I1197" s="2">
        <v>-220.74</v>
      </c>
      <c r="J1197" s="1">
        <v>1661630.44</v>
      </c>
      <c r="K1197" s="1">
        <v>96882.611999999994</v>
      </c>
    </row>
    <row r="1198" spans="1:11">
      <c r="A1198" t="s">
        <v>1</v>
      </c>
      <c r="B1198" s="3">
        <v>41786</v>
      </c>
      <c r="C1198" s="3">
        <v>41786</v>
      </c>
      <c r="D1198" t="s">
        <v>7</v>
      </c>
      <c r="E1198" s="1">
        <v>22.8813</v>
      </c>
      <c r="F1198" s="1">
        <v>11539.343000000001</v>
      </c>
      <c r="G1198" s="1">
        <v>3391.107</v>
      </c>
      <c r="H1198" s="2">
        <v>263474.34000000003</v>
      </c>
      <c r="I1198" s="2">
        <v>-77428.12</v>
      </c>
      <c r="J1198" s="1">
        <v>260440869.30000001</v>
      </c>
      <c r="K1198" s="1">
        <v>11382247.530999999</v>
      </c>
    </row>
    <row r="1199" spans="1:11">
      <c r="A1199" t="s">
        <v>1</v>
      </c>
      <c r="B1199" s="3">
        <v>41786</v>
      </c>
      <c r="C1199" s="3">
        <v>41786</v>
      </c>
      <c r="D1199" t="s">
        <v>6</v>
      </c>
      <c r="E1199" s="1">
        <v>18.9115</v>
      </c>
      <c r="F1199" s="1">
        <v>11130.592000000001</v>
      </c>
      <c r="G1199" s="1">
        <v>10813.843999999999</v>
      </c>
      <c r="H1199" s="2">
        <v>210082.15</v>
      </c>
      <c r="I1199" s="2">
        <v>-204103.73</v>
      </c>
      <c r="J1199" s="1">
        <v>37060607.719999999</v>
      </c>
      <c r="K1199" s="1">
        <v>1959690.389</v>
      </c>
    </row>
    <row r="1200" spans="1:11">
      <c r="A1200" t="s">
        <v>1</v>
      </c>
      <c r="B1200" s="3">
        <v>41786</v>
      </c>
      <c r="C1200" s="3">
        <v>41786</v>
      </c>
      <c r="D1200" t="s">
        <v>10</v>
      </c>
      <c r="E1200" s="1">
        <v>18.5672</v>
      </c>
      <c r="F1200" s="1">
        <v>0</v>
      </c>
      <c r="G1200" s="1">
        <v>2030</v>
      </c>
      <c r="H1200" s="2">
        <v>0</v>
      </c>
      <c r="I1200" s="2">
        <v>-37530.78</v>
      </c>
      <c r="J1200" s="1">
        <v>9422674.6300000008</v>
      </c>
      <c r="K1200" s="1">
        <v>507490.71799999999</v>
      </c>
    </row>
    <row r="1201" spans="1:11">
      <c r="A1201" t="s">
        <v>1</v>
      </c>
      <c r="B1201" s="3">
        <v>41786</v>
      </c>
      <c r="C1201" s="3">
        <v>41786</v>
      </c>
      <c r="D1201" t="s">
        <v>4</v>
      </c>
      <c r="E1201" s="1">
        <v>11.2956</v>
      </c>
      <c r="F1201" s="1">
        <v>8.8550000000000004</v>
      </c>
      <c r="G1201" s="1">
        <v>0</v>
      </c>
      <c r="H1201" s="2">
        <v>99.81</v>
      </c>
      <c r="I1201" s="2">
        <v>0</v>
      </c>
      <c r="J1201" s="1">
        <v>3475347.89</v>
      </c>
      <c r="K1201" s="1">
        <v>307672.43699999998</v>
      </c>
    </row>
    <row r="1202" spans="1:11">
      <c r="A1202" t="s">
        <v>1</v>
      </c>
      <c r="B1202" s="3">
        <v>41786</v>
      </c>
      <c r="C1202" s="3">
        <v>41786</v>
      </c>
      <c r="D1202" t="s">
        <v>2</v>
      </c>
      <c r="E1202" s="1">
        <v>17.395800000000001</v>
      </c>
      <c r="F1202" s="1">
        <v>12169.993</v>
      </c>
      <c r="G1202" s="1">
        <v>575</v>
      </c>
      <c r="H1202" s="2">
        <v>211237.65</v>
      </c>
      <c r="I1202" s="2">
        <v>-9980.42</v>
      </c>
      <c r="J1202" s="1">
        <v>61166770.060000002</v>
      </c>
      <c r="K1202" s="1">
        <v>3516188.03</v>
      </c>
    </row>
    <row r="1203" spans="1:11">
      <c r="A1203" t="s">
        <v>1</v>
      </c>
      <c r="B1203" s="3">
        <v>41786</v>
      </c>
      <c r="C1203" s="3">
        <v>41786</v>
      </c>
      <c r="D1203" t="s">
        <v>0</v>
      </c>
      <c r="E1203" s="1">
        <v>17.1892</v>
      </c>
      <c r="F1203" s="1">
        <v>2282.5129999999999</v>
      </c>
      <c r="G1203" s="1">
        <v>252.24299999999999</v>
      </c>
      <c r="H1203" s="2">
        <v>39147.4</v>
      </c>
      <c r="I1203" s="2">
        <v>-4326.22</v>
      </c>
      <c r="J1203" s="1">
        <v>1700234.79</v>
      </c>
      <c r="K1203" s="1">
        <v>98912.881999999998</v>
      </c>
    </row>
    <row r="1204" spans="1:11">
      <c r="A1204" t="s">
        <v>1</v>
      </c>
      <c r="B1204" s="3">
        <v>41787</v>
      </c>
      <c r="C1204" s="3">
        <v>41787</v>
      </c>
      <c r="D1204" t="s">
        <v>8</v>
      </c>
      <c r="E1204" s="1">
        <v>18.599900000000002</v>
      </c>
      <c r="F1204" s="1">
        <v>0</v>
      </c>
      <c r="G1204" s="1">
        <v>839.45500000000004</v>
      </c>
      <c r="H1204" s="2">
        <v>0</v>
      </c>
      <c r="I1204" s="2">
        <v>-15533.83</v>
      </c>
      <c r="J1204" s="1">
        <v>6217457.7300000004</v>
      </c>
      <c r="K1204" s="1">
        <v>334273.21100000001</v>
      </c>
    </row>
    <row r="1205" spans="1:11">
      <c r="A1205" t="s">
        <v>1</v>
      </c>
      <c r="B1205" s="3">
        <v>41787</v>
      </c>
      <c r="C1205" s="3">
        <v>41787</v>
      </c>
      <c r="D1205" t="s">
        <v>7</v>
      </c>
      <c r="E1205" s="1">
        <v>22.999099999999999</v>
      </c>
      <c r="F1205" s="1">
        <v>203449.28</v>
      </c>
      <c r="G1205" s="1">
        <v>3720.7150000000001</v>
      </c>
      <c r="H1205" s="2">
        <v>4655183.99</v>
      </c>
      <c r="I1205" s="2">
        <v>-85134.8</v>
      </c>
      <c r="J1205" s="1">
        <v>266374788.56999999</v>
      </c>
      <c r="K1205" s="1">
        <v>11581976.096000001</v>
      </c>
    </row>
    <row r="1206" spans="1:11">
      <c r="A1206" t="s">
        <v>1</v>
      </c>
      <c r="B1206" s="3">
        <v>41787</v>
      </c>
      <c r="C1206" s="3">
        <v>41787</v>
      </c>
      <c r="D1206" t="s">
        <v>12</v>
      </c>
      <c r="E1206" s="1">
        <v>18.292999999999999</v>
      </c>
      <c r="F1206" s="1">
        <v>16858.433000000001</v>
      </c>
      <c r="G1206" s="1">
        <v>2860.7420000000002</v>
      </c>
      <c r="H1206" s="2">
        <v>306823.46000000002</v>
      </c>
      <c r="I1206" s="2">
        <v>-52065.5</v>
      </c>
      <c r="J1206" s="1">
        <v>10372721.74</v>
      </c>
      <c r="K1206" s="1">
        <v>567033.50600000005</v>
      </c>
    </row>
    <row r="1207" spans="1:11">
      <c r="A1207" t="s">
        <v>1</v>
      </c>
      <c r="B1207" s="3">
        <v>41787</v>
      </c>
      <c r="C1207" s="3">
        <v>41787</v>
      </c>
      <c r="D1207" t="s">
        <v>6</v>
      </c>
      <c r="E1207" s="1">
        <v>19.007999999999999</v>
      </c>
      <c r="F1207" s="1">
        <v>12945.974</v>
      </c>
      <c r="G1207" s="1">
        <v>11712.050999999999</v>
      </c>
      <c r="H1207" s="2">
        <v>244827.81</v>
      </c>
      <c r="I1207" s="2">
        <v>-221492.44</v>
      </c>
      <c r="J1207" s="1">
        <v>37273270.399999999</v>
      </c>
      <c r="K1207" s="1">
        <v>1960924.3119999999</v>
      </c>
    </row>
    <row r="1208" spans="1:11">
      <c r="A1208" t="s">
        <v>1</v>
      </c>
      <c r="B1208" s="3">
        <v>41787</v>
      </c>
      <c r="C1208" s="3">
        <v>41787</v>
      </c>
      <c r="D1208" t="s">
        <v>10</v>
      </c>
      <c r="E1208" s="1">
        <v>18.625</v>
      </c>
      <c r="F1208" s="1">
        <v>14750</v>
      </c>
      <c r="G1208" s="1">
        <v>12516.261</v>
      </c>
      <c r="H1208" s="2">
        <v>273865.57</v>
      </c>
      <c r="I1208" s="2">
        <v>-232391.38</v>
      </c>
      <c r="J1208" s="1">
        <v>9493599.4900000002</v>
      </c>
      <c r="K1208" s="1">
        <v>509724.45699999999</v>
      </c>
    </row>
    <row r="1209" spans="1:11">
      <c r="A1209" t="s">
        <v>1</v>
      </c>
      <c r="B1209" s="3">
        <v>41787</v>
      </c>
      <c r="C1209" s="3">
        <v>41787</v>
      </c>
      <c r="D1209" t="s">
        <v>5</v>
      </c>
      <c r="E1209" s="1">
        <v>17.7271</v>
      </c>
      <c r="F1209" s="1">
        <v>203535</v>
      </c>
      <c r="G1209" s="1">
        <v>120622</v>
      </c>
      <c r="H1209" s="2">
        <v>3589543.26</v>
      </c>
      <c r="I1209" s="2">
        <v>-2127289.59</v>
      </c>
      <c r="J1209" s="1">
        <v>45616578.920000002</v>
      </c>
      <c r="K1209" s="1">
        <v>2573262.1359999999</v>
      </c>
    </row>
    <row r="1210" spans="1:11">
      <c r="A1210" t="s">
        <v>1</v>
      </c>
      <c r="B1210" s="3">
        <v>41787</v>
      </c>
      <c r="C1210" s="3">
        <v>41787</v>
      </c>
      <c r="D1210" t="s">
        <v>4</v>
      </c>
      <c r="E1210" s="1">
        <v>11.3537</v>
      </c>
      <c r="F1210" s="1">
        <v>1191.4570000000001</v>
      </c>
      <c r="G1210" s="1">
        <v>2869.518</v>
      </c>
      <c r="H1210" s="2">
        <v>13458.22</v>
      </c>
      <c r="I1210" s="2">
        <v>-32412.94</v>
      </c>
      <c r="J1210" s="1">
        <v>3474181.41</v>
      </c>
      <c r="K1210" s="1">
        <v>305994.37599999999</v>
      </c>
    </row>
    <row r="1211" spans="1:11">
      <c r="A1211" t="s">
        <v>1</v>
      </c>
      <c r="B1211" s="3">
        <v>41787</v>
      </c>
      <c r="C1211" s="3">
        <v>41787</v>
      </c>
      <c r="D1211" t="s">
        <v>2</v>
      </c>
      <c r="E1211" s="1">
        <v>17.485600000000002</v>
      </c>
      <c r="F1211" s="1">
        <v>4625.5010000000002</v>
      </c>
      <c r="G1211" s="1">
        <v>0</v>
      </c>
      <c r="H1211" s="2">
        <v>80464.41</v>
      </c>
      <c r="I1211" s="2">
        <v>0</v>
      </c>
      <c r="J1211" s="1">
        <v>61563699.850000001</v>
      </c>
      <c r="K1211" s="1">
        <v>3520813.531</v>
      </c>
    </row>
    <row r="1212" spans="1:11">
      <c r="A1212" t="s">
        <v>1</v>
      </c>
      <c r="B1212" s="3">
        <v>41787</v>
      </c>
      <c r="C1212" s="3">
        <v>41787</v>
      </c>
      <c r="D1212" t="s">
        <v>0</v>
      </c>
      <c r="E1212" s="1">
        <v>17.278099999999998</v>
      </c>
      <c r="F1212" s="1">
        <v>3002.8240000000001</v>
      </c>
      <c r="G1212" s="1">
        <v>32.04</v>
      </c>
      <c r="H1212" s="2">
        <v>51616.26</v>
      </c>
      <c r="I1212" s="2">
        <v>-550.73</v>
      </c>
      <c r="J1212" s="1">
        <v>1760356.51</v>
      </c>
      <c r="K1212" s="1">
        <v>101883.666</v>
      </c>
    </row>
    <row r="1213" spans="1:11">
      <c r="A1213" t="s">
        <v>1</v>
      </c>
      <c r="B1213" s="3">
        <v>41788</v>
      </c>
      <c r="C1213" s="3">
        <v>41788</v>
      </c>
      <c r="D1213" t="s">
        <v>8</v>
      </c>
      <c r="E1213" s="1">
        <v>18.6066</v>
      </c>
      <c r="F1213" s="1">
        <v>0</v>
      </c>
      <c r="G1213" s="1">
        <v>219.68700000000001</v>
      </c>
      <c r="H1213" s="2">
        <v>0</v>
      </c>
      <c r="I1213" s="2">
        <v>-4086.15</v>
      </c>
      <c r="J1213" s="1">
        <v>6215601.4299999997</v>
      </c>
      <c r="K1213" s="1">
        <v>334053.52399999998</v>
      </c>
    </row>
    <row r="1214" spans="1:11">
      <c r="A1214" t="s">
        <v>1</v>
      </c>
      <c r="B1214" s="3">
        <v>41788</v>
      </c>
      <c r="C1214" s="3">
        <v>41788</v>
      </c>
      <c r="D1214" t="s">
        <v>7</v>
      </c>
      <c r="E1214" s="1">
        <v>23.007300000000001</v>
      </c>
      <c r="F1214" s="1">
        <v>19895.491000000002</v>
      </c>
      <c r="G1214" s="1">
        <v>40915.582000000002</v>
      </c>
      <c r="H1214" s="2">
        <v>457578.39</v>
      </c>
      <c r="I1214" s="2">
        <v>-941021.55</v>
      </c>
      <c r="J1214" s="1">
        <v>265986768.03</v>
      </c>
      <c r="K1214" s="1">
        <v>11560956.005000001</v>
      </c>
    </row>
    <row r="1215" spans="1:11">
      <c r="A1215" t="s">
        <v>1</v>
      </c>
      <c r="B1215" s="3">
        <v>41788</v>
      </c>
      <c r="C1215" s="3">
        <v>41788</v>
      </c>
      <c r="D1215" t="s">
        <v>12</v>
      </c>
      <c r="E1215" s="1">
        <v>18.2988</v>
      </c>
      <c r="F1215" s="1">
        <v>0</v>
      </c>
      <c r="G1215" s="1">
        <v>2210.4560000000001</v>
      </c>
      <c r="H1215" s="2">
        <v>0</v>
      </c>
      <c r="I1215" s="2">
        <v>-40435.870000000003</v>
      </c>
      <c r="J1215" s="1">
        <v>10335569.310000001</v>
      </c>
      <c r="K1215" s="1">
        <v>564823.05000000005</v>
      </c>
    </row>
    <row r="1216" spans="1:11">
      <c r="A1216" t="s">
        <v>1</v>
      </c>
      <c r="B1216" s="3">
        <v>41788</v>
      </c>
      <c r="C1216" s="3">
        <v>41788</v>
      </c>
      <c r="D1216" t="s">
        <v>6</v>
      </c>
      <c r="E1216" s="1">
        <v>19.014099999999999</v>
      </c>
      <c r="F1216" s="1">
        <v>659.60199999999998</v>
      </c>
      <c r="G1216" s="1">
        <v>9381.6779999999999</v>
      </c>
      <c r="H1216" s="2">
        <v>12537.69</v>
      </c>
      <c r="I1216" s="2">
        <v>-178326.93</v>
      </c>
      <c r="J1216" s="1">
        <v>37119273.280000001</v>
      </c>
      <c r="K1216" s="1">
        <v>1952202.236</v>
      </c>
    </row>
    <row r="1217" spans="1:11">
      <c r="A1217" t="s">
        <v>1</v>
      </c>
      <c r="B1217" s="3">
        <v>41788</v>
      </c>
      <c r="C1217" s="3">
        <v>41788</v>
      </c>
      <c r="D1217" t="s">
        <v>5</v>
      </c>
      <c r="E1217" s="1">
        <v>17.733899999999998</v>
      </c>
      <c r="F1217" s="1">
        <v>37874</v>
      </c>
      <c r="G1217" s="1">
        <v>0</v>
      </c>
      <c r="H1217" s="2">
        <v>671396.19</v>
      </c>
      <c r="I1217" s="2">
        <v>0</v>
      </c>
      <c r="J1217" s="1">
        <v>46305538</v>
      </c>
      <c r="K1217" s="1">
        <v>2611136.1359999999</v>
      </c>
    </row>
    <row r="1218" spans="1:11">
      <c r="A1218" t="s">
        <v>1</v>
      </c>
      <c r="B1218" s="3">
        <v>41788</v>
      </c>
      <c r="C1218" s="3">
        <v>41788</v>
      </c>
      <c r="D1218" t="s">
        <v>4</v>
      </c>
      <c r="E1218" s="1">
        <v>11.357799999999999</v>
      </c>
      <c r="F1218" s="1">
        <v>78.914000000000001</v>
      </c>
      <c r="G1218" s="1">
        <v>0</v>
      </c>
      <c r="H1218" s="2">
        <v>895.97</v>
      </c>
      <c r="I1218" s="2">
        <v>0</v>
      </c>
      <c r="J1218" s="1">
        <v>3476324.53</v>
      </c>
      <c r="K1218" s="1">
        <v>306073.28999999998</v>
      </c>
    </row>
    <row r="1219" spans="1:11">
      <c r="A1219" t="s">
        <v>1</v>
      </c>
      <c r="B1219" s="3">
        <v>41788</v>
      </c>
      <c r="C1219" s="3">
        <v>41788</v>
      </c>
      <c r="D1219" t="s">
        <v>3</v>
      </c>
      <c r="E1219" s="1">
        <v>10.999000000000001</v>
      </c>
      <c r="F1219" s="1">
        <v>0</v>
      </c>
      <c r="G1219" s="1">
        <v>786.21100000000001</v>
      </c>
      <c r="H1219" s="2">
        <v>0</v>
      </c>
      <c r="I1219" s="2">
        <v>-8644.86</v>
      </c>
      <c r="J1219" s="1">
        <v>1959190.52</v>
      </c>
      <c r="K1219" s="1">
        <v>178123.69500000001</v>
      </c>
    </row>
    <row r="1220" spans="1:11">
      <c r="A1220" t="s">
        <v>1</v>
      </c>
      <c r="B1220" s="3">
        <v>41788</v>
      </c>
      <c r="C1220" s="3">
        <v>41788</v>
      </c>
      <c r="D1220" t="s">
        <v>2</v>
      </c>
      <c r="E1220" s="1">
        <v>17.4923</v>
      </c>
      <c r="F1220" s="1">
        <v>12720.972</v>
      </c>
      <c r="G1220" s="1">
        <v>0</v>
      </c>
      <c r="H1220" s="2">
        <v>222433.94</v>
      </c>
      <c r="I1220" s="2">
        <v>0</v>
      </c>
      <c r="J1220" s="1">
        <v>61809577.109999999</v>
      </c>
      <c r="K1220" s="1">
        <v>3533534.503</v>
      </c>
    </row>
    <row r="1221" spans="1:11">
      <c r="A1221" t="s">
        <v>1</v>
      </c>
      <c r="B1221" s="3">
        <v>41788</v>
      </c>
      <c r="C1221" s="3">
        <v>41788</v>
      </c>
      <c r="D1221" t="s">
        <v>0</v>
      </c>
      <c r="E1221" s="1">
        <v>17.284700000000001</v>
      </c>
      <c r="F1221" s="1">
        <v>2053.9290000000001</v>
      </c>
      <c r="G1221" s="1">
        <v>47.466999999999999</v>
      </c>
      <c r="H1221" s="2">
        <v>35487.86</v>
      </c>
      <c r="I1221" s="2">
        <v>-820.14</v>
      </c>
      <c r="J1221" s="1">
        <v>1795712.69</v>
      </c>
      <c r="K1221" s="1">
        <v>103890.128</v>
      </c>
    </row>
    <row r="1222" spans="1:11">
      <c r="A1222" t="s">
        <v>1</v>
      </c>
      <c r="B1222" s="3">
        <v>41789</v>
      </c>
      <c r="C1222" s="3">
        <v>41789</v>
      </c>
      <c r="D1222" t="s">
        <v>7</v>
      </c>
      <c r="E1222" s="1">
        <v>23.1022</v>
      </c>
      <c r="F1222" s="1">
        <v>8.6929999999999996</v>
      </c>
      <c r="G1222" s="1">
        <v>1278.384</v>
      </c>
      <c r="H1222" s="2">
        <v>200</v>
      </c>
      <c r="I1222" s="2">
        <v>-29412.16</v>
      </c>
      <c r="J1222" s="1">
        <v>267053713.75</v>
      </c>
      <c r="K1222" s="1">
        <v>11559686.313999999</v>
      </c>
    </row>
    <row r="1223" spans="1:11">
      <c r="A1223" t="s">
        <v>1</v>
      </c>
      <c r="B1223" s="3">
        <v>41789</v>
      </c>
      <c r="C1223" s="3">
        <v>41789</v>
      </c>
      <c r="D1223" t="s">
        <v>12</v>
      </c>
      <c r="E1223" s="1">
        <v>18.3734</v>
      </c>
      <c r="F1223" s="1">
        <v>0</v>
      </c>
      <c r="G1223" s="1">
        <v>128.886</v>
      </c>
      <c r="H1223" s="2">
        <v>0</v>
      </c>
      <c r="I1223" s="2">
        <v>-2358.46</v>
      </c>
      <c r="J1223" s="1">
        <v>10375375.060000001</v>
      </c>
      <c r="K1223" s="1">
        <v>564694.16399999999</v>
      </c>
    </row>
    <row r="1224" spans="1:11">
      <c r="A1224" t="s">
        <v>1</v>
      </c>
      <c r="B1224" s="3">
        <v>41789</v>
      </c>
      <c r="C1224" s="3">
        <v>41789</v>
      </c>
      <c r="D1224" t="s">
        <v>6</v>
      </c>
      <c r="E1224" s="1">
        <v>19.0916</v>
      </c>
      <c r="F1224" s="1">
        <v>1392.1489999999999</v>
      </c>
      <c r="G1224" s="1">
        <v>6785.8689999999997</v>
      </c>
      <c r="H1224" s="2">
        <v>26470.47</v>
      </c>
      <c r="I1224" s="2">
        <v>-129027.19</v>
      </c>
      <c r="J1224" s="1">
        <v>37167761.649999999</v>
      </c>
      <c r="K1224" s="1">
        <v>1946808.5160000001</v>
      </c>
    </row>
    <row r="1225" spans="1:11">
      <c r="A1225" t="s">
        <v>1</v>
      </c>
      <c r="B1225" s="3">
        <v>41789</v>
      </c>
      <c r="C1225" s="3">
        <v>41789</v>
      </c>
      <c r="D1225" t="s">
        <v>5</v>
      </c>
      <c r="E1225" s="1">
        <v>17.807300000000001</v>
      </c>
      <c r="F1225" s="1">
        <v>0</v>
      </c>
      <c r="G1225" s="1">
        <v>122711</v>
      </c>
      <c r="H1225" s="2">
        <v>0</v>
      </c>
      <c r="I1225" s="2">
        <v>-2176144.6</v>
      </c>
      <c r="J1225" s="1">
        <v>44312181.770000003</v>
      </c>
      <c r="K1225" s="1">
        <v>2488425.1359999999</v>
      </c>
    </row>
    <row r="1226" spans="1:11">
      <c r="A1226" t="s">
        <v>1</v>
      </c>
      <c r="B1226" s="3">
        <v>41789</v>
      </c>
      <c r="C1226" s="3">
        <v>41789</v>
      </c>
      <c r="D1226" t="s">
        <v>14</v>
      </c>
      <c r="E1226" s="1">
        <v>11.2173</v>
      </c>
      <c r="F1226" s="1">
        <v>0</v>
      </c>
      <c r="G1226" s="1">
        <v>900.495</v>
      </c>
      <c r="H1226" s="2">
        <v>0</v>
      </c>
      <c r="I1226" s="2">
        <v>-10060.15</v>
      </c>
      <c r="J1226" s="1">
        <v>490200.11</v>
      </c>
      <c r="K1226" s="1">
        <v>43700.199000000001</v>
      </c>
    </row>
    <row r="1227" spans="1:11">
      <c r="A1227" t="s">
        <v>1</v>
      </c>
      <c r="B1227" s="3">
        <v>41789</v>
      </c>
      <c r="C1227" s="3">
        <v>41789</v>
      </c>
      <c r="D1227" t="s">
        <v>2</v>
      </c>
      <c r="E1227" s="1">
        <v>17.564699999999998</v>
      </c>
      <c r="F1227" s="1">
        <v>4583.7309999999998</v>
      </c>
      <c r="G1227" s="1">
        <v>0</v>
      </c>
      <c r="H1227" s="2">
        <v>80180.009999999995</v>
      </c>
      <c r="I1227" s="2">
        <v>0</v>
      </c>
      <c r="J1227" s="1">
        <v>62146110.710000001</v>
      </c>
      <c r="K1227" s="1">
        <v>3538118.2340000002</v>
      </c>
    </row>
    <row r="1228" spans="1:11">
      <c r="A1228" t="s">
        <v>1</v>
      </c>
      <c r="B1228" s="3">
        <v>41789</v>
      </c>
      <c r="C1228" s="3">
        <v>41789</v>
      </c>
      <c r="D1228" t="s">
        <v>9</v>
      </c>
      <c r="E1228" s="1">
        <v>18.754100000000001</v>
      </c>
      <c r="F1228" s="1">
        <v>175.97300000000001</v>
      </c>
      <c r="G1228" s="1">
        <v>0</v>
      </c>
      <c r="H1228" s="2">
        <v>3286.57</v>
      </c>
      <c r="I1228" s="2">
        <v>0</v>
      </c>
      <c r="J1228" s="1">
        <v>1117595.6000000001</v>
      </c>
      <c r="K1228" s="1">
        <v>59592.103999999999</v>
      </c>
    </row>
    <row r="1229" spans="1:11">
      <c r="A1229" t="s">
        <v>1</v>
      </c>
      <c r="B1229" s="3">
        <v>41789</v>
      </c>
      <c r="C1229" s="3">
        <v>41789</v>
      </c>
      <c r="D1229" t="s">
        <v>0</v>
      </c>
      <c r="E1229" s="1">
        <v>17.356400000000001</v>
      </c>
      <c r="F1229" s="1">
        <v>2128.69</v>
      </c>
      <c r="G1229" s="1">
        <v>9.7729999999999997</v>
      </c>
      <c r="H1229" s="2">
        <v>36793.89</v>
      </c>
      <c r="I1229" s="2">
        <v>-168.91</v>
      </c>
      <c r="J1229" s="1">
        <v>1839934.93</v>
      </c>
      <c r="K1229" s="1">
        <v>106009.045</v>
      </c>
    </row>
    <row r="1230" spans="1:11">
      <c r="A1230" t="s">
        <v>1</v>
      </c>
      <c r="B1230" s="3">
        <v>41793</v>
      </c>
      <c r="C1230" s="3">
        <v>41793</v>
      </c>
      <c r="D1230" t="s">
        <v>7</v>
      </c>
      <c r="E1230" s="1">
        <v>23.1966</v>
      </c>
      <c r="F1230" s="1">
        <v>38972.107000000004</v>
      </c>
      <c r="G1230" s="1">
        <v>3316.9450000000002</v>
      </c>
      <c r="H1230" s="2">
        <v>900341.4</v>
      </c>
      <c r="I1230" s="2">
        <v>-76628.73</v>
      </c>
      <c r="J1230" s="1">
        <v>268972549.69</v>
      </c>
      <c r="K1230" s="1">
        <v>11595341.476</v>
      </c>
    </row>
    <row r="1231" spans="1:11">
      <c r="A1231" t="s">
        <v>1</v>
      </c>
      <c r="B1231" s="3">
        <v>41793</v>
      </c>
      <c r="C1231" s="3">
        <v>41793</v>
      </c>
      <c r="D1231" t="s">
        <v>12</v>
      </c>
      <c r="E1231" s="1">
        <v>18.445499999999999</v>
      </c>
      <c r="F1231" s="1">
        <v>0</v>
      </c>
      <c r="G1231" s="1">
        <v>24092.346000000001</v>
      </c>
      <c r="H1231" s="2">
        <v>0</v>
      </c>
      <c r="I1231" s="2">
        <v>-442658.31</v>
      </c>
      <c r="J1231" s="1">
        <v>9971690.4100000001</v>
      </c>
      <c r="K1231" s="1">
        <v>540601.81799999997</v>
      </c>
    </row>
    <row r="1232" spans="1:11">
      <c r="A1232" t="s">
        <v>1</v>
      </c>
      <c r="B1232" s="3">
        <v>41793</v>
      </c>
      <c r="C1232" s="3">
        <v>41793</v>
      </c>
      <c r="D1232" t="s">
        <v>6</v>
      </c>
      <c r="E1232" s="1">
        <v>19.166499999999999</v>
      </c>
      <c r="F1232" s="1">
        <v>2579.239</v>
      </c>
      <c r="G1232" s="1">
        <v>35288.118000000002</v>
      </c>
      <c r="H1232" s="2">
        <v>49241.79</v>
      </c>
      <c r="I1232" s="2">
        <v>-673706.61</v>
      </c>
      <c r="J1232" s="1">
        <v>36686684.219999999</v>
      </c>
      <c r="K1232" s="1">
        <v>1914099.6370000001</v>
      </c>
    </row>
    <row r="1233" spans="1:11">
      <c r="A1233" t="s">
        <v>1</v>
      </c>
      <c r="B1233" s="3">
        <v>41793</v>
      </c>
      <c r="C1233" s="3">
        <v>41793</v>
      </c>
      <c r="D1233" t="s">
        <v>10</v>
      </c>
      <c r="E1233" s="1">
        <v>18.7637</v>
      </c>
      <c r="F1233" s="1">
        <v>4</v>
      </c>
      <c r="G1233" s="1">
        <v>0</v>
      </c>
      <c r="H1233" s="2">
        <v>74.78</v>
      </c>
      <c r="I1233" s="2">
        <v>0</v>
      </c>
      <c r="J1233" s="1">
        <v>9564371.0999999996</v>
      </c>
      <c r="K1233" s="1">
        <v>509728.45699999999</v>
      </c>
    </row>
    <row r="1234" spans="1:11">
      <c r="A1234" t="s">
        <v>1</v>
      </c>
      <c r="B1234" s="3">
        <v>41793</v>
      </c>
      <c r="C1234" s="3">
        <v>41793</v>
      </c>
      <c r="D1234" t="s">
        <v>5</v>
      </c>
      <c r="E1234" s="1">
        <v>17.881599999999999</v>
      </c>
      <c r="F1234" s="1">
        <v>0</v>
      </c>
      <c r="G1234" s="1">
        <v>47855</v>
      </c>
      <c r="H1234" s="2">
        <v>0</v>
      </c>
      <c r="I1234" s="2">
        <v>-852168.34</v>
      </c>
      <c r="J1234" s="1">
        <v>43641256.590000004</v>
      </c>
      <c r="K1234" s="1">
        <v>2440570.1359999999</v>
      </c>
    </row>
    <row r="1235" spans="1:11">
      <c r="A1235" t="s">
        <v>1</v>
      </c>
      <c r="B1235" s="3">
        <v>41793</v>
      </c>
      <c r="C1235" s="3">
        <v>41793</v>
      </c>
      <c r="D1235" t="s">
        <v>4</v>
      </c>
      <c r="E1235" s="1">
        <v>11.4513</v>
      </c>
      <c r="F1235" s="1">
        <v>0</v>
      </c>
      <c r="G1235" s="1">
        <v>8882.0990000000002</v>
      </c>
      <c r="H1235" s="2">
        <v>0</v>
      </c>
      <c r="I1235" s="2">
        <v>-101296.79</v>
      </c>
      <c r="J1235" s="1">
        <v>3413294.06</v>
      </c>
      <c r="K1235" s="1">
        <v>298071.64299999998</v>
      </c>
    </row>
    <row r="1236" spans="1:11">
      <c r="A1236" t="s">
        <v>1</v>
      </c>
      <c r="B1236" s="3">
        <v>41793</v>
      </c>
      <c r="C1236" s="3">
        <v>41793</v>
      </c>
      <c r="D1236" t="s">
        <v>14</v>
      </c>
      <c r="E1236" s="1">
        <v>11.2614</v>
      </c>
      <c r="F1236" s="1">
        <v>2992.431</v>
      </c>
      <c r="G1236" s="1">
        <v>0</v>
      </c>
      <c r="H1236" s="2">
        <v>33567</v>
      </c>
      <c r="I1236" s="2">
        <v>0</v>
      </c>
      <c r="J1236" s="1">
        <v>525822.24</v>
      </c>
      <c r="K1236" s="1">
        <v>46692.63</v>
      </c>
    </row>
    <row r="1237" spans="1:11">
      <c r="A1237" t="s">
        <v>1</v>
      </c>
      <c r="B1237" s="3">
        <v>41793</v>
      </c>
      <c r="C1237" s="3">
        <v>41793</v>
      </c>
      <c r="D1237" t="s">
        <v>2</v>
      </c>
      <c r="E1237" s="1">
        <v>17.638000000000002</v>
      </c>
      <c r="F1237" s="1">
        <v>6036.8450000000003</v>
      </c>
      <c r="G1237" s="1">
        <v>1979.972</v>
      </c>
      <c r="H1237" s="2">
        <v>106035.41</v>
      </c>
      <c r="I1237" s="2">
        <v>-34777.629999999997</v>
      </c>
      <c r="J1237" s="1">
        <v>62476836.240000002</v>
      </c>
      <c r="K1237" s="1">
        <v>3542175.1069999998</v>
      </c>
    </row>
    <row r="1238" spans="1:11">
      <c r="A1238" t="s">
        <v>1</v>
      </c>
      <c r="B1238" s="3">
        <v>41793</v>
      </c>
      <c r="C1238" s="3">
        <v>41793</v>
      </c>
      <c r="D1238" t="s">
        <v>0</v>
      </c>
      <c r="E1238" s="1">
        <v>17.429099999999998</v>
      </c>
      <c r="F1238" s="1">
        <v>2628.6840000000002</v>
      </c>
      <c r="G1238" s="1">
        <v>154.374</v>
      </c>
      <c r="H1238" s="2">
        <v>45624.52</v>
      </c>
      <c r="I1238" s="2">
        <v>-2679.39</v>
      </c>
      <c r="J1238" s="1">
        <v>1890763.26</v>
      </c>
      <c r="K1238" s="1">
        <v>108483.355</v>
      </c>
    </row>
    <row r="1239" spans="1:11">
      <c r="A1239" t="s">
        <v>1</v>
      </c>
      <c r="B1239" s="3">
        <v>41794</v>
      </c>
      <c r="C1239" s="3">
        <v>41794</v>
      </c>
      <c r="D1239" t="s">
        <v>7</v>
      </c>
      <c r="E1239" s="1">
        <v>23.1753</v>
      </c>
      <c r="F1239" s="1">
        <v>37136.53</v>
      </c>
      <c r="G1239" s="1">
        <v>17728.865000000002</v>
      </c>
      <c r="H1239" s="2">
        <v>861441.2</v>
      </c>
      <c r="I1239" s="2">
        <v>-411249.42</v>
      </c>
      <c r="J1239" s="1">
        <v>269174832.39999998</v>
      </c>
      <c r="K1239" s="1">
        <v>11614749.141000001</v>
      </c>
    </row>
    <row r="1240" spans="1:11">
      <c r="A1240" t="s">
        <v>1</v>
      </c>
      <c r="B1240" s="3">
        <v>41794</v>
      </c>
      <c r="C1240" s="3">
        <v>41794</v>
      </c>
      <c r="D1240" t="s">
        <v>12</v>
      </c>
      <c r="E1240" s="1">
        <v>18.427800000000001</v>
      </c>
      <c r="F1240" s="1">
        <v>1897.482</v>
      </c>
      <c r="G1240" s="1">
        <v>570.78599999999994</v>
      </c>
      <c r="H1240" s="2">
        <v>35000</v>
      </c>
      <c r="I1240" s="2">
        <v>-10528.43</v>
      </c>
      <c r="J1240" s="1">
        <v>9986553.1999999993</v>
      </c>
      <c r="K1240" s="1">
        <v>541928.51399999997</v>
      </c>
    </row>
    <row r="1241" spans="1:11">
      <c r="A1241" t="s">
        <v>1</v>
      </c>
      <c r="B1241" s="3">
        <v>41794</v>
      </c>
      <c r="C1241" s="3">
        <v>41794</v>
      </c>
      <c r="D1241" t="s">
        <v>6</v>
      </c>
      <c r="E1241" s="1">
        <v>19.148099999999999</v>
      </c>
      <c r="F1241" s="1">
        <v>7205.1620000000003</v>
      </c>
      <c r="G1241" s="1">
        <v>16158.548000000001</v>
      </c>
      <c r="H1241" s="2">
        <v>138097.74</v>
      </c>
      <c r="I1241" s="2">
        <v>-309702.81</v>
      </c>
      <c r="J1241" s="1">
        <v>36479979.210000001</v>
      </c>
      <c r="K1241" s="1">
        <v>1905146.2509999999</v>
      </c>
    </row>
    <row r="1242" spans="1:11">
      <c r="A1242" t="s">
        <v>1</v>
      </c>
      <c r="B1242" s="3">
        <v>41794</v>
      </c>
      <c r="C1242" s="3">
        <v>41794</v>
      </c>
      <c r="D1242" t="s">
        <v>10</v>
      </c>
      <c r="E1242" s="1">
        <v>18.766100000000002</v>
      </c>
      <c r="F1242" s="1">
        <v>138</v>
      </c>
      <c r="G1242" s="1">
        <v>0</v>
      </c>
      <c r="H1242" s="2">
        <v>2589.4</v>
      </c>
      <c r="I1242" s="2">
        <v>0</v>
      </c>
      <c r="J1242" s="1">
        <v>9568200.4700000007</v>
      </c>
      <c r="K1242" s="1">
        <v>509866.45699999999</v>
      </c>
    </row>
    <row r="1243" spans="1:11">
      <c r="A1243" t="s">
        <v>1</v>
      </c>
      <c r="B1243" s="3">
        <v>41794</v>
      </c>
      <c r="C1243" s="3">
        <v>41794</v>
      </c>
      <c r="D1243" t="s">
        <v>5</v>
      </c>
      <c r="E1243" s="1">
        <v>17.865500000000001</v>
      </c>
      <c r="F1243" s="1">
        <v>253720</v>
      </c>
      <c r="G1243" s="1">
        <v>825750</v>
      </c>
      <c r="H1243" s="2">
        <v>4536919.55</v>
      </c>
      <c r="I1243" s="2">
        <v>-14765731.199999999</v>
      </c>
      <c r="J1243" s="1">
        <v>33382387.050000001</v>
      </c>
      <c r="K1243" s="1">
        <v>1868540.1359999999</v>
      </c>
    </row>
    <row r="1244" spans="1:11">
      <c r="A1244" t="s">
        <v>1</v>
      </c>
      <c r="B1244" s="3">
        <v>41794</v>
      </c>
      <c r="C1244" s="3">
        <v>41794</v>
      </c>
      <c r="D1244" t="s">
        <v>3</v>
      </c>
      <c r="E1244" s="1">
        <v>11.076599999999999</v>
      </c>
      <c r="F1244" s="1">
        <v>0</v>
      </c>
      <c r="G1244" s="1">
        <v>2170.9899999999998</v>
      </c>
      <c r="H1244" s="2">
        <v>0</v>
      </c>
      <c r="I1244" s="2">
        <v>-24070.42</v>
      </c>
      <c r="J1244" s="1">
        <v>1948958.04</v>
      </c>
      <c r="K1244" s="1">
        <v>175952.70499999999</v>
      </c>
    </row>
    <row r="1245" spans="1:11">
      <c r="A1245" t="s">
        <v>1</v>
      </c>
      <c r="B1245" s="3">
        <v>41794</v>
      </c>
      <c r="C1245" s="3">
        <v>41794</v>
      </c>
      <c r="D1245" t="s">
        <v>2</v>
      </c>
      <c r="E1245" s="1">
        <v>17.6221</v>
      </c>
      <c r="F1245" s="1">
        <v>26919.287</v>
      </c>
      <c r="G1245" s="1">
        <v>500</v>
      </c>
      <c r="H1245" s="2">
        <v>474801.37</v>
      </c>
      <c r="I1245" s="2">
        <v>-8818.98</v>
      </c>
      <c r="J1245" s="1">
        <v>62886195.200000003</v>
      </c>
      <c r="K1245" s="1">
        <v>3568594.3939999999</v>
      </c>
    </row>
    <row r="1246" spans="1:11">
      <c r="A1246" t="s">
        <v>1</v>
      </c>
      <c r="B1246" s="3">
        <v>41794</v>
      </c>
      <c r="C1246" s="3">
        <v>41794</v>
      </c>
      <c r="D1246" t="s">
        <v>9</v>
      </c>
      <c r="E1246" s="1">
        <v>18.816299999999998</v>
      </c>
      <c r="F1246" s="1">
        <v>473.85700000000003</v>
      </c>
      <c r="G1246" s="1">
        <v>396.77499999999998</v>
      </c>
      <c r="H1246" s="2">
        <v>8924.1299999999992</v>
      </c>
      <c r="I1246" s="2">
        <v>-7472.46</v>
      </c>
      <c r="J1246" s="1">
        <v>1122751.98</v>
      </c>
      <c r="K1246" s="1">
        <v>59669.186000000002</v>
      </c>
    </row>
    <row r="1247" spans="1:11">
      <c r="A1247" t="s">
        <v>1</v>
      </c>
      <c r="B1247" s="3">
        <v>41794</v>
      </c>
      <c r="C1247" s="3">
        <v>41794</v>
      </c>
      <c r="D1247" t="s">
        <v>0</v>
      </c>
      <c r="E1247" s="1">
        <v>17.413499999999999</v>
      </c>
      <c r="F1247" s="1">
        <v>5640.991</v>
      </c>
      <c r="G1247" s="1">
        <v>23.492000000000001</v>
      </c>
      <c r="H1247" s="2">
        <v>98317.75</v>
      </c>
      <c r="I1247" s="2">
        <v>-409.44</v>
      </c>
      <c r="J1247" s="1">
        <v>1986890.72</v>
      </c>
      <c r="K1247" s="1">
        <v>114100.85400000001</v>
      </c>
    </row>
    <row r="1248" spans="1:11">
      <c r="A1248" t="s">
        <v>1</v>
      </c>
      <c r="B1248" s="3">
        <v>41795</v>
      </c>
      <c r="C1248" s="3">
        <v>41795</v>
      </c>
      <c r="D1248" t="s">
        <v>7</v>
      </c>
      <c r="E1248" s="1">
        <v>23.218399999999999</v>
      </c>
      <c r="F1248" s="1">
        <v>3558.72</v>
      </c>
      <c r="G1248" s="1">
        <v>6124.46</v>
      </c>
      <c r="H1248" s="2">
        <v>82474.34</v>
      </c>
      <c r="I1248" s="2">
        <v>-141936.23000000001</v>
      </c>
      <c r="J1248" s="1">
        <v>269616823.41000003</v>
      </c>
      <c r="K1248" s="1">
        <v>11612183.401000001</v>
      </c>
    </row>
    <row r="1249" spans="1:11">
      <c r="A1249" t="s">
        <v>1</v>
      </c>
      <c r="B1249" s="3">
        <v>41795</v>
      </c>
      <c r="C1249" s="3">
        <v>41795</v>
      </c>
      <c r="D1249" t="s">
        <v>12</v>
      </c>
      <c r="E1249" s="1">
        <v>18.461400000000001</v>
      </c>
      <c r="F1249" s="1">
        <v>0</v>
      </c>
      <c r="G1249" s="1">
        <v>5609.9920000000002</v>
      </c>
      <c r="H1249" s="2">
        <v>0</v>
      </c>
      <c r="I1249" s="2">
        <v>-103379.82</v>
      </c>
      <c r="J1249" s="1">
        <v>9901182.9100000001</v>
      </c>
      <c r="K1249" s="1">
        <v>536318.522</v>
      </c>
    </row>
    <row r="1250" spans="1:11">
      <c r="A1250" t="s">
        <v>1</v>
      </c>
      <c r="B1250" s="3">
        <v>41795</v>
      </c>
      <c r="C1250" s="3">
        <v>41795</v>
      </c>
      <c r="D1250" t="s">
        <v>6</v>
      </c>
      <c r="E1250" s="1">
        <v>19.183</v>
      </c>
      <c r="F1250" s="1">
        <v>141.15799999999999</v>
      </c>
      <c r="G1250" s="1">
        <v>15391.49</v>
      </c>
      <c r="H1250" s="2">
        <v>2702.91</v>
      </c>
      <c r="I1250" s="2">
        <v>-294717.78999999998</v>
      </c>
      <c r="J1250" s="1">
        <v>36253907.57</v>
      </c>
      <c r="K1250" s="1">
        <v>1889895.919</v>
      </c>
    </row>
    <row r="1251" spans="1:11">
      <c r="A1251" t="s">
        <v>1</v>
      </c>
      <c r="B1251" s="3">
        <v>41795</v>
      </c>
      <c r="C1251" s="3">
        <v>41795</v>
      </c>
      <c r="D1251" t="s">
        <v>10</v>
      </c>
      <c r="E1251" s="1">
        <v>18.787700000000001</v>
      </c>
      <c r="F1251" s="1">
        <v>1</v>
      </c>
      <c r="G1251" s="1">
        <v>0</v>
      </c>
      <c r="H1251" s="2">
        <v>18.77</v>
      </c>
      <c r="I1251" s="2">
        <v>0</v>
      </c>
      <c r="J1251" s="1">
        <v>9579219.9399999995</v>
      </c>
      <c r="K1251" s="1">
        <v>509867.45699999999</v>
      </c>
    </row>
    <row r="1252" spans="1:11">
      <c r="A1252" t="s">
        <v>1</v>
      </c>
      <c r="B1252" s="3">
        <v>41795</v>
      </c>
      <c r="C1252" s="3">
        <v>41795</v>
      </c>
      <c r="D1252" t="s">
        <v>2</v>
      </c>
      <c r="E1252" s="1">
        <v>17.6553</v>
      </c>
      <c r="F1252" s="1">
        <v>186330.05</v>
      </c>
      <c r="G1252" s="1">
        <v>2308.6570000000002</v>
      </c>
      <c r="H1252" s="2">
        <v>3283513.99</v>
      </c>
      <c r="I1252" s="2">
        <v>-40683.22</v>
      </c>
      <c r="J1252" s="1">
        <v>66253605.5</v>
      </c>
      <c r="K1252" s="1">
        <v>3752615.787</v>
      </c>
    </row>
    <row r="1253" spans="1:11">
      <c r="A1253" t="s">
        <v>1</v>
      </c>
      <c r="B1253" s="3">
        <v>41795</v>
      </c>
      <c r="C1253" s="3">
        <v>41795</v>
      </c>
      <c r="D1253" t="s">
        <v>0</v>
      </c>
      <c r="E1253" s="1">
        <v>17.446300000000001</v>
      </c>
      <c r="F1253" s="1">
        <v>3749.6190000000001</v>
      </c>
      <c r="G1253" s="1">
        <v>9.1609999999999996</v>
      </c>
      <c r="H1253" s="2">
        <v>65294.28</v>
      </c>
      <c r="I1253" s="2">
        <v>-159.52000000000001</v>
      </c>
      <c r="J1253" s="1">
        <v>2055899.71</v>
      </c>
      <c r="K1253" s="1">
        <v>117841.31200000001</v>
      </c>
    </row>
    <row r="1254" spans="1:11">
      <c r="A1254" t="s">
        <v>1</v>
      </c>
      <c r="B1254" s="3">
        <v>41796</v>
      </c>
      <c r="C1254" s="3">
        <v>41796</v>
      </c>
      <c r="D1254" t="s">
        <v>7</v>
      </c>
      <c r="E1254" s="1">
        <v>23.360499999999998</v>
      </c>
      <c r="F1254" s="1">
        <v>14691.462</v>
      </c>
      <c r="G1254" s="1">
        <v>4719.75</v>
      </c>
      <c r="H1254" s="2">
        <v>341112.24</v>
      </c>
      <c r="I1254" s="2">
        <v>-109585.04</v>
      </c>
      <c r="J1254" s="1">
        <v>271498896.74000001</v>
      </c>
      <c r="K1254" s="1">
        <v>11622155.113</v>
      </c>
    </row>
    <row r="1255" spans="1:11">
      <c r="A1255" t="s">
        <v>1</v>
      </c>
      <c r="B1255" s="3">
        <v>41796</v>
      </c>
      <c r="C1255" s="3">
        <v>41796</v>
      </c>
      <c r="D1255" t="s">
        <v>12</v>
      </c>
      <c r="E1255" s="1">
        <v>18.573499999999999</v>
      </c>
      <c r="F1255" s="1">
        <v>567.29700000000003</v>
      </c>
      <c r="G1255" s="1">
        <v>3049.4830000000002</v>
      </c>
      <c r="H1255" s="2">
        <v>10473.09</v>
      </c>
      <c r="I1255" s="2">
        <v>-56297.72</v>
      </c>
      <c r="J1255" s="1">
        <v>9915234.2300000004</v>
      </c>
      <c r="K1255" s="1">
        <v>533836.33600000001</v>
      </c>
    </row>
    <row r="1256" spans="1:11">
      <c r="A1256" t="s">
        <v>1</v>
      </c>
      <c r="B1256" s="3">
        <v>41796</v>
      </c>
      <c r="C1256" s="3">
        <v>41796</v>
      </c>
      <c r="D1256" t="s">
        <v>6</v>
      </c>
      <c r="E1256" s="1">
        <v>19.299600000000002</v>
      </c>
      <c r="F1256" s="1">
        <v>10741.453</v>
      </c>
      <c r="G1256" s="1">
        <v>4445.2219999999998</v>
      </c>
      <c r="H1256" s="2">
        <v>206053.3</v>
      </c>
      <c r="I1256" s="2">
        <v>-85272.69</v>
      </c>
      <c r="J1256" s="1">
        <v>36595681.670000002</v>
      </c>
      <c r="K1256" s="1">
        <v>1896192.15</v>
      </c>
    </row>
    <row r="1257" spans="1:11">
      <c r="A1257" t="s">
        <v>1</v>
      </c>
      <c r="B1257" s="3">
        <v>41796</v>
      </c>
      <c r="C1257" s="3">
        <v>41796</v>
      </c>
      <c r="D1257" t="s">
        <v>10</v>
      </c>
      <c r="E1257" s="1">
        <v>18.933499999999999</v>
      </c>
      <c r="F1257" s="1">
        <v>0</v>
      </c>
      <c r="G1257" s="1">
        <v>1</v>
      </c>
      <c r="H1257" s="2">
        <v>0</v>
      </c>
      <c r="I1257" s="2">
        <v>-18.78</v>
      </c>
      <c r="J1257" s="1">
        <v>9653571.1600000001</v>
      </c>
      <c r="K1257" s="1">
        <v>509866.45699999999</v>
      </c>
    </row>
    <row r="1258" spans="1:11">
      <c r="A1258" t="s">
        <v>1</v>
      </c>
      <c r="B1258" s="3">
        <v>41796</v>
      </c>
      <c r="C1258" s="3">
        <v>41796</v>
      </c>
      <c r="D1258" t="s">
        <v>5</v>
      </c>
      <c r="E1258" s="1">
        <v>18.009</v>
      </c>
      <c r="F1258" s="1">
        <v>0</v>
      </c>
      <c r="G1258" s="1">
        <v>63979.571000000004</v>
      </c>
      <c r="H1258" s="2">
        <v>0</v>
      </c>
      <c r="I1258" s="2">
        <v>-1145176.74</v>
      </c>
      <c r="J1258" s="1">
        <v>32498328.43</v>
      </c>
      <c r="K1258" s="1">
        <v>1804560.5649999999</v>
      </c>
    </row>
    <row r="1259" spans="1:11">
      <c r="A1259" t="s">
        <v>1</v>
      </c>
      <c r="B1259" s="3">
        <v>41796</v>
      </c>
      <c r="C1259" s="3">
        <v>41796</v>
      </c>
      <c r="D1259" t="s">
        <v>4</v>
      </c>
      <c r="E1259" s="1">
        <v>11.5321</v>
      </c>
      <c r="F1259" s="1">
        <v>0</v>
      </c>
      <c r="G1259" s="1">
        <v>617.00099999999998</v>
      </c>
      <c r="H1259" s="2">
        <v>0</v>
      </c>
      <c r="I1259" s="2">
        <v>-7072.07</v>
      </c>
      <c r="J1259" s="1">
        <v>3430289.58</v>
      </c>
      <c r="K1259" s="1">
        <v>297454.64199999999</v>
      </c>
    </row>
    <row r="1260" spans="1:11">
      <c r="A1260" t="s">
        <v>1</v>
      </c>
      <c r="B1260" s="3">
        <v>41796</v>
      </c>
      <c r="C1260" s="3">
        <v>41796</v>
      </c>
      <c r="D1260" t="s">
        <v>2</v>
      </c>
      <c r="E1260" s="1">
        <v>17.7637</v>
      </c>
      <c r="F1260" s="1">
        <v>7971.4</v>
      </c>
      <c r="G1260" s="1">
        <v>700</v>
      </c>
      <c r="H1260" s="2">
        <v>140737.79999999999</v>
      </c>
      <c r="I1260" s="2">
        <v>-12358.74</v>
      </c>
      <c r="J1260" s="1">
        <v>66789378.609999999</v>
      </c>
      <c r="K1260" s="1">
        <v>3759887.1869999999</v>
      </c>
    </row>
    <row r="1261" spans="1:11">
      <c r="A1261" t="s">
        <v>1</v>
      </c>
      <c r="B1261" s="3">
        <v>41796</v>
      </c>
      <c r="C1261" s="3">
        <v>41796</v>
      </c>
      <c r="D1261" t="s">
        <v>0</v>
      </c>
      <c r="E1261" s="1">
        <v>17.5535</v>
      </c>
      <c r="F1261" s="1">
        <v>2754.973</v>
      </c>
      <c r="G1261" s="1">
        <v>3.5750000000000002</v>
      </c>
      <c r="H1261" s="2">
        <v>48064.2</v>
      </c>
      <c r="I1261" s="2">
        <v>-62.37</v>
      </c>
      <c r="J1261" s="1">
        <v>2116822.09</v>
      </c>
      <c r="K1261" s="1">
        <v>120592.71</v>
      </c>
    </row>
    <row r="1262" spans="1:11">
      <c r="A1262" t="s">
        <v>1</v>
      </c>
      <c r="B1262" s="3">
        <v>41799</v>
      </c>
      <c r="C1262" s="3">
        <v>41799</v>
      </c>
      <c r="D1262" t="s">
        <v>8</v>
      </c>
      <c r="E1262" s="1">
        <v>18.9862</v>
      </c>
      <c r="F1262" s="1">
        <v>0</v>
      </c>
      <c r="G1262" s="1">
        <v>577.23400000000004</v>
      </c>
      <c r="H1262" s="2">
        <v>0</v>
      </c>
      <c r="I1262" s="2">
        <v>-10905.2</v>
      </c>
      <c r="J1262" s="1">
        <v>6331454.5</v>
      </c>
      <c r="K1262" s="1">
        <v>333476.28999999998</v>
      </c>
    </row>
    <row r="1263" spans="1:11">
      <c r="A1263" t="s">
        <v>1</v>
      </c>
      <c r="B1263" s="3">
        <v>41799</v>
      </c>
      <c r="C1263" s="3">
        <v>41799</v>
      </c>
      <c r="D1263" t="s">
        <v>7</v>
      </c>
      <c r="E1263" s="1">
        <v>23.476700000000001</v>
      </c>
      <c r="F1263" s="1">
        <v>3786.5349999999999</v>
      </c>
      <c r="G1263" s="1">
        <v>19348.792000000001</v>
      </c>
      <c r="H1263" s="2">
        <v>88455.35</v>
      </c>
      <c r="I1263" s="2">
        <v>-451997.46</v>
      </c>
      <c r="J1263" s="1">
        <v>272484910.98000002</v>
      </c>
      <c r="K1263" s="1">
        <v>11606592.856000001</v>
      </c>
    </row>
    <row r="1264" spans="1:11">
      <c r="A1264" t="s">
        <v>1</v>
      </c>
      <c r="B1264" s="3">
        <v>41799</v>
      </c>
      <c r="C1264" s="3">
        <v>41799</v>
      </c>
      <c r="D1264" t="s">
        <v>12</v>
      </c>
      <c r="E1264" s="1">
        <v>18.663699999999999</v>
      </c>
      <c r="F1264" s="1">
        <v>0</v>
      </c>
      <c r="G1264" s="1">
        <v>3775.2049999999999</v>
      </c>
      <c r="H1264" s="2">
        <v>0</v>
      </c>
      <c r="I1264" s="2">
        <v>-70118.77</v>
      </c>
      <c r="J1264" s="1">
        <v>9892905.0099999998</v>
      </c>
      <c r="K1264" s="1">
        <v>530061.13100000005</v>
      </c>
    </row>
    <row r="1265" spans="1:11">
      <c r="A1265" t="s">
        <v>1</v>
      </c>
      <c r="B1265" s="3">
        <v>41799</v>
      </c>
      <c r="C1265" s="3">
        <v>41799</v>
      </c>
      <c r="D1265" t="s">
        <v>6</v>
      </c>
      <c r="E1265" s="1">
        <v>19.3932</v>
      </c>
      <c r="F1265" s="1">
        <v>1755.943</v>
      </c>
      <c r="G1265" s="1">
        <v>6378.4480000000003</v>
      </c>
      <c r="H1265" s="2">
        <v>33889.01</v>
      </c>
      <c r="I1265" s="2">
        <v>-123101.5</v>
      </c>
      <c r="J1265" s="1">
        <v>36683676.630000003</v>
      </c>
      <c r="K1265" s="1">
        <v>1891569.645</v>
      </c>
    </row>
    <row r="1266" spans="1:11">
      <c r="A1266" t="s">
        <v>1</v>
      </c>
      <c r="B1266" s="3">
        <v>41799</v>
      </c>
      <c r="C1266" s="3">
        <v>41799</v>
      </c>
      <c r="D1266" t="s">
        <v>5</v>
      </c>
      <c r="E1266" s="1">
        <v>18.099699999999999</v>
      </c>
      <c r="F1266" s="1">
        <v>68255</v>
      </c>
      <c r="G1266" s="1">
        <v>0</v>
      </c>
      <c r="H1266" s="2">
        <v>1229204.3</v>
      </c>
      <c r="I1266" s="2">
        <v>0</v>
      </c>
      <c r="J1266" s="1">
        <v>33897488.140000001</v>
      </c>
      <c r="K1266" s="1">
        <v>1872815.5649999999</v>
      </c>
    </row>
    <row r="1267" spans="1:11">
      <c r="A1267" t="s">
        <v>1</v>
      </c>
      <c r="B1267" s="3">
        <v>41799</v>
      </c>
      <c r="C1267" s="3">
        <v>41799</v>
      </c>
      <c r="D1267" t="s">
        <v>4</v>
      </c>
      <c r="E1267" s="1">
        <v>11.589499999999999</v>
      </c>
      <c r="F1267" s="1">
        <v>141.53700000000001</v>
      </c>
      <c r="G1267" s="1">
        <v>29933.233</v>
      </c>
      <c r="H1267" s="2">
        <v>1632.23</v>
      </c>
      <c r="I1267" s="2">
        <v>-345193.03</v>
      </c>
      <c r="J1267" s="1">
        <v>3102092.76</v>
      </c>
      <c r="K1267" s="1">
        <v>267662.946</v>
      </c>
    </row>
    <row r="1268" spans="1:11">
      <c r="A1268" t="s">
        <v>1</v>
      </c>
      <c r="B1268" s="3">
        <v>41799</v>
      </c>
      <c r="C1268" s="3">
        <v>41799</v>
      </c>
      <c r="D1268" t="s">
        <v>3</v>
      </c>
      <c r="E1268" s="1">
        <v>11.218400000000001</v>
      </c>
      <c r="F1268" s="1">
        <v>0</v>
      </c>
      <c r="G1268" s="1">
        <v>712.61599999999999</v>
      </c>
      <c r="H1268" s="2">
        <v>0</v>
      </c>
      <c r="I1268" s="2">
        <v>-7955.79</v>
      </c>
      <c r="J1268" s="1">
        <v>1965912.87</v>
      </c>
      <c r="K1268" s="1">
        <v>175240.08900000001</v>
      </c>
    </row>
    <row r="1269" spans="1:11">
      <c r="A1269" t="s">
        <v>1</v>
      </c>
      <c r="B1269" s="3">
        <v>41799</v>
      </c>
      <c r="C1269" s="3">
        <v>41799</v>
      </c>
      <c r="D1269" t="s">
        <v>2</v>
      </c>
      <c r="E1269" s="1">
        <v>17.853200000000001</v>
      </c>
      <c r="F1269" s="1">
        <v>9899.35</v>
      </c>
      <c r="G1269" s="1">
        <v>0</v>
      </c>
      <c r="H1269" s="2">
        <v>175849.59</v>
      </c>
      <c r="I1269" s="2">
        <v>0</v>
      </c>
      <c r="J1269" s="1">
        <v>67302670.689999998</v>
      </c>
      <c r="K1269" s="1">
        <v>3769786.537</v>
      </c>
    </row>
    <row r="1270" spans="1:11">
      <c r="A1270" t="s">
        <v>1</v>
      </c>
      <c r="B1270" s="3">
        <v>41799</v>
      </c>
      <c r="C1270" s="3">
        <v>41799</v>
      </c>
      <c r="D1270" t="s">
        <v>9</v>
      </c>
      <c r="E1270" s="1">
        <v>19.0639</v>
      </c>
      <c r="F1270" s="1">
        <v>0</v>
      </c>
      <c r="G1270" s="1">
        <v>3.81</v>
      </c>
      <c r="H1270" s="2">
        <v>0</v>
      </c>
      <c r="I1270" s="2">
        <v>-72.28</v>
      </c>
      <c r="J1270" s="1">
        <v>1137455.8400000001</v>
      </c>
      <c r="K1270" s="1">
        <v>59665.375999999997</v>
      </c>
    </row>
    <row r="1271" spans="1:11">
      <c r="A1271" t="s">
        <v>1</v>
      </c>
      <c r="B1271" s="3">
        <v>41799</v>
      </c>
      <c r="C1271" s="3">
        <v>41799</v>
      </c>
      <c r="D1271" t="s">
        <v>0</v>
      </c>
      <c r="E1271" s="1">
        <v>17.642199999999999</v>
      </c>
      <c r="F1271" s="1">
        <v>2663.415</v>
      </c>
      <c r="G1271" s="1">
        <v>42.529000000000003</v>
      </c>
      <c r="H1271" s="2">
        <v>46752.05</v>
      </c>
      <c r="I1271" s="2">
        <v>-746.53</v>
      </c>
      <c r="J1271" s="1">
        <v>2173752.9</v>
      </c>
      <c r="K1271" s="1">
        <v>123213.59600000001</v>
      </c>
    </row>
    <row r="1272" spans="1:11">
      <c r="A1272" t="s">
        <v>1</v>
      </c>
      <c r="B1272" s="3">
        <v>41800</v>
      </c>
      <c r="C1272" s="3">
        <v>41800</v>
      </c>
      <c r="D1272" t="s">
        <v>7</v>
      </c>
      <c r="E1272" s="1">
        <v>23.527999999999999</v>
      </c>
      <c r="F1272" s="1">
        <v>1543.123</v>
      </c>
      <c r="G1272" s="1">
        <v>18056.558000000001</v>
      </c>
      <c r="H1272" s="2">
        <v>36227.47</v>
      </c>
      <c r="I1272" s="2">
        <v>-423908.41</v>
      </c>
      <c r="J1272" s="1">
        <v>272690911.69999999</v>
      </c>
      <c r="K1272" s="1">
        <v>11590079.421</v>
      </c>
    </row>
    <row r="1273" spans="1:11">
      <c r="A1273" t="s">
        <v>1</v>
      </c>
      <c r="B1273" s="3">
        <v>41800</v>
      </c>
      <c r="C1273" s="3">
        <v>41800</v>
      </c>
      <c r="D1273" t="s">
        <v>12</v>
      </c>
      <c r="E1273" s="1">
        <v>18.703700000000001</v>
      </c>
      <c r="F1273" s="1">
        <v>0</v>
      </c>
      <c r="G1273" s="1">
        <v>1417.2950000000001</v>
      </c>
      <c r="H1273" s="2">
        <v>0</v>
      </c>
      <c r="I1273" s="2">
        <v>-26451.97</v>
      </c>
      <c r="J1273" s="1">
        <v>9887574.9100000001</v>
      </c>
      <c r="K1273" s="1">
        <v>528643.83600000001</v>
      </c>
    </row>
    <row r="1274" spans="1:11">
      <c r="A1274" t="s">
        <v>1</v>
      </c>
      <c r="B1274" s="3">
        <v>41800</v>
      </c>
      <c r="C1274" s="3">
        <v>41800</v>
      </c>
      <c r="D1274" t="s">
        <v>6</v>
      </c>
      <c r="E1274" s="1">
        <v>19.434799999999999</v>
      </c>
      <c r="F1274" s="1">
        <v>19.966000000000001</v>
      </c>
      <c r="G1274" s="1">
        <v>2415.4340000000002</v>
      </c>
      <c r="H1274" s="2">
        <v>387.2</v>
      </c>
      <c r="I1274" s="2">
        <v>-46842.99</v>
      </c>
      <c r="J1274" s="1">
        <v>36715652.979999997</v>
      </c>
      <c r="K1274" s="1">
        <v>1889174.1769999999</v>
      </c>
    </row>
    <row r="1275" spans="1:11">
      <c r="A1275" t="s">
        <v>1</v>
      </c>
      <c r="B1275" s="3">
        <v>41800</v>
      </c>
      <c r="C1275" s="3">
        <v>41800</v>
      </c>
      <c r="D1275" t="s">
        <v>5</v>
      </c>
      <c r="E1275" s="1">
        <v>18.139600000000002</v>
      </c>
      <c r="F1275" s="1">
        <v>34858</v>
      </c>
      <c r="G1275" s="1">
        <v>0</v>
      </c>
      <c r="H1275" s="2">
        <v>630919.34</v>
      </c>
      <c r="I1275" s="2">
        <v>0</v>
      </c>
      <c r="J1275" s="1">
        <v>34604453.579999998</v>
      </c>
      <c r="K1275" s="1">
        <v>1907673.5649999999</v>
      </c>
    </row>
    <row r="1276" spans="1:11">
      <c r="A1276" t="s">
        <v>1</v>
      </c>
      <c r="B1276" s="3">
        <v>41800</v>
      </c>
      <c r="C1276" s="3">
        <v>41800</v>
      </c>
      <c r="D1276" t="s">
        <v>4</v>
      </c>
      <c r="E1276" s="1">
        <v>11.614800000000001</v>
      </c>
      <c r="F1276" s="1">
        <v>66.063999999999993</v>
      </c>
      <c r="G1276" s="1">
        <v>684.76199999999994</v>
      </c>
      <c r="H1276" s="2">
        <v>765.65</v>
      </c>
      <c r="I1276" s="2">
        <v>-7936.05</v>
      </c>
      <c r="J1276" s="1">
        <v>3101675.09</v>
      </c>
      <c r="K1276" s="1">
        <v>267044.24800000002</v>
      </c>
    </row>
    <row r="1277" spans="1:11">
      <c r="A1277" t="s">
        <v>1</v>
      </c>
      <c r="B1277" s="3">
        <v>41800</v>
      </c>
      <c r="C1277" s="3">
        <v>41800</v>
      </c>
      <c r="D1277" t="s">
        <v>14</v>
      </c>
      <c r="E1277" s="1">
        <v>11.418900000000001</v>
      </c>
      <c r="F1277" s="1">
        <v>0</v>
      </c>
      <c r="G1277" s="1">
        <v>780.37800000000004</v>
      </c>
      <c r="H1277" s="2">
        <v>0</v>
      </c>
      <c r="I1277" s="2">
        <v>-8892.1</v>
      </c>
      <c r="J1277" s="1">
        <v>524269.42</v>
      </c>
      <c r="K1277" s="1">
        <v>45912.252</v>
      </c>
    </row>
    <row r="1278" spans="1:11">
      <c r="A1278" t="s">
        <v>1</v>
      </c>
      <c r="B1278" s="3">
        <v>41800</v>
      </c>
      <c r="C1278" s="3">
        <v>41800</v>
      </c>
      <c r="D1278" t="s">
        <v>2</v>
      </c>
      <c r="E1278" s="1">
        <v>17.892499999999998</v>
      </c>
      <c r="F1278" s="1">
        <v>18361.794999999998</v>
      </c>
      <c r="G1278" s="1">
        <v>0</v>
      </c>
      <c r="H1278" s="2">
        <v>327816.34999999998</v>
      </c>
      <c r="I1278" s="2">
        <v>0</v>
      </c>
      <c r="J1278" s="1">
        <v>67779437.879999995</v>
      </c>
      <c r="K1278" s="1">
        <v>3788148.3319999999</v>
      </c>
    </row>
    <row r="1279" spans="1:11">
      <c r="A1279" t="s">
        <v>1</v>
      </c>
      <c r="B1279" s="3">
        <v>41800</v>
      </c>
      <c r="C1279" s="3">
        <v>41800</v>
      </c>
      <c r="D1279" t="s">
        <v>0</v>
      </c>
      <c r="E1279" s="1">
        <v>17.681100000000001</v>
      </c>
      <c r="F1279" s="1">
        <v>1525.982</v>
      </c>
      <c r="G1279" s="1">
        <v>117.83199999999999</v>
      </c>
      <c r="H1279" s="2">
        <v>26921.71</v>
      </c>
      <c r="I1279" s="2">
        <v>-2078.8200000000002</v>
      </c>
      <c r="J1279" s="1">
        <v>2203447.06</v>
      </c>
      <c r="K1279" s="1">
        <v>124621.746</v>
      </c>
    </row>
    <row r="1280" spans="1:11">
      <c r="A1280" t="s">
        <v>1</v>
      </c>
      <c r="B1280" s="3">
        <v>41801</v>
      </c>
      <c r="C1280" s="3">
        <v>41801</v>
      </c>
      <c r="D1280" t="s">
        <v>7</v>
      </c>
      <c r="E1280" s="1">
        <v>23.515999999999998</v>
      </c>
      <c r="F1280" s="1">
        <v>4578.7569999999996</v>
      </c>
      <c r="G1280" s="1">
        <v>25782.958999999999</v>
      </c>
      <c r="H1280" s="2">
        <v>107729</v>
      </c>
      <c r="I1280" s="2">
        <v>-606621.47</v>
      </c>
      <c r="J1280" s="1">
        <v>272053252.54000002</v>
      </c>
      <c r="K1280" s="1">
        <v>11568875.219000001</v>
      </c>
    </row>
    <row r="1281" spans="1:11">
      <c r="A1281" t="s">
        <v>1</v>
      </c>
      <c r="B1281" s="3">
        <v>41801</v>
      </c>
      <c r="C1281" s="3">
        <v>41801</v>
      </c>
      <c r="D1281" t="s">
        <v>12</v>
      </c>
      <c r="E1281" s="1">
        <v>18.6934</v>
      </c>
      <c r="F1281" s="1">
        <v>0</v>
      </c>
      <c r="G1281" s="1">
        <v>20930.309000000001</v>
      </c>
      <c r="H1281" s="2">
        <v>0</v>
      </c>
      <c r="I1281" s="2">
        <v>-391474.22</v>
      </c>
      <c r="J1281" s="1">
        <v>9490869.2100000009</v>
      </c>
      <c r="K1281" s="1">
        <v>507713.527</v>
      </c>
    </row>
    <row r="1282" spans="1:11">
      <c r="A1282" t="s">
        <v>1</v>
      </c>
      <c r="B1282" s="3">
        <v>41801</v>
      </c>
      <c r="C1282" s="3">
        <v>41801</v>
      </c>
      <c r="D1282" t="s">
        <v>6</v>
      </c>
      <c r="E1282" s="1">
        <v>19.424099999999999</v>
      </c>
      <c r="F1282" s="1">
        <v>509.036</v>
      </c>
      <c r="G1282" s="1">
        <v>2165.6909999999998</v>
      </c>
      <c r="H1282" s="2">
        <v>9893.0300000000007</v>
      </c>
      <c r="I1282" s="2">
        <v>-42089.78</v>
      </c>
      <c r="J1282" s="1">
        <v>36663247.009999998</v>
      </c>
      <c r="K1282" s="1">
        <v>1887517.5220000001</v>
      </c>
    </row>
    <row r="1283" spans="1:11">
      <c r="A1283" t="s">
        <v>1</v>
      </c>
      <c r="B1283" s="3">
        <v>41801</v>
      </c>
      <c r="C1283" s="3">
        <v>41801</v>
      </c>
      <c r="D1283" t="s">
        <v>10</v>
      </c>
      <c r="E1283" s="1">
        <v>18.9251</v>
      </c>
      <c r="F1283" s="1">
        <v>0</v>
      </c>
      <c r="G1283" s="1">
        <v>7638</v>
      </c>
      <c r="H1283" s="2">
        <v>0</v>
      </c>
      <c r="I1283" s="2">
        <v>-144731.79</v>
      </c>
      <c r="J1283" s="1">
        <v>9504729.1799999997</v>
      </c>
      <c r="K1283" s="1">
        <v>502228.45699999999</v>
      </c>
    </row>
    <row r="1284" spans="1:11">
      <c r="A1284" t="s">
        <v>1</v>
      </c>
      <c r="B1284" s="3">
        <v>41801</v>
      </c>
      <c r="C1284" s="3">
        <v>41801</v>
      </c>
      <c r="D1284" t="s">
        <v>5</v>
      </c>
      <c r="E1284" s="1">
        <v>18.130700000000001</v>
      </c>
      <c r="F1284" s="1">
        <v>0</v>
      </c>
      <c r="G1284" s="1">
        <v>33865</v>
      </c>
      <c r="H1284" s="2">
        <v>0</v>
      </c>
      <c r="I1284" s="2">
        <v>-614297.55000000005</v>
      </c>
      <c r="J1284" s="1">
        <v>33973525.880000003</v>
      </c>
      <c r="K1284" s="1">
        <v>1873808.5649999999</v>
      </c>
    </row>
    <row r="1285" spans="1:11">
      <c r="A1285" t="s">
        <v>1</v>
      </c>
      <c r="B1285" s="3">
        <v>41801</v>
      </c>
      <c r="C1285" s="3">
        <v>41801</v>
      </c>
      <c r="D1285" t="s">
        <v>4</v>
      </c>
      <c r="E1285" s="1">
        <v>11.6089</v>
      </c>
      <c r="F1285" s="1">
        <v>22.948</v>
      </c>
      <c r="G1285" s="1">
        <v>21276.741999999998</v>
      </c>
      <c r="H1285" s="2">
        <v>266.54000000000002</v>
      </c>
      <c r="I1285" s="2">
        <v>-247125.1</v>
      </c>
      <c r="J1285" s="1">
        <v>2853361.13</v>
      </c>
      <c r="K1285" s="1">
        <v>245790.454</v>
      </c>
    </row>
    <row r="1286" spans="1:11">
      <c r="A1286" t="s">
        <v>1</v>
      </c>
      <c r="B1286" s="3">
        <v>41801</v>
      </c>
      <c r="C1286" s="3">
        <v>41801</v>
      </c>
      <c r="D1286" t="s">
        <v>2</v>
      </c>
      <c r="E1286" s="1">
        <v>17.883700000000001</v>
      </c>
      <c r="F1286" s="1">
        <v>2144.1689999999999</v>
      </c>
      <c r="G1286" s="1">
        <v>900</v>
      </c>
      <c r="H1286" s="2">
        <v>38364.58</v>
      </c>
      <c r="I1286" s="2">
        <v>-16103.26</v>
      </c>
      <c r="J1286" s="1">
        <v>67768526.269999996</v>
      </c>
      <c r="K1286" s="1">
        <v>3789392.5010000002</v>
      </c>
    </row>
    <row r="1287" spans="1:11">
      <c r="A1287" t="s">
        <v>1</v>
      </c>
      <c r="B1287" s="3">
        <v>41801</v>
      </c>
      <c r="C1287" s="3">
        <v>41801</v>
      </c>
      <c r="D1287" t="s">
        <v>9</v>
      </c>
      <c r="E1287" s="1">
        <v>19.096900000000002</v>
      </c>
      <c r="F1287" s="1">
        <v>12.916</v>
      </c>
      <c r="G1287" s="1">
        <v>9.1590000000000007</v>
      </c>
      <c r="H1287" s="2">
        <v>246.78</v>
      </c>
      <c r="I1287" s="2">
        <v>-175</v>
      </c>
      <c r="J1287" s="1">
        <v>1139496.52</v>
      </c>
      <c r="K1287" s="1">
        <v>59669.133000000002</v>
      </c>
    </row>
    <row r="1288" spans="1:11">
      <c r="A1288" t="s">
        <v>1</v>
      </c>
      <c r="B1288" s="3">
        <v>41801</v>
      </c>
      <c r="C1288" s="3">
        <v>41801</v>
      </c>
      <c r="D1288" t="s">
        <v>0</v>
      </c>
      <c r="E1288" s="1">
        <v>17.672499999999999</v>
      </c>
      <c r="F1288" s="1">
        <v>2782.0120000000002</v>
      </c>
      <c r="G1288" s="1">
        <v>34.281999999999996</v>
      </c>
      <c r="H1288" s="2">
        <v>49188.99</v>
      </c>
      <c r="I1288" s="2">
        <v>-606.14</v>
      </c>
      <c r="J1288" s="1">
        <v>2250937.34</v>
      </c>
      <c r="K1288" s="1">
        <v>127369.476</v>
      </c>
    </row>
    <row r="1289" spans="1:11">
      <c r="A1289" t="s">
        <v>1</v>
      </c>
      <c r="B1289" s="3">
        <v>41802</v>
      </c>
      <c r="C1289" s="3">
        <v>41802</v>
      </c>
      <c r="D1289" t="s">
        <v>7</v>
      </c>
      <c r="E1289" s="1">
        <v>23.401499999999999</v>
      </c>
      <c r="F1289" s="1">
        <v>16.285</v>
      </c>
      <c r="G1289" s="1">
        <v>78458.172999999995</v>
      </c>
      <c r="H1289" s="2">
        <v>382.95</v>
      </c>
      <c r="I1289" s="2">
        <v>-1845022.42</v>
      </c>
      <c r="J1289" s="1">
        <v>268893703.72000003</v>
      </c>
      <c r="K1289" s="1">
        <v>11490433.331</v>
      </c>
    </row>
    <row r="1290" spans="1:11">
      <c r="A1290" t="s">
        <v>1</v>
      </c>
      <c r="B1290" s="3">
        <v>41802</v>
      </c>
      <c r="C1290" s="3">
        <v>41802</v>
      </c>
      <c r="D1290" t="s">
        <v>12</v>
      </c>
      <c r="E1290" s="1">
        <v>18.601600000000001</v>
      </c>
      <c r="F1290" s="1">
        <v>0</v>
      </c>
      <c r="G1290" s="1">
        <v>4534.5540000000001</v>
      </c>
      <c r="H1290" s="2">
        <v>0</v>
      </c>
      <c r="I1290" s="2">
        <v>-84766.23</v>
      </c>
      <c r="J1290" s="1">
        <v>9359943.7599999998</v>
      </c>
      <c r="K1290" s="1">
        <v>503178.973</v>
      </c>
    </row>
    <row r="1291" spans="1:11">
      <c r="A1291" t="s">
        <v>1</v>
      </c>
      <c r="B1291" s="3">
        <v>41802</v>
      </c>
      <c r="C1291" s="3">
        <v>41802</v>
      </c>
      <c r="D1291" t="s">
        <v>6</v>
      </c>
      <c r="E1291" s="1">
        <v>19.328700000000001</v>
      </c>
      <c r="F1291" s="1">
        <v>21.567</v>
      </c>
      <c r="G1291" s="1">
        <v>3329.0439999999999</v>
      </c>
      <c r="H1291" s="2">
        <v>418.92</v>
      </c>
      <c r="I1291" s="2">
        <v>-64663.68</v>
      </c>
      <c r="J1291" s="1">
        <v>36419397.399999999</v>
      </c>
      <c r="K1291" s="1">
        <v>1884210.0449999999</v>
      </c>
    </row>
    <row r="1292" spans="1:11">
      <c r="A1292" t="s">
        <v>1</v>
      </c>
      <c r="B1292" s="3">
        <v>41802</v>
      </c>
      <c r="C1292" s="3">
        <v>41802</v>
      </c>
      <c r="D1292" t="s">
        <v>10</v>
      </c>
      <c r="E1292" s="1">
        <v>18.817</v>
      </c>
      <c r="F1292" s="1">
        <v>0</v>
      </c>
      <c r="G1292" s="1">
        <v>8265.509</v>
      </c>
      <c r="H1292" s="2">
        <v>0</v>
      </c>
      <c r="I1292" s="2">
        <v>-156426.04</v>
      </c>
      <c r="J1292" s="1">
        <v>9294918.4000000004</v>
      </c>
      <c r="K1292" s="1">
        <v>493962.94799999997</v>
      </c>
    </row>
    <row r="1293" spans="1:11">
      <c r="A1293" t="s">
        <v>1</v>
      </c>
      <c r="B1293" s="3">
        <v>41802</v>
      </c>
      <c r="C1293" s="3">
        <v>41802</v>
      </c>
      <c r="D1293" t="s">
        <v>5</v>
      </c>
      <c r="E1293" s="1">
        <v>18.042899999999999</v>
      </c>
      <c r="F1293" s="1">
        <v>523542</v>
      </c>
      <c r="G1293" s="1">
        <v>0</v>
      </c>
      <c r="H1293" s="2">
        <v>9492182.9399999995</v>
      </c>
      <c r="I1293" s="2">
        <v>0</v>
      </c>
      <c r="J1293" s="1">
        <v>43255085.880000003</v>
      </c>
      <c r="K1293" s="1">
        <v>2397350.5649999999</v>
      </c>
    </row>
    <row r="1294" spans="1:11">
      <c r="A1294" t="s">
        <v>1</v>
      </c>
      <c r="B1294" s="3">
        <v>41802</v>
      </c>
      <c r="C1294" s="3">
        <v>41802</v>
      </c>
      <c r="D1294" t="s">
        <v>4</v>
      </c>
      <c r="E1294" s="1">
        <v>11.5524</v>
      </c>
      <c r="F1294" s="1">
        <v>28.675999999999998</v>
      </c>
      <c r="G1294" s="1">
        <v>7860.2190000000001</v>
      </c>
      <c r="H1294" s="2">
        <v>332.9</v>
      </c>
      <c r="I1294" s="2">
        <v>-91248.5</v>
      </c>
      <c r="J1294" s="1">
        <v>2749002.71</v>
      </c>
      <c r="K1294" s="1">
        <v>237958.91099999999</v>
      </c>
    </row>
    <row r="1295" spans="1:11">
      <c r="A1295" t="s">
        <v>1</v>
      </c>
      <c r="B1295" s="3">
        <v>41802</v>
      </c>
      <c r="C1295" s="3">
        <v>41802</v>
      </c>
      <c r="D1295" t="s">
        <v>14</v>
      </c>
      <c r="E1295" s="1">
        <v>11.3566</v>
      </c>
      <c r="F1295" s="1">
        <v>0</v>
      </c>
      <c r="G1295" s="1">
        <v>1667.43</v>
      </c>
      <c r="H1295" s="2">
        <v>0</v>
      </c>
      <c r="I1295" s="2">
        <v>-19029.88</v>
      </c>
      <c r="J1295" s="1">
        <v>502472.72</v>
      </c>
      <c r="K1295" s="1">
        <v>44244.822</v>
      </c>
    </row>
    <row r="1296" spans="1:11">
      <c r="A1296" t="s">
        <v>1</v>
      </c>
      <c r="B1296" s="3">
        <v>41802</v>
      </c>
      <c r="C1296" s="3">
        <v>41802</v>
      </c>
      <c r="D1296" t="s">
        <v>2</v>
      </c>
      <c r="E1296" s="1">
        <v>17.7971</v>
      </c>
      <c r="F1296" s="1">
        <v>10089.816000000001</v>
      </c>
      <c r="G1296" s="1">
        <v>0</v>
      </c>
      <c r="H1296" s="2">
        <v>180443.06</v>
      </c>
      <c r="I1296" s="2">
        <v>0</v>
      </c>
      <c r="J1296" s="1">
        <v>67619707.170000002</v>
      </c>
      <c r="K1296" s="1">
        <v>3799482.3169999998</v>
      </c>
    </row>
    <row r="1297" spans="1:11">
      <c r="A1297" t="s">
        <v>1</v>
      </c>
      <c r="B1297" s="3">
        <v>41802</v>
      </c>
      <c r="C1297" s="3">
        <v>41802</v>
      </c>
      <c r="D1297" t="s">
        <v>0</v>
      </c>
      <c r="E1297" s="1">
        <v>17.5869</v>
      </c>
      <c r="F1297" s="1">
        <v>1052.9760000000001</v>
      </c>
      <c r="G1297" s="1">
        <v>9.7859999999999996</v>
      </c>
      <c r="H1297" s="2">
        <v>18608.8</v>
      </c>
      <c r="I1297" s="2">
        <v>-172.95</v>
      </c>
      <c r="J1297" s="1">
        <v>2258385.7599999998</v>
      </c>
      <c r="K1297" s="1">
        <v>128412.666</v>
      </c>
    </row>
    <row r="1298" spans="1:11">
      <c r="A1298" t="s">
        <v>1</v>
      </c>
      <c r="B1298" s="3">
        <v>41803</v>
      </c>
      <c r="C1298" s="3">
        <v>41803</v>
      </c>
      <c r="D1298" t="s">
        <v>8</v>
      </c>
      <c r="E1298" s="1">
        <v>18.8201</v>
      </c>
      <c r="F1298" s="1">
        <v>0</v>
      </c>
      <c r="G1298" s="1">
        <v>1143.2249999999999</v>
      </c>
      <c r="H1298" s="2">
        <v>0</v>
      </c>
      <c r="I1298" s="2">
        <v>-21636</v>
      </c>
      <c r="J1298" s="1">
        <v>6254543.3399999999</v>
      </c>
      <c r="K1298" s="1">
        <v>332333.065</v>
      </c>
    </row>
    <row r="1299" spans="1:11">
      <c r="A1299" t="s">
        <v>1</v>
      </c>
      <c r="B1299" s="3">
        <v>41803</v>
      </c>
      <c r="C1299" s="3">
        <v>41803</v>
      </c>
      <c r="D1299" t="s">
        <v>7</v>
      </c>
      <c r="E1299" s="1">
        <v>23.2713</v>
      </c>
      <c r="F1299" s="1">
        <v>1032.664</v>
      </c>
      <c r="G1299" s="1">
        <v>25564.338</v>
      </c>
      <c r="H1299" s="2">
        <v>24165.87</v>
      </c>
      <c r="I1299" s="2">
        <v>-598243.86</v>
      </c>
      <c r="J1299" s="1">
        <v>266826795.03</v>
      </c>
      <c r="K1299" s="1">
        <v>11465901.657</v>
      </c>
    </row>
    <row r="1300" spans="1:11">
      <c r="A1300" t="s">
        <v>1</v>
      </c>
      <c r="B1300" s="3">
        <v>41803</v>
      </c>
      <c r="C1300" s="3">
        <v>41803</v>
      </c>
      <c r="D1300" t="s">
        <v>12</v>
      </c>
      <c r="E1300" s="1">
        <v>18.497399999999999</v>
      </c>
      <c r="F1300" s="1">
        <v>0</v>
      </c>
      <c r="G1300" s="1">
        <v>4919.78</v>
      </c>
      <c r="H1300" s="2">
        <v>0</v>
      </c>
      <c r="I1300" s="2">
        <v>-91515.78</v>
      </c>
      <c r="J1300" s="1">
        <v>9216480.9700000007</v>
      </c>
      <c r="K1300" s="1">
        <v>498259.19300000003</v>
      </c>
    </row>
    <row r="1301" spans="1:11">
      <c r="A1301" t="s">
        <v>1</v>
      </c>
      <c r="B1301" s="3">
        <v>41803</v>
      </c>
      <c r="C1301" s="3">
        <v>41803</v>
      </c>
      <c r="D1301" t="s">
        <v>6</v>
      </c>
      <c r="E1301" s="1">
        <v>19.220400000000001</v>
      </c>
      <c r="F1301" s="1">
        <v>30253.246999999999</v>
      </c>
      <c r="G1301" s="1">
        <v>5182.9949999999999</v>
      </c>
      <c r="H1301" s="2">
        <v>584755.96</v>
      </c>
      <c r="I1301" s="2">
        <v>-100180.54</v>
      </c>
      <c r="J1301" s="1">
        <v>36697136.210000001</v>
      </c>
      <c r="K1301" s="1">
        <v>1909280.297</v>
      </c>
    </row>
    <row r="1302" spans="1:11">
      <c r="A1302" t="s">
        <v>1</v>
      </c>
      <c r="B1302" s="3">
        <v>41803</v>
      </c>
      <c r="C1302" s="3">
        <v>41803</v>
      </c>
      <c r="D1302" t="s">
        <v>5</v>
      </c>
      <c r="E1302" s="1">
        <v>17.942900000000002</v>
      </c>
      <c r="F1302" s="1">
        <v>28460</v>
      </c>
      <c r="G1302" s="1">
        <v>0</v>
      </c>
      <c r="H1302" s="2">
        <v>513500.93</v>
      </c>
      <c r="I1302" s="2">
        <v>0</v>
      </c>
      <c r="J1302" s="1">
        <v>43525974</v>
      </c>
      <c r="K1302" s="1">
        <v>2425810.5649999999</v>
      </c>
    </row>
    <row r="1303" spans="1:11">
      <c r="A1303" t="s">
        <v>1</v>
      </c>
      <c r="B1303" s="3">
        <v>41803</v>
      </c>
      <c r="C1303" s="3">
        <v>41803</v>
      </c>
      <c r="D1303" t="s">
        <v>4</v>
      </c>
      <c r="E1303" s="1">
        <v>11.488200000000001</v>
      </c>
      <c r="F1303" s="1">
        <v>28.817</v>
      </c>
      <c r="G1303" s="1">
        <v>12637.989</v>
      </c>
      <c r="H1303" s="2">
        <v>332.9</v>
      </c>
      <c r="I1303" s="2">
        <v>-145999.1</v>
      </c>
      <c r="J1303" s="1">
        <v>2588852.5099999998</v>
      </c>
      <c r="K1303" s="1">
        <v>225349.739</v>
      </c>
    </row>
    <row r="1304" spans="1:11">
      <c r="A1304" t="s">
        <v>1</v>
      </c>
      <c r="B1304" s="3">
        <v>41803</v>
      </c>
      <c r="C1304" s="3">
        <v>41803</v>
      </c>
      <c r="D1304" t="s">
        <v>3</v>
      </c>
      <c r="E1304" s="1">
        <v>11.118399999999999</v>
      </c>
      <c r="F1304" s="1">
        <v>359.44099999999997</v>
      </c>
      <c r="G1304" s="1">
        <v>0</v>
      </c>
      <c r="H1304" s="2">
        <v>4018.95</v>
      </c>
      <c r="I1304" s="2">
        <v>0</v>
      </c>
      <c r="J1304" s="1">
        <v>1952388</v>
      </c>
      <c r="K1304" s="1">
        <v>175599.53</v>
      </c>
    </row>
    <row r="1305" spans="1:11">
      <c r="A1305" t="s">
        <v>1</v>
      </c>
      <c r="B1305" s="3">
        <v>41803</v>
      </c>
      <c r="C1305" s="3">
        <v>41803</v>
      </c>
      <c r="D1305" t="s">
        <v>2</v>
      </c>
      <c r="E1305" s="1">
        <v>17.698399999999999</v>
      </c>
      <c r="F1305" s="1">
        <v>7510.1310000000003</v>
      </c>
      <c r="G1305" s="1">
        <v>0</v>
      </c>
      <c r="H1305" s="2">
        <v>133658.74</v>
      </c>
      <c r="I1305" s="2">
        <v>0</v>
      </c>
      <c r="J1305" s="1">
        <v>67377803.549999997</v>
      </c>
      <c r="K1305" s="1">
        <v>3806992.4479999999</v>
      </c>
    </row>
    <row r="1306" spans="1:11">
      <c r="A1306" t="s">
        <v>1</v>
      </c>
      <c r="B1306" s="3">
        <v>41803</v>
      </c>
      <c r="C1306" s="3">
        <v>41803</v>
      </c>
      <c r="D1306" t="s">
        <v>9</v>
      </c>
      <c r="E1306" s="1">
        <v>18.8994</v>
      </c>
      <c r="F1306" s="1">
        <v>0</v>
      </c>
      <c r="G1306" s="1">
        <v>4.0209999999999999</v>
      </c>
      <c r="H1306" s="2">
        <v>0</v>
      </c>
      <c r="I1306" s="2">
        <v>-76.42</v>
      </c>
      <c r="J1306" s="1">
        <v>1127634.54</v>
      </c>
      <c r="K1306" s="1">
        <v>59665.112000000001</v>
      </c>
    </row>
    <row r="1307" spans="1:11">
      <c r="A1307" t="s">
        <v>1</v>
      </c>
      <c r="B1307" s="3">
        <v>41803</v>
      </c>
      <c r="C1307" s="3">
        <v>41803</v>
      </c>
      <c r="D1307" t="s">
        <v>0</v>
      </c>
      <c r="E1307" s="1">
        <v>17.4895</v>
      </c>
      <c r="F1307" s="1">
        <v>3897.9859999999999</v>
      </c>
      <c r="G1307" s="1">
        <v>74.771000000000001</v>
      </c>
      <c r="H1307" s="2">
        <v>68553.16</v>
      </c>
      <c r="I1307" s="2">
        <v>-1314.99</v>
      </c>
      <c r="J1307" s="1">
        <v>2312742.34</v>
      </c>
      <c r="K1307" s="1">
        <v>132235.88099999999</v>
      </c>
    </row>
    <row r="1308" spans="1:11">
      <c r="A1308" t="s">
        <v>1</v>
      </c>
      <c r="B1308" s="3">
        <v>41806</v>
      </c>
      <c r="C1308" s="3">
        <v>41806</v>
      </c>
      <c r="D1308" t="s">
        <v>7</v>
      </c>
      <c r="E1308" s="1">
        <v>23.337599999999998</v>
      </c>
      <c r="F1308" s="1">
        <v>22222.995999999999</v>
      </c>
      <c r="G1308" s="1">
        <v>8950.6910000000007</v>
      </c>
      <c r="H1308" s="2">
        <v>517157.98</v>
      </c>
      <c r="I1308" s="2">
        <v>-208294.23</v>
      </c>
      <c r="J1308" s="1">
        <v>267896903.19999999</v>
      </c>
      <c r="K1308" s="1">
        <v>11479173.961999999</v>
      </c>
    </row>
    <row r="1309" spans="1:11">
      <c r="A1309" t="s">
        <v>1</v>
      </c>
      <c r="B1309" s="3">
        <v>41806</v>
      </c>
      <c r="C1309" s="3">
        <v>41806</v>
      </c>
      <c r="D1309" t="s">
        <v>12</v>
      </c>
      <c r="E1309" s="1">
        <v>18.547799999999999</v>
      </c>
      <c r="F1309" s="1">
        <v>927.51499999999999</v>
      </c>
      <c r="G1309" s="1">
        <v>3807.152</v>
      </c>
      <c r="H1309" s="2">
        <v>17156.62</v>
      </c>
      <c r="I1309" s="2">
        <v>-70422.42</v>
      </c>
      <c r="J1309" s="1">
        <v>9188197.4700000007</v>
      </c>
      <c r="K1309" s="1">
        <v>495379.55599999998</v>
      </c>
    </row>
    <row r="1310" spans="1:11">
      <c r="A1310" t="s">
        <v>1</v>
      </c>
      <c r="B1310" s="3">
        <v>41806</v>
      </c>
      <c r="C1310" s="3">
        <v>41806</v>
      </c>
      <c r="D1310" t="s">
        <v>6</v>
      </c>
      <c r="E1310" s="1">
        <v>19.2728</v>
      </c>
      <c r="F1310" s="1">
        <v>8598.5120000000006</v>
      </c>
      <c r="G1310" s="1">
        <v>116.738</v>
      </c>
      <c r="H1310" s="2">
        <v>165266.82</v>
      </c>
      <c r="I1310" s="2">
        <v>-2243.75</v>
      </c>
      <c r="J1310" s="1">
        <v>36960653.630000003</v>
      </c>
      <c r="K1310" s="1">
        <v>1917762.071</v>
      </c>
    </row>
    <row r="1311" spans="1:11">
      <c r="A1311" t="s">
        <v>1</v>
      </c>
      <c r="B1311" s="3">
        <v>41806</v>
      </c>
      <c r="C1311" s="3">
        <v>41806</v>
      </c>
      <c r="D1311" t="s">
        <v>5</v>
      </c>
      <c r="E1311" s="1">
        <v>17.995100000000001</v>
      </c>
      <c r="F1311" s="1">
        <v>0</v>
      </c>
      <c r="G1311" s="1">
        <v>75024</v>
      </c>
      <c r="H1311" s="2">
        <v>0</v>
      </c>
      <c r="I1311" s="2">
        <v>-1346148.13</v>
      </c>
      <c r="J1311" s="1">
        <v>42302623.939999998</v>
      </c>
      <c r="K1311" s="1">
        <v>2350786.5649999999</v>
      </c>
    </row>
    <row r="1312" spans="1:11">
      <c r="A1312" t="s">
        <v>1</v>
      </c>
      <c r="B1312" s="3">
        <v>41806</v>
      </c>
      <c r="C1312" s="3">
        <v>41806</v>
      </c>
      <c r="D1312" t="s">
        <v>4</v>
      </c>
      <c r="E1312" s="1">
        <v>11.520899999999999</v>
      </c>
      <c r="F1312" s="1">
        <v>753.94600000000003</v>
      </c>
      <c r="G1312" s="1">
        <v>7513.0929999999998</v>
      </c>
      <c r="H1312" s="2">
        <v>8661.48</v>
      </c>
      <c r="I1312" s="2">
        <v>-86311.92</v>
      </c>
      <c r="J1312" s="1">
        <v>2518358.14</v>
      </c>
      <c r="K1312" s="1">
        <v>218590.592</v>
      </c>
    </row>
    <row r="1313" spans="1:11">
      <c r="A1313" t="s">
        <v>1</v>
      </c>
      <c r="B1313" s="3">
        <v>41806</v>
      </c>
      <c r="C1313" s="3">
        <v>41806</v>
      </c>
      <c r="D1313" t="s">
        <v>2</v>
      </c>
      <c r="E1313" s="1">
        <v>17.75</v>
      </c>
      <c r="F1313" s="1">
        <v>5748.2629999999999</v>
      </c>
      <c r="G1313" s="1">
        <v>800</v>
      </c>
      <c r="H1313" s="2">
        <v>101734.64</v>
      </c>
      <c r="I1313" s="2">
        <v>-14158.66</v>
      </c>
      <c r="J1313" s="1">
        <v>67661791.390000001</v>
      </c>
      <c r="K1313" s="1">
        <v>3811940.7110000001</v>
      </c>
    </row>
    <row r="1314" spans="1:11">
      <c r="A1314" t="s">
        <v>1</v>
      </c>
      <c r="B1314" s="3">
        <v>41806</v>
      </c>
      <c r="C1314" s="3">
        <v>41806</v>
      </c>
      <c r="D1314" t="s">
        <v>0</v>
      </c>
      <c r="E1314" s="1">
        <v>17.540700000000001</v>
      </c>
      <c r="F1314" s="1">
        <v>3235.0079999999998</v>
      </c>
      <c r="G1314" s="1">
        <v>7.5179999999999998</v>
      </c>
      <c r="H1314" s="2">
        <v>56578.7</v>
      </c>
      <c r="I1314" s="2">
        <v>-131.49</v>
      </c>
      <c r="J1314" s="1">
        <v>2376116.19</v>
      </c>
      <c r="K1314" s="1">
        <v>135463.37100000001</v>
      </c>
    </row>
    <row r="1315" spans="1:11">
      <c r="A1315" t="s">
        <v>1</v>
      </c>
      <c r="B1315" s="3">
        <v>41807</v>
      </c>
      <c r="C1315" s="3">
        <v>41807</v>
      </c>
      <c r="D1315" t="s">
        <v>7</v>
      </c>
      <c r="E1315" s="1">
        <v>23.3062</v>
      </c>
      <c r="F1315" s="1">
        <v>143200.83199999999</v>
      </c>
      <c r="G1315" s="1">
        <v>9258.1669999999995</v>
      </c>
      <c r="H1315" s="2">
        <v>3341963.72</v>
      </c>
      <c r="I1315" s="2">
        <v>-216063.4</v>
      </c>
      <c r="J1315" s="1">
        <v>270657787.05000001</v>
      </c>
      <c r="K1315" s="1">
        <v>11613116.627</v>
      </c>
    </row>
    <row r="1316" spans="1:11">
      <c r="A1316" t="s">
        <v>1</v>
      </c>
      <c r="B1316" s="3">
        <v>41807</v>
      </c>
      <c r="C1316" s="3">
        <v>41807</v>
      </c>
      <c r="D1316" t="s">
        <v>12</v>
      </c>
      <c r="E1316" s="1">
        <v>18.522099999999998</v>
      </c>
      <c r="F1316" s="1">
        <v>1851.521</v>
      </c>
      <c r="G1316" s="1">
        <v>4345.3950000000004</v>
      </c>
      <c r="H1316" s="2">
        <v>34341.64</v>
      </c>
      <c r="I1316" s="2">
        <v>-80597.52</v>
      </c>
      <c r="J1316" s="1">
        <v>9129253.4199999999</v>
      </c>
      <c r="K1316" s="1">
        <v>492885.68199999997</v>
      </c>
    </row>
    <row r="1317" spans="1:11">
      <c r="A1317" t="s">
        <v>1</v>
      </c>
      <c r="B1317" s="3">
        <v>41807</v>
      </c>
      <c r="C1317" s="3">
        <v>41807</v>
      </c>
      <c r="D1317" t="s">
        <v>6</v>
      </c>
      <c r="E1317" s="1">
        <v>19.246099999999998</v>
      </c>
      <c r="F1317" s="1">
        <v>1509.145</v>
      </c>
      <c r="G1317" s="1">
        <v>16498.678</v>
      </c>
      <c r="H1317" s="2">
        <v>29085.45</v>
      </c>
      <c r="I1317" s="2">
        <v>-317975.7</v>
      </c>
      <c r="J1317" s="1">
        <v>36620866.399999999</v>
      </c>
      <c r="K1317" s="1">
        <v>1902772.5379999999</v>
      </c>
    </row>
    <row r="1318" spans="1:11">
      <c r="A1318" t="s">
        <v>1</v>
      </c>
      <c r="B1318" s="3">
        <v>41807</v>
      </c>
      <c r="C1318" s="3">
        <v>41807</v>
      </c>
      <c r="D1318" t="s">
        <v>10</v>
      </c>
      <c r="E1318" s="1">
        <v>18.799399999999999</v>
      </c>
      <c r="F1318" s="1">
        <v>0</v>
      </c>
      <c r="G1318" s="1">
        <v>25450</v>
      </c>
      <c r="H1318" s="2">
        <v>0</v>
      </c>
      <c r="I1318" s="2">
        <v>-478268.81</v>
      </c>
      <c r="J1318" s="1">
        <v>8807774.6099999994</v>
      </c>
      <c r="K1318" s="1">
        <v>468512.94799999997</v>
      </c>
    </row>
    <row r="1319" spans="1:11">
      <c r="A1319" t="s">
        <v>1</v>
      </c>
      <c r="B1319" s="3">
        <v>41807</v>
      </c>
      <c r="C1319" s="3">
        <v>41807</v>
      </c>
      <c r="D1319" t="s">
        <v>5</v>
      </c>
      <c r="E1319" s="1">
        <v>17.9712</v>
      </c>
      <c r="F1319" s="1">
        <v>324411</v>
      </c>
      <c r="G1319" s="1">
        <v>0</v>
      </c>
      <c r="H1319" s="2">
        <v>5837808.3899999997</v>
      </c>
      <c r="I1319" s="2">
        <v>0</v>
      </c>
      <c r="J1319" s="1">
        <v>48076585.479999997</v>
      </c>
      <c r="K1319" s="1">
        <v>2675197.5649999999</v>
      </c>
    </row>
    <row r="1320" spans="1:11">
      <c r="A1320" t="s">
        <v>1</v>
      </c>
      <c r="B1320" s="3">
        <v>41807</v>
      </c>
      <c r="C1320" s="3">
        <v>41807</v>
      </c>
      <c r="D1320" t="s">
        <v>4</v>
      </c>
      <c r="E1320" s="1">
        <v>11.5054</v>
      </c>
      <c r="F1320" s="1">
        <v>63.569000000000003</v>
      </c>
      <c r="G1320" s="1">
        <v>1455.6079999999999</v>
      </c>
      <c r="H1320" s="2">
        <v>732.37</v>
      </c>
      <c r="I1320" s="2">
        <v>-16769.919999999998</v>
      </c>
      <c r="J1320" s="1">
        <v>2498950.44</v>
      </c>
      <c r="K1320" s="1">
        <v>217198.55300000001</v>
      </c>
    </row>
    <row r="1321" spans="1:11">
      <c r="A1321" t="s">
        <v>1</v>
      </c>
      <c r="B1321" s="3">
        <v>41807</v>
      </c>
      <c r="C1321" s="3">
        <v>41807</v>
      </c>
      <c r="D1321" t="s">
        <v>2</v>
      </c>
      <c r="E1321" s="1">
        <v>17.726400000000002</v>
      </c>
      <c r="F1321" s="1">
        <v>6290</v>
      </c>
      <c r="G1321" s="1">
        <v>195358.80799999999</v>
      </c>
      <c r="H1321" s="2">
        <v>111647.85</v>
      </c>
      <c r="I1321" s="2">
        <v>-3467629.6</v>
      </c>
      <c r="J1321" s="1">
        <v>64220523.219999999</v>
      </c>
      <c r="K1321" s="1">
        <v>3622871.9029999999</v>
      </c>
    </row>
    <row r="1322" spans="1:11">
      <c r="A1322" t="s">
        <v>1</v>
      </c>
      <c r="B1322" s="3">
        <v>41807</v>
      </c>
      <c r="C1322" s="3">
        <v>41807</v>
      </c>
      <c r="D1322" t="s">
        <v>0</v>
      </c>
      <c r="E1322" s="1">
        <v>17.517499999999998</v>
      </c>
      <c r="F1322" s="1">
        <v>2036.7739999999999</v>
      </c>
      <c r="G1322" s="1">
        <v>77.664000000000001</v>
      </c>
      <c r="H1322" s="2">
        <v>35726.379999999997</v>
      </c>
      <c r="I1322" s="2">
        <v>-1362.28</v>
      </c>
      <c r="J1322" s="1">
        <v>2407293.2799999998</v>
      </c>
      <c r="K1322" s="1">
        <v>137422.481</v>
      </c>
    </row>
    <row r="1323" spans="1:11">
      <c r="A1323" t="s">
        <v>1</v>
      </c>
      <c r="B1323" s="3">
        <v>41808</v>
      </c>
      <c r="C1323" s="3">
        <v>41808</v>
      </c>
      <c r="D1323" t="s">
        <v>7</v>
      </c>
      <c r="E1323" s="1">
        <v>23.388500000000001</v>
      </c>
      <c r="F1323" s="1">
        <v>28783.056</v>
      </c>
      <c r="G1323" s="1">
        <v>13292.811</v>
      </c>
      <c r="H1323" s="2">
        <v>670823.65</v>
      </c>
      <c r="I1323" s="2">
        <v>-309804.89</v>
      </c>
      <c r="J1323" s="1">
        <v>271976139.17000002</v>
      </c>
      <c r="K1323" s="1">
        <v>11628606.872</v>
      </c>
    </row>
    <row r="1324" spans="1:11">
      <c r="A1324" t="s">
        <v>1</v>
      </c>
      <c r="B1324" s="3">
        <v>41808</v>
      </c>
      <c r="C1324" s="3">
        <v>41808</v>
      </c>
      <c r="D1324" t="s">
        <v>12</v>
      </c>
      <c r="E1324" s="1">
        <v>18.5867</v>
      </c>
      <c r="F1324" s="1">
        <v>0</v>
      </c>
      <c r="G1324" s="1">
        <v>2880.308</v>
      </c>
      <c r="H1324" s="2">
        <v>0</v>
      </c>
      <c r="I1324" s="2">
        <v>-53349.35</v>
      </c>
      <c r="J1324" s="1">
        <v>9107590.3399999999</v>
      </c>
      <c r="K1324" s="1">
        <v>490005.37400000001</v>
      </c>
    </row>
    <row r="1325" spans="1:11">
      <c r="A1325" t="s">
        <v>1</v>
      </c>
      <c r="B1325" s="3">
        <v>41808</v>
      </c>
      <c r="C1325" s="3">
        <v>41808</v>
      </c>
      <c r="D1325" t="s">
        <v>6</v>
      </c>
      <c r="E1325" s="1">
        <v>19.313199999999998</v>
      </c>
      <c r="F1325" s="1">
        <v>46941.919999999998</v>
      </c>
      <c r="G1325" s="1">
        <v>7685.6390000000001</v>
      </c>
      <c r="H1325" s="2">
        <v>903448.89</v>
      </c>
      <c r="I1325" s="2">
        <v>-147918.6</v>
      </c>
      <c r="J1325" s="1">
        <v>37506887.189999998</v>
      </c>
      <c r="K1325" s="1">
        <v>1942028.8189999999</v>
      </c>
    </row>
    <row r="1326" spans="1:11">
      <c r="A1326" t="s">
        <v>1</v>
      </c>
      <c r="B1326" s="3">
        <v>41808</v>
      </c>
      <c r="C1326" s="3">
        <v>41808</v>
      </c>
      <c r="D1326" t="s">
        <v>10</v>
      </c>
      <c r="E1326" s="1">
        <v>18.869199999999999</v>
      </c>
      <c r="F1326" s="1">
        <v>0</v>
      </c>
      <c r="G1326" s="1">
        <v>3458</v>
      </c>
      <c r="H1326" s="2">
        <v>0</v>
      </c>
      <c r="I1326" s="2">
        <v>-65008.54</v>
      </c>
      <c r="J1326" s="1">
        <v>8775203.6199999992</v>
      </c>
      <c r="K1326" s="1">
        <v>465054.94799999997</v>
      </c>
    </row>
    <row r="1327" spans="1:11">
      <c r="A1327" t="s">
        <v>1</v>
      </c>
      <c r="B1327" s="3">
        <v>41808</v>
      </c>
      <c r="C1327" s="3">
        <v>41808</v>
      </c>
      <c r="D1327" t="s">
        <v>5</v>
      </c>
      <c r="E1327" s="1">
        <v>18.0351</v>
      </c>
      <c r="F1327" s="1">
        <v>474631</v>
      </c>
      <c r="G1327" s="1">
        <v>0</v>
      </c>
      <c r="H1327" s="2">
        <v>8529688.6300000008</v>
      </c>
      <c r="I1327" s="2">
        <v>0</v>
      </c>
      <c r="J1327" s="1">
        <v>56807390.469999999</v>
      </c>
      <c r="K1327" s="1">
        <v>3149828.5649999999</v>
      </c>
    </row>
    <row r="1328" spans="1:11">
      <c r="A1328" t="s">
        <v>1</v>
      </c>
      <c r="B1328" s="3">
        <v>41808</v>
      </c>
      <c r="C1328" s="3">
        <v>41808</v>
      </c>
      <c r="D1328" t="s">
        <v>4</v>
      </c>
      <c r="E1328" s="1">
        <v>11.545999999999999</v>
      </c>
      <c r="F1328" s="1">
        <v>0</v>
      </c>
      <c r="G1328" s="1">
        <v>2930.9639999999999</v>
      </c>
      <c r="H1328" s="2">
        <v>0</v>
      </c>
      <c r="I1328" s="2">
        <v>-33721.910000000003</v>
      </c>
      <c r="J1328" s="1">
        <v>2473936.6</v>
      </c>
      <c r="K1328" s="1">
        <v>214267.58900000001</v>
      </c>
    </row>
    <row r="1329" spans="1:11">
      <c r="A1329" t="s">
        <v>1</v>
      </c>
      <c r="B1329" s="3">
        <v>41808</v>
      </c>
      <c r="C1329" s="3">
        <v>41808</v>
      </c>
      <c r="D1329" t="s">
        <v>2</v>
      </c>
      <c r="E1329" s="1">
        <v>17.789400000000001</v>
      </c>
      <c r="F1329" s="1">
        <v>9142.5830000000005</v>
      </c>
      <c r="G1329" s="1">
        <v>0</v>
      </c>
      <c r="H1329" s="2">
        <v>162064.93</v>
      </c>
      <c r="I1329" s="2">
        <v>0</v>
      </c>
      <c r="J1329" s="1">
        <v>64611332.939999998</v>
      </c>
      <c r="K1329" s="1">
        <v>3632014.486</v>
      </c>
    </row>
    <row r="1330" spans="1:11">
      <c r="A1330" t="s">
        <v>1</v>
      </c>
      <c r="B1330" s="3">
        <v>41808</v>
      </c>
      <c r="C1330" s="3">
        <v>41808</v>
      </c>
      <c r="D1330" t="s">
        <v>9</v>
      </c>
      <c r="E1330" s="1">
        <v>18.997399999999999</v>
      </c>
      <c r="F1330" s="1">
        <v>0</v>
      </c>
      <c r="G1330" s="1">
        <v>78.284999999999997</v>
      </c>
      <c r="H1330" s="2">
        <v>0</v>
      </c>
      <c r="I1330" s="2">
        <v>-1481.95</v>
      </c>
      <c r="J1330" s="1">
        <v>1131997.32</v>
      </c>
      <c r="K1330" s="1">
        <v>59586.826999999997</v>
      </c>
    </row>
    <row r="1331" spans="1:11">
      <c r="A1331" t="s">
        <v>1</v>
      </c>
      <c r="B1331" s="3">
        <v>41808</v>
      </c>
      <c r="C1331" s="3">
        <v>41808</v>
      </c>
      <c r="D1331" t="s">
        <v>0</v>
      </c>
      <c r="E1331" s="1">
        <v>17.579799999999999</v>
      </c>
      <c r="F1331" s="1">
        <v>1503.8710000000001</v>
      </c>
      <c r="G1331" s="1">
        <v>23.132999999999999</v>
      </c>
      <c r="H1331" s="2">
        <v>26344.01</v>
      </c>
      <c r="I1331" s="2">
        <v>-405.23</v>
      </c>
      <c r="J1331" s="1">
        <v>2441887.09</v>
      </c>
      <c r="K1331" s="1">
        <v>138903.21900000001</v>
      </c>
    </row>
    <row r="1332" spans="1:11">
      <c r="A1332" t="s">
        <v>1</v>
      </c>
      <c r="B1332" s="3">
        <v>41809</v>
      </c>
      <c r="C1332" s="3">
        <v>41809</v>
      </c>
      <c r="D1332" t="s">
        <v>8</v>
      </c>
      <c r="E1332" s="1">
        <v>19.0459</v>
      </c>
      <c r="F1332" s="1">
        <v>0</v>
      </c>
      <c r="G1332" s="1">
        <v>3012.6309999999999</v>
      </c>
      <c r="H1332" s="2">
        <v>0</v>
      </c>
      <c r="I1332" s="2">
        <v>-56983.5</v>
      </c>
      <c r="J1332" s="1">
        <v>6272215.1699999999</v>
      </c>
      <c r="K1332" s="1">
        <v>329320.43400000001</v>
      </c>
    </row>
    <row r="1333" spans="1:11">
      <c r="A1333" t="s">
        <v>1</v>
      </c>
      <c r="B1333" s="3">
        <v>41809</v>
      </c>
      <c r="C1333" s="3">
        <v>41809</v>
      </c>
      <c r="D1333" t="s">
        <v>7</v>
      </c>
      <c r="E1333" s="1">
        <v>23.550599999999999</v>
      </c>
      <c r="F1333" s="1">
        <v>11068.786</v>
      </c>
      <c r="G1333" s="1">
        <v>3249.0619999999999</v>
      </c>
      <c r="H1333" s="2">
        <v>258882.3</v>
      </c>
      <c r="I1333" s="2">
        <v>-75990.679999999993</v>
      </c>
      <c r="J1333" s="1">
        <v>274044480.25999999</v>
      </c>
      <c r="K1333" s="1">
        <v>11636426.596000001</v>
      </c>
    </row>
    <row r="1334" spans="1:11">
      <c r="A1334" t="s">
        <v>1</v>
      </c>
      <c r="B1334" s="3">
        <v>41809</v>
      </c>
      <c r="C1334" s="3">
        <v>41809</v>
      </c>
      <c r="D1334" t="s">
        <v>12</v>
      </c>
      <c r="E1334" s="1">
        <v>18.714700000000001</v>
      </c>
      <c r="F1334" s="1">
        <v>761.37900000000002</v>
      </c>
      <c r="G1334" s="1">
        <v>0</v>
      </c>
      <c r="H1334" s="2">
        <v>14151.53</v>
      </c>
      <c r="I1334" s="2">
        <v>0</v>
      </c>
      <c r="J1334" s="1">
        <v>9184560.1500000004</v>
      </c>
      <c r="K1334" s="1">
        <v>490766.75300000003</v>
      </c>
    </row>
    <row r="1335" spans="1:11">
      <c r="A1335" t="s">
        <v>1</v>
      </c>
      <c r="B1335" s="3">
        <v>41809</v>
      </c>
      <c r="C1335" s="3">
        <v>41809</v>
      </c>
      <c r="D1335" t="s">
        <v>6</v>
      </c>
      <c r="E1335" s="1">
        <v>19.446300000000001</v>
      </c>
      <c r="F1335" s="1">
        <v>3974.9549999999999</v>
      </c>
      <c r="G1335" s="1">
        <v>5800.1930000000002</v>
      </c>
      <c r="H1335" s="2">
        <v>76769.11</v>
      </c>
      <c r="I1335" s="2">
        <v>-112020.28</v>
      </c>
      <c r="J1335" s="1">
        <v>37729690.170000002</v>
      </c>
      <c r="K1335" s="1">
        <v>1940203.581</v>
      </c>
    </row>
    <row r="1336" spans="1:11">
      <c r="A1336" t="s">
        <v>1</v>
      </c>
      <c r="B1336" s="3">
        <v>41809</v>
      </c>
      <c r="C1336" s="3">
        <v>41809</v>
      </c>
      <c r="D1336" t="s">
        <v>10</v>
      </c>
      <c r="E1336" s="1">
        <v>19.0792</v>
      </c>
      <c r="F1336" s="1">
        <v>0</v>
      </c>
      <c r="G1336" s="1">
        <v>15912</v>
      </c>
      <c r="H1336" s="2">
        <v>0</v>
      </c>
      <c r="I1336" s="2">
        <v>-300245.71000000002</v>
      </c>
      <c r="J1336" s="1">
        <v>8569283.5500000007</v>
      </c>
      <c r="K1336" s="1">
        <v>449142.94799999997</v>
      </c>
    </row>
    <row r="1337" spans="1:11">
      <c r="A1337" t="s">
        <v>1</v>
      </c>
      <c r="B1337" s="3">
        <v>41809</v>
      </c>
      <c r="C1337" s="3">
        <v>41809</v>
      </c>
      <c r="D1337" t="s">
        <v>4</v>
      </c>
      <c r="E1337" s="1">
        <v>11.625999999999999</v>
      </c>
      <c r="F1337" s="1">
        <v>8.6579999999999995</v>
      </c>
      <c r="G1337" s="1">
        <v>0</v>
      </c>
      <c r="H1337" s="2">
        <v>99.97</v>
      </c>
      <c r="I1337" s="2">
        <v>0</v>
      </c>
      <c r="J1337" s="1">
        <v>2491176.1</v>
      </c>
      <c r="K1337" s="1">
        <v>214276.247</v>
      </c>
    </row>
    <row r="1338" spans="1:11">
      <c r="A1338" t="s">
        <v>1</v>
      </c>
      <c r="B1338" s="3">
        <v>41809</v>
      </c>
      <c r="C1338" s="3">
        <v>41809</v>
      </c>
      <c r="D1338" t="s">
        <v>2</v>
      </c>
      <c r="E1338" s="1">
        <v>17.913</v>
      </c>
      <c r="F1338" s="1">
        <v>3005.3519999999999</v>
      </c>
      <c r="G1338" s="1">
        <v>2000</v>
      </c>
      <c r="H1338" s="2">
        <v>53463.27</v>
      </c>
      <c r="I1338" s="2">
        <v>-35578.71</v>
      </c>
      <c r="J1338" s="1">
        <v>65078280.530000001</v>
      </c>
      <c r="K1338" s="1">
        <v>3633019.838</v>
      </c>
    </row>
    <row r="1339" spans="1:11">
      <c r="A1339" t="s">
        <v>1</v>
      </c>
      <c r="B1339" s="3">
        <v>41809</v>
      </c>
      <c r="C1339" s="3">
        <v>41809</v>
      </c>
      <c r="D1339" t="s">
        <v>0</v>
      </c>
      <c r="E1339" s="1">
        <v>17.702000000000002</v>
      </c>
      <c r="F1339" s="1">
        <v>2799.7440000000001</v>
      </c>
      <c r="G1339" s="1">
        <v>24.574000000000002</v>
      </c>
      <c r="H1339" s="2">
        <v>49218.79</v>
      </c>
      <c r="I1339" s="2">
        <v>-432</v>
      </c>
      <c r="J1339" s="1">
        <v>2507990.0499999998</v>
      </c>
      <c r="K1339" s="1">
        <v>141678.389</v>
      </c>
    </row>
    <row r="1340" spans="1:11">
      <c r="A1340" t="s">
        <v>1</v>
      </c>
      <c r="B1340" s="3">
        <v>41810</v>
      </c>
      <c r="C1340" s="3">
        <v>41810</v>
      </c>
      <c r="D1340" t="s">
        <v>7</v>
      </c>
      <c r="E1340" s="1">
        <v>23.608599999999999</v>
      </c>
      <c r="F1340" s="1">
        <v>73543.555999999997</v>
      </c>
      <c r="G1340" s="1">
        <v>1059.4970000000001</v>
      </c>
      <c r="H1340" s="2">
        <v>1731994.87</v>
      </c>
      <c r="I1340" s="2">
        <v>-24951.8</v>
      </c>
      <c r="J1340" s="1">
        <v>276430671.35000002</v>
      </c>
      <c r="K1340" s="1">
        <v>11708910.654999999</v>
      </c>
    </row>
    <row r="1341" spans="1:11">
      <c r="A1341" t="s">
        <v>1</v>
      </c>
      <c r="B1341" s="3">
        <v>41810</v>
      </c>
      <c r="C1341" s="3">
        <v>41810</v>
      </c>
      <c r="D1341" t="s">
        <v>12</v>
      </c>
      <c r="E1341" s="1">
        <v>18.760000000000002</v>
      </c>
      <c r="F1341" s="1">
        <v>4341.0929999999998</v>
      </c>
      <c r="G1341" s="1">
        <v>0</v>
      </c>
      <c r="H1341" s="2">
        <v>81242.27</v>
      </c>
      <c r="I1341" s="2">
        <v>0</v>
      </c>
      <c r="J1341" s="1">
        <v>9288242.3599999994</v>
      </c>
      <c r="K1341" s="1">
        <v>495107.84600000002</v>
      </c>
    </row>
    <row r="1342" spans="1:11">
      <c r="A1342" t="s">
        <v>1</v>
      </c>
      <c r="B1342" s="3">
        <v>41810</v>
      </c>
      <c r="C1342" s="3">
        <v>41810</v>
      </c>
      <c r="D1342" t="s">
        <v>6</v>
      </c>
      <c r="E1342" s="1">
        <v>19.493300000000001</v>
      </c>
      <c r="F1342" s="1">
        <v>14139.597</v>
      </c>
      <c r="G1342" s="1">
        <v>624.13300000000004</v>
      </c>
      <c r="H1342" s="2">
        <v>274962.87</v>
      </c>
      <c r="I1342" s="2">
        <v>-12137.07</v>
      </c>
      <c r="J1342" s="1">
        <v>38084526.32</v>
      </c>
      <c r="K1342" s="1">
        <v>1953719.0449999999</v>
      </c>
    </row>
    <row r="1343" spans="1:11">
      <c r="A1343" t="s">
        <v>1</v>
      </c>
      <c r="B1343" s="3">
        <v>41810</v>
      </c>
      <c r="C1343" s="3">
        <v>41810</v>
      </c>
      <c r="D1343" t="s">
        <v>10</v>
      </c>
      <c r="E1343" s="1">
        <v>19.0822</v>
      </c>
      <c r="F1343" s="1">
        <v>0</v>
      </c>
      <c r="G1343" s="1">
        <v>4560</v>
      </c>
      <c r="H1343" s="2">
        <v>0</v>
      </c>
      <c r="I1343" s="2">
        <v>-87001.18</v>
      </c>
      <c r="J1343" s="1">
        <v>8483623.7699999996</v>
      </c>
      <c r="K1343" s="1">
        <v>444582.94799999997</v>
      </c>
    </row>
    <row r="1344" spans="1:11">
      <c r="A1344" t="s">
        <v>1</v>
      </c>
      <c r="B1344" s="3">
        <v>41810</v>
      </c>
      <c r="C1344" s="3">
        <v>41810</v>
      </c>
      <c r="D1344" t="s">
        <v>5</v>
      </c>
      <c r="E1344" s="1">
        <v>18.205500000000001</v>
      </c>
      <c r="F1344" s="1">
        <v>0</v>
      </c>
      <c r="G1344" s="1">
        <v>12316.880999999999</v>
      </c>
      <c r="H1344" s="2">
        <v>0</v>
      </c>
      <c r="I1344" s="2">
        <v>-223679.49</v>
      </c>
      <c r="J1344" s="1">
        <v>57119928.439999998</v>
      </c>
      <c r="K1344" s="1">
        <v>3137511.6839999999</v>
      </c>
    </row>
    <row r="1345" spans="1:11">
      <c r="A1345" t="s">
        <v>1</v>
      </c>
      <c r="B1345" s="3">
        <v>41810</v>
      </c>
      <c r="C1345" s="3">
        <v>41810</v>
      </c>
      <c r="D1345" t="s">
        <v>4</v>
      </c>
      <c r="E1345" s="1">
        <v>11.6546</v>
      </c>
      <c r="F1345" s="1">
        <v>0</v>
      </c>
      <c r="G1345" s="1">
        <v>4444.107</v>
      </c>
      <c r="H1345" s="2">
        <v>0</v>
      </c>
      <c r="I1345" s="2">
        <v>-51667.19</v>
      </c>
      <c r="J1345" s="1">
        <v>2445517.15</v>
      </c>
      <c r="K1345" s="1">
        <v>209832.14</v>
      </c>
    </row>
    <row r="1346" spans="1:11">
      <c r="A1346" t="s">
        <v>1</v>
      </c>
      <c r="B1346" s="3">
        <v>41810</v>
      </c>
      <c r="C1346" s="3">
        <v>41810</v>
      </c>
      <c r="D1346" t="s">
        <v>2</v>
      </c>
      <c r="E1346" s="1">
        <v>17.9575</v>
      </c>
      <c r="F1346" s="1">
        <v>29037.741000000002</v>
      </c>
      <c r="G1346" s="1">
        <v>0</v>
      </c>
      <c r="H1346" s="2">
        <v>520152.82</v>
      </c>
      <c r="I1346" s="2">
        <v>0</v>
      </c>
      <c r="J1346" s="1">
        <v>65761343.509999998</v>
      </c>
      <c r="K1346" s="1">
        <v>3662057.5789999999</v>
      </c>
    </row>
    <row r="1347" spans="1:11">
      <c r="A1347" t="s">
        <v>1</v>
      </c>
      <c r="B1347" s="3">
        <v>41810</v>
      </c>
      <c r="C1347" s="3">
        <v>41810</v>
      </c>
      <c r="D1347" t="s">
        <v>9</v>
      </c>
      <c r="E1347" s="1">
        <v>19.177299999999999</v>
      </c>
      <c r="F1347" s="1">
        <v>0</v>
      </c>
      <c r="G1347" s="1">
        <v>115.56100000000001</v>
      </c>
      <c r="H1347" s="2">
        <v>0</v>
      </c>
      <c r="I1347" s="2">
        <v>-2210.64</v>
      </c>
      <c r="J1347" s="1">
        <v>1140499.18</v>
      </c>
      <c r="K1347" s="1">
        <v>59471.266000000003</v>
      </c>
    </row>
    <row r="1348" spans="1:11">
      <c r="A1348" t="s">
        <v>1</v>
      </c>
      <c r="B1348" s="3">
        <v>41810</v>
      </c>
      <c r="C1348" s="3">
        <v>41810</v>
      </c>
      <c r="D1348" t="s">
        <v>0</v>
      </c>
      <c r="E1348" s="1">
        <v>17.745999999999999</v>
      </c>
      <c r="F1348" s="1">
        <v>2086.1849999999999</v>
      </c>
      <c r="G1348" s="1">
        <v>40.009</v>
      </c>
      <c r="H1348" s="2">
        <v>36929.57</v>
      </c>
      <c r="I1348" s="2">
        <v>-708.22</v>
      </c>
      <c r="J1348" s="1">
        <v>2550540.27</v>
      </c>
      <c r="K1348" s="1">
        <v>143724.565</v>
      </c>
    </row>
    <row r="1349" spans="1:11">
      <c r="A1349" t="s">
        <v>1</v>
      </c>
      <c r="B1349" s="3">
        <v>41813</v>
      </c>
      <c r="C1349" s="3">
        <v>41813</v>
      </c>
      <c r="D1349" t="s">
        <v>7</v>
      </c>
      <c r="E1349" s="1">
        <v>23.685099999999998</v>
      </c>
      <c r="F1349" s="1">
        <v>55750.296000000002</v>
      </c>
      <c r="G1349" s="1">
        <v>8108.24</v>
      </c>
      <c r="H1349" s="2">
        <v>1316186.45</v>
      </c>
      <c r="I1349" s="2">
        <v>-191424.21</v>
      </c>
      <c r="J1349" s="1">
        <v>278454634</v>
      </c>
      <c r="K1349" s="1">
        <v>11756552.710999999</v>
      </c>
    </row>
    <row r="1350" spans="1:11">
      <c r="A1350" t="s">
        <v>1</v>
      </c>
      <c r="B1350" s="3">
        <v>41813</v>
      </c>
      <c r="C1350" s="3">
        <v>41813</v>
      </c>
      <c r="D1350" t="s">
        <v>12</v>
      </c>
      <c r="E1350" s="1">
        <v>18.8185</v>
      </c>
      <c r="F1350" s="1">
        <v>2321.8020000000001</v>
      </c>
      <c r="G1350" s="1">
        <v>13870.415000000001</v>
      </c>
      <c r="H1350" s="2">
        <v>43557</v>
      </c>
      <c r="I1350" s="2">
        <v>-260208.98</v>
      </c>
      <c r="J1350" s="1">
        <v>9099861.3200000003</v>
      </c>
      <c r="K1350" s="1">
        <v>483559.23300000001</v>
      </c>
    </row>
    <row r="1351" spans="1:11">
      <c r="A1351" t="s">
        <v>1</v>
      </c>
      <c r="B1351" s="3">
        <v>41813</v>
      </c>
      <c r="C1351" s="3">
        <v>41813</v>
      </c>
      <c r="D1351" t="s">
        <v>6</v>
      </c>
      <c r="E1351" s="1">
        <v>19.554099999999998</v>
      </c>
      <c r="F1351" s="1">
        <v>11624.450999999999</v>
      </c>
      <c r="G1351" s="1">
        <v>37496.103000000003</v>
      </c>
      <c r="H1351" s="2">
        <v>226598.86</v>
      </c>
      <c r="I1351" s="2">
        <v>-730922.75</v>
      </c>
      <c r="J1351" s="1">
        <v>37697318.399999999</v>
      </c>
      <c r="K1351" s="1">
        <v>1927847.3929999999</v>
      </c>
    </row>
    <row r="1352" spans="1:11">
      <c r="A1352" t="s">
        <v>1</v>
      </c>
      <c r="B1352" s="3">
        <v>41813</v>
      </c>
      <c r="C1352" s="3">
        <v>41813</v>
      </c>
      <c r="D1352" t="s">
        <v>10</v>
      </c>
      <c r="E1352" s="1">
        <v>19.133299999999998</v>
      </c>
      <c r="F1352" s="1">
        <v>0</v>
      </c>
      <c r="G1352" s="1">
        <v>3030</v>
      </c>
      <c r="H1352" s="2">
        <v>0</v>
      </c>
      <c r="I1352" s="2">
        <v>-57818.91</v>
      </c>
      <c r="J1352" s="1">
        <v>8448386.3800000008</v>
      </c>
      <c r="K1352" s="1">
        <v>441552.94799999997</v>
      </c>
    </row>
    <row r="1353" spans="1:11">
      <c r="A1353" t="s">
        <v>1</v>
      </c>
      <c r="B1353" s="3">
        <v>41813</v>
      </c>
      <c r="C1353" s="3">
        <v>41813</v>
      </c>
      <c r="D1353" t="s">
        <v>5</v>
      </c>
      <c r="E1353" s="1">
        <v>18.265599999999999</v>
      </c>
      <c r="F1353" s="1">
        <v>27380</v>
      </c>
      <c r="G1353" s="1">
        <v>0</v>
      </c>
      <c r="H1353" s="2">
        <v>498466.59</v>
      </c>
      <c r="I1353" s="2">
        <v>0</v>
      </c>
      <c r="J1353" s="1">
        <v>57808614.009999998</v>
      </c>
      <c r="K1353" s="1">
        <v>3164891.6839999999</v>
      </c>
    </row>
    <row r="1354" spans="1:11">
      <c r="A1354" t="s">
        <v>1</v>
      </c>
      <c r="B1354" s="3">
        <v>41813</v>
      </c>
      <c r="C1354" s="3">
        <v>41813</v>
      </c>
      <c r="D1354" t="s">
        <v>4</v>
      </c>
      <c r="E1354" s="1">
        <v>11.692399999999999</v>
      </c>
      <c r="F1354" s="1">
        <v>265.983</v>
      </c>
      <c r="G1354" s="1">
        <v>0</v>
      </c>
      <c r="H1354" s="2">
        <v>3099.93</v>
      </c>
      <c r="I1354" s="2">
        <v>0</v>
      </c>
      <c r="J1354" s="1">
        <v>2456549.88</v>
      </c>
      <c r="K1354" s="1">
        <v>210098.12299999999</v>
      </c>
    </row>
    <row r="1355" spans="1:11">
      <c r="A1355" t="s">
        <v>1</v>
      </c>
      <c r="B1355" s="3">
        <v>41813</v>
      </c>
      <c r="C1355" s="3">
        <v>41813</v>
      </c>
      <c r="D1355" t="s">
        <v>2</v>
      </c>
      <c r="E1355" s="1">
        <v>18.0168</v>
      </c>
      <c r="F1355" s="1">
        <v>12498.746999999999</v>
      </c>
      <c r="G1355" s="1">
        <v>1050</v>
      </c>
      <c r="H1355" s="2">
        <v>224446.75</v>
      </c>
      <c r="I1355" s="2">
        <v>-18855.43</v>
      </c>
      <c r="J1355" s="1">
        <v>66184715.350000001</v>
      </c>
      <c r="K1355" s="1">
        <v>3673506.3259999999</v>
      </c>
    </row>
    <row r="1356" spans="1:11">
      <c r="A1356" t="s">
        <v>1</v>
      </c>
      <c r="B1356" s="3">
        <v>41813</v>
      </c>
      <c r="C1356" s="3">
        <v>41813</v>
      </c>
      <c r="D1356" t="s">
        <v>9</v>
      </c>
      <c r="E1356" s="1">
        <v>19.241199999999999</v>
      </c>
      <c r="F1356" s="1">
        <v>17.759</v>
      </c>
      <c r="G1356" s="1">
        <v>8.8170000000000002</v>
      </c>
      <c r="H1356" s="2">
        <v>340.58</v>
      </c>
      <c r="I1356" s="2">
        <v>-169.09</v>
      </c>
      <c r="J1356" s="1">
        <v>1144468.83</v>
      </c>
      <c r="K1356" s="1">
        <v>59480.207999999999</v>
      </c>
    </row>
    <row r="1357" spans="1:11">
      <c r="A1357" t="s">
        <v>1</v>
      </c>
      <c r="B1357" s="3">
        <v>41813</v>
      </c>
      <c r="C1357" s="3">
        <v>41813</v>
      </c>
      <c r="D1357" t="s">
        <v>0</v>
      </c>
      <c r="E1357" s="1">
        <v>17.8048</v>
      </c>
      <c r="F1357" s="1">
        <v>2117.1080000000002</v>
      </c>
      <c r="G1357" s="1">
        <v>5.8730000000000002</v>
      </c>
      <c r="H1357" s="2">
        <v>37570.269999999997</v>
      </c>
      <c r="I1357" s="2">
        <v>-104.24</v>
      </c>
      <c r="J1357" s="1">
        <v>2596582.13</v>
      </c>
      <c r="K1357" s="1">
        <v>145835.79999999999</v>
      </c>
    </row>
    <row r="1358" spans="1:11">
      <c r="A1358" t="s">
        <v>1</v>
      </c>
      <c r="B1358" s="3">
        <v>41814</v>
      </c>
      <c r="C1358" s="3">
        <v>41814</v>
      </c>
      <c r="D1358" t="s">
        <v>7</v>
      </c>
      <c r="E1358" s="1">
        <v>23.660699999999999</v>
      </c>
      <c r="F1358" s="1">
        <v>66265.55</v>
      </c>
      <c r="G1358" s="1">
        <v>109365.435</v>
      </c>
      <c r="H1358" s="2">
        <v>1569506.18</v>
      </c>
      <c r="I1358" s="2">
        <v>-2590331.2599999998</v>
      </c>
      <c r="J1358" s="1">
        <v>277147952.13999999</v>
      </c>
      <c r="K1358" s="1">
        <v>11713452.825999999</v>
      </c>
    </row>
    <row r="1359" spans="1:11">
      <c r="A1359" t="s">
        <v>1</v>
      </c>
      <c r="B1359" s="3">
        <v>41814</v>
      </c>
      <c r="C1359" s="3">
        <v>41814</v>
      </c>
      <c r="D1359" t="s">
        <v>12</v>
      </c>
      <c r="E1359" s="1">
        <v>18.798300000000001</v>
      </c>
      <c r="F1359" s="1">
        <v>0</v>
      </c>
      <c r="G1359" s="1">
        <v>1973.7349999999999</v>
      </c>
      <c r="H1359" s="2">
        <v>0</v>
      </c>
      <c r="I1359" s="2">
        <v>-37142.730000000003</v>
      </c>
      <c r="J1359" s="1">
        <v>9053008.2899999991</v>
      </c>
      <c r="K1359" s="1">
        <v>481585.49800000002</v>
      </c>
    </row>
    <row r="1360" spans="1:11">
      <c r="A1360" t="s">
        <v>1</v>
      </c>
      <c r="B1360" s="3">
        <v>41814</v>
      </c>
      <c r="C1360" s="3">
        <v>41814</v>
      </c>
      <c r="D1360" t="s">
        <v>6</v>
      </c>
      <c r="E1360" s="1">
        <v>19.533100000000001</v>
      </c>
      <c r="F1360" s="1">
        <v>12934.960999999999</v>
      </c>
      <c r="G1360" s="1">
        <v>28321.322</v>
      </c>
      <c r="H1360" s="2">
        <v>252931.52</v>
      </c>
      <c r="I1360" s="2">
        <v>-553797.93000000005</v>
      </c>
      <c r="J1360" s="1">
        <v>37356383.340000004</v>
      </c>
      <c r="K1360" s="1">
        <v>1912461.0319999999</v>
      </c>
    </row>
    <row r="1361" spans="1:11">
      <c r="A1361" t="s">
        <v>1</v>
      </c>
      <c r="B1361" s="3">
        <v>41814</v>
      </c>
      <c r="C1361" s="3">
        <v>41814</v>
      </c>
      <c r="D1361" t="s">
        <v>10</v>
      </c>
      <c r="E1361" s="1">
        <v>19.163399999999999</v>
      </c>
      <c r="F1361" s="1">
        <v>0</v>
      </c>
      <c r="G1361" s="1">
        <v>11460</v>
      </c>
      <c r="H1361" s="2">
        <v>0</v>
      </c>
      <c r="I1361" s="2">
        <v>-219267.62</v>
      </c>
      <c r="J1361" s="1">
        <v>8242024.4100000001</v>
      </c>
      <c r="K1361" s="1">
        <v>430092.94799999997</v>
      </c>
    </row>
    <row r="1362" spans="1:11">
      <c r="A1362" t="s">
        <v>1</v>
      </c>
      <c r="B1362" s="3">
        <v>41814</v>
      </c>
      <c r="C1362" s="3">
        <v>41814</v>
      </c>
      <c r="D1362" t="s">
        <v>5</v>
      </c>
      <c r="E1362" s="1">
        <v>18.2471</v>
      </c>
      <c r="F1362" s="1">
        <v>106549</v>
      </c>
      <c r="G1362" s="1">
        <v>0</v>
      </c>
      <c r="H1362" s="2">
        <v>1946181.41</v>
      </c>
      <c r="I1362" s="2">
        <v>0</v>
      </c>
      <c r="J1362" s="1">
        <v>59694454.289999999</v>
      </c>
      <c r="K1362" s="1">
        <v>3271440.6839999999</v>
      </c>
    </row>
    <row r="1363" spans="1:11">
      <c r="A1363" t="s">
        <v>1</v>
      </c>
      <c r="B1363" s="3">
        <v>41814</v>
      </c>
      <c r="C1363" s="3">
        <v>41814</v>
      </c>
      <c r="D1363" t="s">
        <v>4</v>
      </c>
      <c r="E1363" s="1">
        <v>11.680300000000001</v>
      </c>
      <c r="F1363" s="1">
        <v>225.06299999999999</v>
      </c>
      <c r="G1363" s="1">
        <v>1121.443</v>
      </c>
      <c r="H1363" s="2">
        <v>2631.52</v>
      </c>
      <c r="I1363" s="2">
        <v>-13112.36</v>
      </c>
      <c r="J1363" s="1">
        <v>2443548.7000000002</v>
      </c>
      <c r="K1363" s="1">
        <v>209201.74299999999</v>
      </c>
    </row>
    <row r="1364" spans="1:11">
      <c r="A1364" t="s">
        <v>1</v>
      </c>
      <c r="B1364" s="3">
        <v>41814</v>
      </c>
      <c r="C1364" s="3">
        <v>41814</v>
      </c>
      <c r="D1364" t="s">
        <v>3</v>
      </c>
      <c r="E1364" s="1">
        <v>11.299300000000001</v>
      </c>
      <c r="F1364" s="1">
        <v>0</v>
      </c>
      <c r="G1364" s="1">
        <v>5590.5839999999998</v>
      </c>
      <c r="H1364" s="2">
        <v>0</v>
      </c>
      <c r="I1364" s="2">
        <v>-63237.33</v>
      </c>
      <c r="J1364" s="1">
        <v>1920986.5</v>
      </c>
      <c r="K1364" s="1">
        <v>170008.946</v>
      </c>
    </row>
    <row r="1365" spans="1:11">
      <c r="A1365" t="s">
        <v>1</v>
      </c>
      <c r="B1365" s="3">
        <v>41814</v>
      </c>
      <c r="C1365" s="3">
        <v>41814</v>
      </c>
      <c r="D1365" t="s">
        <v>2</v>
      </c>
      <c r="E1365" s="1">
        <v>17.9986</v>
      </c>
      <c r="F1365" s="1">
        <v>7116.5209999999997</v>
      </c>
      <c r="G1365" s="1">
        <v>300</v>
      </c>
      <c r="H1365" s="2">
        <v>128217.23</v>
      </c>
      <c r="I1365" s="2">
        <v>-5405.05</v>
      </c>
      <c r="J1365" s="1">
        <v>66240569.340000004</v>
      </c>
      <c r="K1365" s="1">
        <v>3680322.8470000001</v>
      </c>
    </row>
    <row r="1366" spans="1:11">
      <c r="A1366" t="s">
        <v>1</v>
      </c>
      <c r="B1366" s="3">
        <v>41814</v>
      </c>
      <c r="C1366" s="3">
        <v>41814</v>
      </c>
      <c r="D1366" t="s">
        <v>0</v>
      </c>
      <c r="E1366" s="1">
        <v>17.786899999999999</v>
      </c>
      <c r="F1366" s="1">
        <v>1799.883</v>
      </c>
      <c r="G1366" s="1">
        <v>1.988</v>
      </c>
      <c r="H1366" s="2">
        <v>32046.42</v>
      </c>
      <c r="I1366" s="2">
        <v>-35.39</v>
      </c>
      <c r="J1366" s="1">
        <v>2625949.5699999998</v>
      </c>
      <c r="K1366" s="1">
        <v>147633.69500000001</v>
      </c>
    </row>
    <row r="1367" spans="1:11">
      <c r="A1367" t="s">
        <v>1</v>
      </c>
      <c r="B1367" s="3">
        <v>41815</v>
      </c>
      <c r="C1367" s="3">
        <v>41815</v>
      </c>
      <c r="D1367" t="s">
        <v>7</v>
      </c>
      <c r="E1367" s="1">
        <v>23.457799999999999</v>
      </c>
      <c r="F1367" s="1">
        <v>7931.4480000000003</v>
      </c>
      <c r="G1367" s="1">
        <v>8251.2950000000001</v>
      </c>
      <c r="H1367" s="2">
        <v>187663.62</v>
      </c>
      <c r="I1367" s="2">
        <v>-195231.44</v>
      </c>
      <c r="J1367" s="1">
        <v>274764626.20999998</v>
      </c>
      <c r="K1367" s="1">
        <v>11713132.979</v>
      </c>
    </row>
    <row r="1368" spans="1:11">
      <c r="A1368" t="s">
        <v>1</v>
      </c>
      <c r="B1368" s="3">
        <v>41815</v>
      </c>
      <c r="C1368" s="3">
        <v>41815</v>
      </c>
      <c r="D1368" t="s">
        <v>12</v>
      </c>
      <c r="E1368" s="1">
        <v>18.636399999999998</v>
      </c>
      <c r="F1368" s="1">
        <v>1023.53</v>
      </c>
      <c r="G1368" s="1">
        <v>9589.1579999999994</v>
      </c>
      <c r="H1368" s="2">
        <v>19240.62</v>
      </c>
      <c r="I1368" s="2">
        <v>-180259.87</v>
      </c>
      <c r="J1368" s="1">
        <v>8815397.9600000009</v>
      </c>
      <c r="K1368" s="1">
        <v>473019.87</v>
      </c>
    </row>
    <row r="1369" spans="1:11">
      <c r="A1369" t="s">
        <v>1</v>
      </c>
      <c r="B1369" s="3">
        <v>41815</v>
      </c>
      <c r="C1369" s="3">
        <v>41815</v>
      </c>
      <c r="D1369" t="s">
        <v>6</v>
      </c>
      <c r="E1369" s="1">
        <v>19.364899999999999</v>
      </c>
      <c r="F1369" s="1">
        <v>14645.537</v>
      </c>
      <c r="G1369" s="1">
        <v>18625.596000000001</v>
      </c>
      <c r="H1369" s="2">
        <v>286072.73</v>
      </c>
      <c r="I1369" s="2">
        <v>-363815.61</v>
      </c>
      <c r="J1369" s="1">
        <v>36957541.060000002</v>
      </c>
      <c r="K1369" s="1">
        <v>1908480.973</v>
      </c>
    </row>
    <row r="1370" spans="1:11">
      <c r="A1370" t="s">
        <v>1</v>
      </c>
      <c r="B1370" s="3">
        <v>41815</v>
      </c>
      <c r="C1370" s="3">
        <v>41815</v>
      </c>
      <c r="D1370" t="s">
        <v>5</v>
      </c>
      <c r="E1370" s="1">
        <v>18.091100000000001</v>
      </c>
      <c r="F1370" s="1">
        <v>0</v>
      </c>
      <c r="G1370" s="1">
        <v>27673</v>
      </c>
      <c r="H1370" s="2">
        <v>0</v>
      </c>
      <c r="I1370" s="2">
        <v>-504952</v>
      </c>
      <c r="J1370" s="1">
        <v>58683322.450000003</v>
      </c>
      <c r="K1370" s="1">
        <v>3243767.6839999999</v>
      </c>
    </row>
    <row r="1371" spans="1:11">
      <c r="A1371" t="s">
        <v>1</v>
      </c>
      <c r="B1371" s="3">
        <v>41815</v>
      </c>
      <c r="C1371" s="3">
        <v>41815</v>
      </c>
      <c r="D1371" t="s">
        <v>4</v>
      </c>
      <c r="E1371" s="1">
        <v>11.5802</v>
      </c>
      <c r="F1371" s="1">
        <v>28.521999999999998</v>
      </c>
      <c r="G1371" s="1">
        <v>11976.317999999999</v>
      </c>
      <c r="H1371" s="2">
        <v>333.15</v>
      </c>
      <c r="I1371" s="2">
        <v>-139886.99</v>
      </c>
      <c r="J1371" s="1">
        <v>2284244.09</v>
      </c>
      <c r="K1371" s="1">
        <v>197253.94699999999</v>
      </c>
    </row>
    <row r="1372" spans="1:11">
      <c r="A1372" t="s">
        <v>1</v>
      </c>
      <c r="B1372" s="3">
        <v>41815</v>
      </c>
      <c r="C1372" s="3">
        <v>41815</v>
      </c>
      <c r="D1372" t="s">
        <v>2</v>
      </c>
      <c r="E1372" s="1">
        <v>17.8447</v>
      </c>
      <c r="F1372" s="1">
        <v>18491.937000000002</v>
      </c>
      <c r="G1372" s="1">
        <v>4285</v>
      </c>
      <c r="H1372" s="2">
        <v>332828.74</v>
      </c>
      <c r="I1372" s="2">
        <v>-77123.94</v>
      </c>
      <c r="J1372" s="1">
        <v>65927607.869999997</v>
      </c>
      <c r="K1372" s="1">
        <v>3694529.784</v>
      </c>
    </row>
    <row r="1373" spans="1:11">
      <c r="A1373" t="s">
        <v>1</v>
      </c>
      <c r="B1373" s="3">
        <v>41815</v>
      </c>
      <c r="C1373" s="3">
        <v>41815</v>
      </c>
      <c r="D1373" t="s">
        <v>9</v>
      </c>
      <c r="E1373" s="1">
        <v>19.057700000000001</v>
      </c>
      <c r="F1373" s="1">
        <v>0.88400000000000001</v>
      </c>
      <c r="G1373" s="1">
        <v>0</v>
      </c>
      <c r="H1373" s="2">
        <v>16.989999999999998</v>
      </c>
      <c r="I1373" s="2">
        <v>0</v>
      </c>
      <c r="J1373" s="1">
        <v>1133574.08</v>
      </c>
      <c r="K1373" s="1">
        <v>59481.091999999997</v>
      </c>
    </row>
    <row r="1374" spans="1:11">
      <c r="A1374" t="s">
        <v>1</v>
      </c>
      <c r="B1374" s="3">
        <v>41815</v>
      </c>
      <c r="C1374" s="3">
        <v>41815</v>
      </c>
      <c r="D1374" t="s">
        <v>0</v>
      </c>
      <c r="E1374" s="1">
        <v>17.634899999999998</v>
      </c>
      <c r="F1374" s="1">
        <v>3145.8629999999998</v>
      </c>
      <c r="G1374" s="1">
        <v>0</v>
      </c>
      <c r="H1374" s="2">
        <v>55955.07</v>
      </c>
      <c r="I1374" s="2">
        <v>0</v>
      </c>
      <c r="J1374" s="1">
        <v>2658980.44</v>
      </c>
      <c r="K1374" s="1">
        <v>150779.55799999999</v>
      </c>
    </row>
    <row r="1375" spans="1:11">
      <c r="A1375" t="s">
        <v>1</v>
      </c>
      <c r="B1375" s="3">
        <v>41816</v>
      </c>
      <c r="C1375" s="3">
        <v>41816</v>
      </c>
      <c r="D1375" t="s">
        <v>7</v>
      </c>
      <c r="E1375" s="1">
        <v>23.491099999999999</v>
      </c>
      <c r="F1375" s="1">
        <v>3996.4140000000002</v>
      </c>
      <c r="G1375" s="1">
        <v>32297.638999999999</v>
      </c>
      <c r="H1375" s="2">
        <v>93747.09</v>
      </c>
      <c r="I1375" s="2">
        <v>-757631.57</v>
      </c>
      <c r="J1375" s="1">
        <v>274489615.02999997</v>
      </c>
      <c r="K1375" s="1">
        <v>11684831.754000001</v>
      </c>
    </row>
    <row r="1376" spans="1:11">
      <c r="A1376" t="s">
        <v>1</v>
      </c>
      <c r="B1376" s="3">
        <v>41816</v>
      </c>
      <c r="C1376" s="3">
        <v>41816</v>
      </c>
      <c r="D1376" t="s">
        <v>12</v>
      </c>
      <c r="E1376" s="1">
        <v>18.662099999999999</v>
      </c>
      <c r="F1376" s="1">
        <v>0</v>
      </c>
      <c r="G1376" s="1">
        <v>2472.1819999999998</v>
      </c>
      <c r="H1376" s="2">
        <v>0</v>
      </c>
      <c r="I1376" s="2">
        <v>-46072.57</v>
      </c>
      <c r="J1376" s="1">
        <v>8781406.2799999993</v>
      </c>
      <c r="K1376" s="1">
        <v>470547.68800000002</v>
      </c>
    </row>
    <row r="1377" spans="1:11">
      <c r="A1377" t="s">
        <v>1</v>
      </c>
      <c r="B1377" s="3">
        <v>41816</v>
      </c>
      <c r="C1377" s="3">
        <v>41816</v>
      </c>
      <c r="D1377" t="s">
        <v>6</v>
      </c>
      <c r="E1377" s="1">
        <v>19.3916</v>
      </c>
      <c r="F1377" s="1">
        <v>3.9820000000000002</v>
      </c>
      <c r="G1377" s="1">
        <v>15363.027</v>
      </c>
      <c r="H1377" s="2">
        <v>77.11</v>
      </c>
      <c r="I1377" s="2">
        <v>-297503.51</v>
      </c>
      <c r="J1377" s="1">
        <v>36710618.659999996</v>
      </c>
      <c r="K1377" s="1">
        <v>1893121.9280000001</v>
      </c>
    </row>
    <row r="1378" spans="1:11">
      <c r="A1378" t="s">
        <v>1</v>
      </c>
      <c r="B1378" s="3">
        <v>41816</v>
      </c>
      <c r="C1378" s="3">
        <v>41816</v>
      </c>
      <c r="D1378" t="s">
        <v>5</v>
      </c>
      <c r="E1378" s="1">
        <v>18.117100000000001</v>
      </c>
      <c r="F1378" s="1">
        <v>28599</v>
      </c>
      <c r="G1378" s="1">
        <v>0</v>
      </c>
      <c r="H1378" s="2">
        <v>517387.37</v>
      </c>
      <c r="I1378" s="2">
        <v>0</v>
      </c>
      <c r="J1378" s="1">
        <v>59285915.759999998</v>
      </c>
      <c r="K1378" s="1">
        <v>3272366.6839999999</v>
      </c>
    </row>
    <row r="1379" spans="1:11">
      <c r="A1379" t="s">
        <v>1</v>
      </c>
      <c r="B1379" s="3">
        <v>41816</v>
      </c>
      <c r="C1379" s="3">
        <v>41816</v>
      </c>
      <c r="D1379" t="s">
        <v>2</v>
      </c>
      <c r="E1379" s="1">
        <v>17.8703</v>
      </c>
      <c r="F1379" s="1">
        <v>6932.1490000000003</v>
      </c>
      <c r="G1379" s="1">
        <v>7253.4070000000002</v>
      </c>
      <c r="H1379" s="2">
        <v>123701.89</v>
      </c>
      <c r="I1379" s="2">
        <v>-129434.64</v>
      </c>
      <c r="J1379" s="1">
        <v>66016754.649999999</v>
      </c>
      <c r="K1379" s="1">
        <v>3694208.5260000001</v>
      </c>
    </row>
    <row r="1380" spans="1:11">
      <c r="A1380" t="s">
        <v>1</v>
      </c>
      <c r="B1380" s="3">
        <v>41816</v>
      </c>
      <c r="C1380" s="3">
        <v>41816</v>
      </c>
      <c r="D1380" t="s">
        <v>0</v>
      </c>
      <c r="E1380" s="1">
        <v>17.660299999999999</v>
      </c>
      <c r="F1380" s="1">
        <v>1910.15</v>
      </c>
      <c r="G1380" s="1">
        <v>62.323</v>
      </c>
      <c r="H1380" s="2">
        <v>33685.31</v>
      </c>
      <c r="I1380" s="2">
        <v>-1099.08</v>
      </c>
      <c r="J1380" s="1">
        <v>2695451.63</v>
      </c>
      <c r="K1380" s="1">
        <v>152627.38500000001</v>
      </c>
    </row>
    <row r="1381" spans="1:11">
      <c r="A1381" t="s">
        <v>1</v>
      </c>
      <c r="B1381" s="3">
        <v>41817</v>
      </c>
      <c r="C1381" s="3">
        <v>41817</v>
      </c>
      <c r="D1381" t="s">
        <v>8</v>
      </c>
      <c r="E1381" s="1">
        <v>18.946999999999999</v>
      </c>
      <c r="F1381" s="1">
        <v>0</v>
      </c>
      <c r="G1381" s="1">
        <v>2149.752</v>
      </c>
      <c r="H1381" s="2">
        <v>0</v>
      </c>
      <c r="I1381" s="2">
        <v>-40840.5</v>
      </c>
      <c r="J1381" s="1">
        <v>6198904.4400000004</v>
      </c>
      <c r="K1381" s="1">
        <v>327170.68199999997</v>
      </c>
    </row>
    <row r="1382" spans="1:11">
      <c r="A1382" t="s">
        <v>1</v>
      </c>
      <c r="B1382" s="3">
        <v>41817</v>
      </c>
      <c r="C1382" s="3">
        <v>41817</v>
      </c>
      <c r="D1382" t="s">
        <v>7</v>
      </c>
      <c r="E1382" s="1">
        <v>23.4282</v>
      </c>
      <c r="F1382" s="1">
        <v>10739.782999999999</v>
      </c>
      <c r="G1382" s="1">
        <v>22936.756000000001</v>
      </c>
      <c r="H1382" s="2">
        <v>252289.33</v>
      </c>
      <c r="I1382" s="2">
        <v>-538809.64</v>
      </c>
      <c r="J1382" s="1">
        <v>273469318.35000002</v>
      </c>
      <c r="K1382" s="1">
        <v>11672634.780999999</v>
      </c>
    </row>
    <row r="1383" spans="1:11">
      <c r="A1383" t="s">
        <v>1</v>
      </c>
      <c r="B1383" s="3">
        <v>41817</v>
      </c>
      <c r="C1383" s="3">
        <v>41817</v>
      </c>
      <c r="D1383" t="s">
        <v>12</v>
      </c>
      <c r="E1383" s="1">
        <v>18.6114</v>
      </c>
      <c r="F1383" s="1">
        <v>0</v>
      </c>
      <c r="G1383" s="1">
        <v>1206.2650000000001</v>
      </c>
      <c r="H1383" s="2">
        <v>0</v>
      </c>
      <c r="I1383" s="2">
        <v>-22511.43</v>
      </c>
      <c r="J1383" s="1">
        <v>8735095.8100000005</v>
      </c>
      <c r="K1383" s="1">
        <v>469341.42300000001</v>
      </c>
    </row>
    <row r="1384" spans="1:11">
      <c r="A1384" t="s">
        <v>1</v>
      </c>
      <c r="B1384" s="3">
        <v>41817</v>
      </c>
      <c r="C1384" s="3">
        <v>41817</v>
      </c>
      <c r="D1384" t="s">
        <v>6</v>
      </c>
      <c r="E1384" s="1">
        <v>19.338899999999999</v>
      </c>
      <c r="F1384" s="1">
        <v>28947.037</v>
      </c>
      <c r="G1384" s="1">
        <v>18384.363000000001</v>
      </c>
      <c r="H1384" s="2">
        <v>561329.36</v>
      </c>
      <c r="I1384" s="2">
        <v>-356502.21</v>
      </c>
      <c r="J1384" s="1">
        <v>36815141.770000003</v>
      </c>
      <c r="K1384" s="1">
        <v>1903684.602</v>
      </c>
    </row>
    <row r="1385" spans="1:11">
      <c r="A1385" t="s">
        <v>1</v>
      </c>
      <c r="B1385" s="3">
        <v>41817</v>
      </c>
      <c r="C1385" s="3">
        <v>41817</v>
      </c>
      <c r="D1385" t="s">
        <v>5</v>
      </c>
      <c r="E1385" s="1">
        <v>18.068999999999999</v>
      </c>
      <c r="F1385" s="1">
        <v>0</v>
      </c>
      <c r="G1385" s="1">
        <v>798112</v>
      </c>
      <c r="H1385" s="2">
        <v>0</v>
      </c>
      <c r="I1385" s="2">
        <v>-14459474.92</v>
      </c>
      <c r="J1385" s="1">
        <v>44707404.899999999</v>
      </c>
      <c r="K1385" s="1">
        <v>2474254.6839999999</v>
      </c>
    </row>
    <row r="1386" spans="1:11">
      <c r="A1386" t="s">
        <v>1</v>
      </c>
      <c r="B1386" s="3">
        <v>41817</v>
      </c>
      <c r="C1386" s="3">
        <v>41817</v>
      </c>
      <c r="D1386" t="s">
        <v>4</v>
      </c>
      <c r="E1386" s="1">
        <v>11.5656</v>
      </c>
      <c r="F1386" s="1">
        <v>57.540999999999997</v>
      </c>
      <c r="G1386" s="1">
        <v>1455.079</v>
      </c>
      <c r="H1386" s="2">
        <v>667.27</v>
      </c>
      <c r="I1386" s="2">
        <v>-16873.97</v>
      </c>
      <c r="J1386" s="1">
        <v>2265200.08</v>
      </c>
      <c r="K1386" s="1">
        <v>195856.40900000001</v>
      </c>
    </row>
    <row r="1387" spans="1:11">
      <c r="A1387" t="s">
        <v>1</v>
      </c>
      <c r="B1387" s="3">
        <v>41817</v>
      </c>
      <c r="C1387" s="3">
        <v>41817</v>
      </c>
      <c r="D1387" t="s">
        <v>2</v>
      </c>
      <c r="E1387" s="1">
        <v>17.822900000000001</v>
      </c>
      <c r="F1387" s="1">
        <v>8436.23</v>
      </c>
      <c r="G1387" s="1">
        <v>2608.6080000000002</v>
      </c>
      <c r="H1387" s="2">
        <v>150758.60999999999</v>
      </c>
      <c r="I1387" s="2">
        <v>-46616.81</v>
      </c>
      <c r="J1387" s="1">
        <v>65945313.399999999</v>
      </c>
      <c r="K1387" s="1">
        <v>3700036.148</v>
      </c>
    </row>
    <row r="1388" spans="1:11">
      <c r="A1388" t="s">
        <v>1</v>
      </c>
      <c r="B1388" s="3">
        <v>41817</v>
      </c>
      <c r="C1388" s="3">
        <v>41817</v>
      </c>
      <c r="D1388" t="s">
        <v>9</v>
      </c>
      <c r="E1388" s="1">
        <v>19.034800000000001</v>
      </c>
      <c r="F1388" s="1">
        <v>0.89200000000000002</v>
      </c>
      <c r="G1388" s="1">
        <v>401.49200000000002</v>
      </c>
      <c r="H1388" s="2">
        <v>17.03</v>
      </c>
      <c r="I1388" s="2">
        <v>-7662.6</v>
      </c>
      <c r="J1388" s="1">
        <v>1124587.5900000001</v>
      </c>
      <c r="K1388" s="1">
        <v>59080.491999999998</v>
      </c>
    </row>
    <row r="1389" spans="1:11">
      <c r="A1389" t="s">
        <v>1</v>
      </c>
      <c r="B1389" s="3">
        <v>41817</v>
      </c>
      <c r="C1389" s="3">
        <v>41817</v>
      </c>
      <c r="D1389" t="s">
        <v>0</v>
      </c>
      <c r="E1389" s="1">
        <v>17.613499999999998</v>
      </c>
      <c r="F1389" s="1">
        <v>2753.1840000000002</v>
      </c>
      <c r="G1389" s="1">
        <v>12.891999999999999</v>
      </c>
      <c r="H1389" s="2">
        <v>48621.919999999998</v>
      </c>
      <c r="I1389" s="2">
        <v>-227.68</v>
      </c>
      <c r="J1389" s="1">
        <v>2736570.89</v>
      </c>
      <c r="K1389" s="1">
        <v>155367.677</v>
      </c>
    </row>
    <row r="1390" spans="1:11">
      <c r="A1390" t="s">
        <v>1</v>
      </c>
      <c r="B1390" s="3">
        <v>41820</v>
      </c>
      <c r="C1390" s="3">
        <v>41820</v>
      </c>
      <c r="D1390" t="s">
        <v>7</v>
      </c>
      <c r="E1390" s="1">
        <v>23.399100000000001</v>
      </c>
      <c r="F1390" s="1">
        <v>4022.2040000000002</v>
      </c>
      <c r="G1390" s="1">
        <v>10018.343000000001</v>
      </c>
      <c r="H1390" s="2">
        <v>94233</v>
      </c>
      <c r="I1390" s="2">
        <v>-234711.75</v>
      </c>
      <c r="J1390" s="1">
        <v>272989175.82999998</v>
      </c>
      <c r="K1390" s="1">
        <v>11666638.642000001</v>
      </c>
    </row>
    <row r="1391" spans="1:11">
      <c r="A1391" t="s">
        <v>1</v>
      </c>
      <c r="B1391" s="3">
        <v>41820</v>
      </c>
      <c r="C1391" s="3">
        <v>41820</v>
      </c>
      <c r="D1391" t="s">
        <v>12</v>
      </c>
      <c r="E1391" s="1">
        <v>18.585999999999999</v>
      </c>
      <c r="F1391" s="1">
        <v>0</v>
      </c>
      <c r="G1391" s="1">
        <v>14720.811</v>
      </c>
      <c r="H1391" s="2">
        <v>0</v>
      </c>
      <c r="I1391" s="2">
        <v>-273974.90000000002</v>
      </c>
      <c r="J1391" s="1">
        <v>8449563.1899999995</v>
      </c>
      <c r="K1391" s="1">
        <v>454620.61200000002</v>
      </c>
    </row>
    <row r="1392" spans="1:11">
      <c r="A1392" t="s">
        <v>1</v>
      </c>
      <c r="B1392" s="3">
        <v>41820</v>
      </c>
      <c r="C1392" s="3">
        <v>41820</v>
      </c>
      <c r="D1392" t="s">
        <v>6</v>
      </c>
      <c r="E1392" s="1">
        <v>19.3125</v>
      </c>
      <c r="F1392" s="1">
        <v>2249.4290000000001</v>
      </c>
      <c r="G1392" s="1">
        <v>6792.8969999999999</v>
      </c>
      <c r="H1392" s="2">
        <v>43501.5</v>
      </c>
      <c r="I1392" s="2">
        <v>-131366.91</v>
      </c>
      <c r="J1392" s="1">
        <v>36677107.600000001</v>
      </c>
      <c r="K1392" s="1">
        <v>1899141.1340000001</v>
      </c>
    </row>
    <row r="1393" spans="1:11">
      <c r="A1393" t="s">
        <v>1</v>
      </c>
      <c r="B1393" s="3">
        <v>41820</v>
      </c>
      <c r="C1393" s="3">
        <v>41820</v>
      </c>
      <c r="D1393" t="s">
        <v>10</v>
      </c>
      <c r="E1393" s="1">
        <v>18.988600000000002</v>
      </c>
      <c r="F1393" s="1">
        <v>0</v>
      </c>
      <c r="G1393" s="1">
        <v>5</v>
      </c>
      <c r="H1393" s="2">
        <v>0</v>
      </c>
      <c r="I1393" s="2">
        <v>-94.8</v>
      </c>
      <c r="J1393" s="1">
        <v>8166788.1500000004</v>
      </c>
      <c r="K1393" s="1">
        <v>430087.94799999997</v>
      </c>
    </row>
    <row r="1394" spans="1:11">
      <c r="A1394" t="s">
        <v>1</v>
      </c>
      <c r="B1394" s="3">
        <v>41820</v>
      </c>
      <c r="C1394" s="3">
        <v>41820</v>
      </c>
      <c r="D1394" t="s">
        <v>5</v>
      </c>
      <c r="E1394" s="1">
        <v>18.047699999999999</v>
      </c>
      <c r="F1394" s="1">
        <v>0</v>
      </c>
      <c r="G1394" s="1">
        <v>490458</v>
      </c>
      <c r="H1394" s="2">
        <v>0</v>
      </c>
      <c r="I1394" s="2">
        <v>-8862085.5999999996</v>
      </c>
      <c r="J1394" s="1">
        <v>35802984.229999997</v>
      </c>
      <c r="K1394" s="1">
        <v>1983796.6839999999</v>
      </c>
    </row>
    <row r="1395" spans="1:11">
      <c r="A1395" t="s">
        <v>1</v>
      </c>
      <c r="B1395" s="3">
        <v>41820</v>
      </c>
      <c r="C1395" s="3">
        <v>41820</v>
      </c>
      <c r="D1395" t="s">
        <v>4</v>
      </c>
      <c r="E1395" s="1">
        <v>11.5512</v>
      </c>
      <c r="F1395" s="1">
        <v>86.608000000000004</v>
      </c>
      <c r="G1395" s="1">
        <v>10541.282999999999</v>
      </c>
      <c r="H1395" s="2">
        <v>1001.67</v>
      </c>
      <c r="I1395" s="2">
        <v>-121916.26</v>
      </c>
      <c r="J1395" s="1">
        <v>2141620.81</v>
      </c>
      <c r="K1395" s="1">
        <v>185401.734</v>
      </c>
    </row>
    <row r="1396" spans="1:11">
      <c r="A1396" t="s">
        <v>1</v>
      </c>
      <c r="B1396" s="3">
        <v>41820</v>
      </c>
      <c r="C1396" s="3">
        <v>41820</v>
      </c>
      <c r="D1396" t="s">
        <v>3</v>
      </c>
      <c r="E1396" s="1">
        <v>11.1717</v>
      </c>
      <c r="F1396" s="1">
        <v>2650.1060000000002</v>
      </c>
      <c r="G1396" s="1">
        <v>0</v>
      </c>
      <c r="H1396" s="2">
        <v>29646.73</v>
      </c>
      <c r="I1396" s="2">
        <v>0</v>
      </c>
      <c r="J1396" s="1">
        <v>1928890.23</v>
      </c>
      <c r="K1396" s="1">
        <v>172659.052</v>
      </c>
    </row>
    <row r="1397" spans="1:11">
      <c r="A1397" t="s">
        <v>1</v>
      </c>
      <c r="B1397" s="3">
        <v>41820</v>
      </c>
      <c r="C1397" s="3">
        <v>41820</v>
      </c>
      <c r="D1397" t="s">
        <v>2</v>
      </c>
      <c r="E1397" s="1">
        <v>17.8018</v>
      </c>
      <c r="F1397" s="1">
        <v>16264.228999999999</v>
      </c>
      <c r="G1397" s="1">
        <v>0</v>
      </c>
      <c r="H1397" s="2">
        <v>289876.33</v>
      </c>
      <c r="I1397" s="2">
        <v>0</v>
      </c>
      <c r="J1397" s="1">
        <v>66156962.689999998</v>
      </c>
      <c r="K1397" s="1">
        <v>3716300.3769999999</v>
      </c>
    </row>
    <row r="1398" spans="1:11">
      <c r="A1398" t="s">
        <v>1</v>
      </c>
      <c r="B1398" s="3">
        <v>41820</v>
      </c>
      <c r="C1398" s="3">
        <v>41820</v>
      </c>
      <c r="D1398" t="s">
        <v>0</v>
      </c>
      <c r="E1398" s="1">
        <v>17.5929</v>
      </c>
      <c r="F1398" s="1">
        <v>2719.5369999999998</v>
      </c>
      <c r="G1398" s="1">
        <v>85.022999999999996</v>
      </c>
      <c r="H1398" s="2">
        <v>47900.67</v>
      </c>
      <c r="I1398" s="2">
        <v>-1497.57</v>
      </c>
      <c r="J1398" s="1">
        <v>2779721.48</v>
      </c>
      <c r="K1398" s="1">
        <v>158002.19099999999</v>
      </c>
    </row>
    <row r="1399" spans="1:11">
      <c r="A1399" t="s">
        <v>1</v>
      </c>
      <c r="B1399" s="3">
        <v>41821</v>
      </c>
      <c r="C1399" s="3">
        <v>41821</v>
      </c>
      <c r="D1399" t="s">
        <v>7</v>
      </c>
      <c r="E1399" s="1">
        <v>23.348500000000001</v>
      </c>
      <c r="F1399" s="1">
        <v>1329.627</v>
      </c>
      <c r="G1399" s="1">
        <v>327.77499999999998</v>
      </c>
      <c r="H1399" s="2">
        <v>31112.07</v>
      </c>
      <c r="I1399" s="2">
        <v>-7669.64</v>
      </c>
      <c r="J1399" s="1">
        <v>272421864.13</v>
      </c>
      <c r="K1399" s="1">
        <v>11667640.494000001</v>
      </c>
    </row>
    <row r="1400" spans="1:11">
      <c r="A1400" t="s">
        <v>1</v>
      </c>
      <c r="B1400" s="3">
        <v>41821</v>
      </c>
      <c r="C1400" s="3">
        <v>41821</v>
      </c>
      <c r="D1400" t="s">
        <v>12</v>
      </c>
      <c r="E1400" s="1">
        <v>18.545000000000002</v>
      </c>
      <c r="F1400" s="1">
        <v>783.06</v>
      </c>
      <c r="G1400" s="1">
        <v>2103.6999999999998</v>
      </c>
      <c r="H1400" s="2">
        <v>14553.95</v>
      </c>
      <c r="I1400" s="2">
        <v>-39099.370000000003</v>
      </c>
      <c r="J1400" s="1">
        <v>8406441.1799999997</v>
      </c>
      <c r="K1400" s="1">
        <v>453299.97200000001</v>
      </c>
    </row>
    <row r="1401" spans="1:11">
      <c r="A1401" t="s">
        <v>1</v>
      </c>
      <c r="B1401" s="3">
        <v>41821</v>
      </c>
      <c r="C1401" s="3">
        <v>41821</v>
      </c>
      <c r="D1401" t="s">
        <v>6</v>
      </c>
      <c r="E1401" s="1">
        <v>19.2699</v>
      </c>
      <c r="F1401" s="1">
        <v>22939.935000000001</v>
      </c>
      <c r="G1401" s="1">
        <v>1462.9090000000001</v>
      </c>
      <c r="H1401" s="2">
        <v>443027.48</v>
      </c>
      <c r="I1401" s="2">
        <v>-28252.44</v>
      </c>
      <c r="J1401" s="1">
        <v>37010097.619999997</v>
      </c>
      <c r="K1401" s="1">
        <v>1920618.16</v>
      </c>
    </row>
    <row r="1402" spans="1:11">
      <c r="A1402" t="s">
        <v>1</v>
      </c>
      <c r="B1402" s="3">
        <v>41821</v>
      </c>
      <c r="C1402" s="3">
        <v>41821</v>
      </c>
      <c r="D1402" t="s">
        <v>10</v>
      </c>
      <c r="E1402" s="1">
        <v>19.000699999999998</v>
      </c>
      <c r="F1402" s="1">
        <v>3</v>
      </c>
      <c r="G1402" s="1">
        <v>0</v>
      </c>
      <c r="H1402" s="2">
        <v>56.96</v>
      </c>
      <c r="I1402" s="2">
        <v>0</v>
      </c>
      <c r="J1402" s="1">
        <v>8172037.1900000004</v>
      </c>
      <c r="K1402" s="1">
        <v>430090.94799999997</v>
      </c>
    </row>
    <row r="1403" spans="1:11">
      <c r="A1403" t="s">
        <v>1</v>
      </c>
      <c r="B1403" s="3">
        <v>41821</v>
      </c>
      <c r="C1403" s="3">
        <v>41821</v>
      </c>
      <c r="D1403" t="s">
        <v>5</v>
      </c>
      <c r="E1403" s="1">
        <v>18.009</v>
      </c>
      <c r="F1403" s="1">
        <v>78971</v>
      </c>
      <c r="G1403" s="1">
        <v>0</v>
      </c>
      <c r="H1403" s="2">
        <v>1425244.92</v>
      </c>
      <c r="I1403" s="2">
        <v>0</v>
      </c>
      <c r="J1403" s="1">
        <v>37148438.380000003</v>
      </c>
      <c r="K1403" s="1">
        <v>2062767.6839999999</v>
      </c>
    </row>
    <row r="1404" spans="1:11">
      <c r="A1404" t="s">
        <v>1</v>
      </c>
      <c r="B1404" s="3">
        <v>41821</v>
      </c>
      <c r="C1404" s="3">
        <v>41821</v>
      </c>
      <c r="D1404" t="s">
        <v>4</v>
      </c>
      <c r="E1404" s="1">
        <v>11.3803</v>
      </c>
      <c r="F1404" s="1">
        <v>52.055</v>
      </c>
      <c r="G1404" s="1">
        <v>18121.170999999998</v>
      </c>
      <c r="H1404" s="2">
        <v>601.29999999999995</v>
      </c>
      <c r="I1404" s="2">
        <v>-209321.27</v>
      </c>
      <c r="J1404" s="1">
        <v>1904289.62</v>
      </c>
      <c r="K1404" s="1">
        <v>167332.61799999999</v>
      </c>
    </row>
    <row r="1405" spans="1:11">
      <c r="A1405" t="s">
        <v>1</v>
      </c>
      <c r="B1405" s="3">
        <v>41821</v>
      </c>
      <c r="C1405" s="3">
        <v>41821</v>
      </c>
      <c r="D1405" t="s">
        <v>3</v>
      </c>
      <c r="E1405" s="1">
        <v>11.0776</v>
      </c>
      <c r="F1405" s="1">
        <v>0</v>
      </c>
      <c r="G1405" s="1">
        <v>2637.201</v>
      </c>
      <c r="H1405" s="2">
        <v>0</v>
      </c>
      <c r="I1405" s="2">
        <v>-29462.02</v>
      </c>
      <c r="J1405" s="1">
        <v>1883431.16</v>
      </c>
      <c r="K1405" s="1">
        <v>170021.851</v>
      </c>
    </row>
    <row r="1406" spans="1:11">
      <c r="A1406" t="s">
        <v>1</v>
      </c>
      <c r="B1406" s="3">
        <v>41821</v>
      </c>
      <c r="C1406" s="3">
        <v>41821</v>
      </c>
      <c r="D1406" t="s">
        <v>2</v>
      </c>
      <c r="E1406" s="1">
        <v>17.613</v>
      </c>
      <c r="F1406" s="1">
        <v>19425.845000000001</v>
      </c>
      <c r="G1406" s="1">
        <v>0</v>
      </c>
      <c r="H1406" s="2">
        <v>345814.18</v>
      </c>
      <c r="I1406" s="2">
        <v>0</v>
      </c>
      <c r="J1406" s="1">
        <v>65797219.049999997</v>
      </c>
      <c r="K1406" s="1">
        <v>3735726.2220000001</v>
      </c>
    </row>
    <row r="1407" spans="1:11">
      <c r="A1407" t="s">
        <v>1</v>
      </c>
      <c r="B1407" s="3">
        <v>41821</v>
      </c>
      <c r="C1407" s="3">
        <v>41821</v>
      </c>
      <c r="D1407" t="s">
        <v>0</v>
      </c>
      <c r="E1407" s="1">
        <v>17.555299999999999</v>
      </c>
      <c r="F1407" s="1">
        <v>1125.3499999999999</v>
      </c>
      <c r="G1407" s="1">
        <v>37.000999999999998</v>
      </c>
      <c r="H1407" s="2">
        <v>19798.18</v>
      </c>
      <c r="I1407" s="2">
        <v>-650.96</v>
      </c>
      <c r="J1407" s="1">
        <v>2792881.43</v>
      </c>
      <c r="K1407" s="1">
        <v>159090.54</v>
      </c>
    </row>
    <row r="1408" spans="1:11">
      <c r="A1408" t="s">
        <v>1</v>
      </c>
      <c r="B1408" s="3">
        <v>41822</v>
      </c>
      <c r="C1408" s="3">
        <v>41822</v>
      </c>
      <c r="D1408" t="s">
        <v>7</v>
      </c>
      <c r="E1408" s="1">
        <v>23.498799999999999</v>
      </c>
      <c r="F1408" s="1">
        <v>56375.83</v>
      </c>
      <c r="G1408" s="1">
        <v>9268.6329999999998</v>
      </c>
      <c r="H1408" s="2">
        <v>1316291.1000000001</v>
      </c>
      <c r="I1408" s="2">
        <v>-216408.68</v>
      </c>
      <c r="J1408" s="1">
        <v>275282751.85000002</v>
      </c>
      <c r="K1408" s="1">
        <v>11714747.691</v>
      </c>
    </row>
    <row r="1409" spans="1:11">
      <c r="A1409" t="s">
        <v>1</v>
      </c>
      <c r="B1409" s="3">
        <v>41822</v>
      </c>
      <c r="C1409" s="3">
        <v>41822</v>
      </c>
      <c r="D1409" t="s">
        <v>12</v>
      </c>
      <c r="E1409" s="1">
        <v>18.663599999999999</v>
      </c>
      <c r="F1409" s="1">
        <v>0</v>
      </c>
      <c r="G1409" s="1">
        <v>1296.53</v>
      </c>
      <c r="H1409" s="2">
        <v>0</v>
      </c>
      <c r="I1409" s="2">
        <v>-24044.15</v>
      </c>
      <c r="J1409" s="1">
        <v>8436020.6300000008</v>
      </c>
      <c r="K1409" s="1">
        <v>452003.44199999998</v>
      </c>
    </row>
    <row r="1410" spans="1:11">
      <c r="A1410" t="s">
        <v>1</v>
      </c>
      <c r="B1410" s="3">
        <v>41822</v>
      </c>
      <c r="C1410" s="3">
        <v>41822</v>
      </c>
      <c r="D1410" t="s">
        <v>6</v>
      </c>
      <c r="E1410" s="1">
        <v>19.3932</v>
      </c>
      <c r="F1410" s="1">
        <v>28267.827000000001</v>
      </c>
      <c r="G1410" s="1">
        <v>2411.5439999999999</v>
      </c>
      <c r="H1410" s="2">
        <v>544718.23</v>
      </c>
      <c r="I1410" s="2">
        <v>-46470.21</v>
      </c>
      <c r="J1410" s="1">
        <v>37748292.850000001</v>
      </c>
      <c r="K1410" s="1">
        <v>1946474.443</v>
      </c>
    </row>
    <row r="1411" spans="1:11">
      <c r="A1411" t="s">
        <v>1</v>
      </c>
      <c r="B1411" s="3">
        <v>41822</v>
      </c>
      <c r="C1411" s="3">
        <v>41822</v>
      </c>
      <c r="D1411" t="s">
        <v>10</v>
      </c>
      <c r="E1411" s="1">
        <v>19.088100000000001</v>
      </c>
      <c r="F1411" s="1">
        <v>24</v>
      </c>
      <c r="G1411" s="1">
        <v>117</v>
      </c>
      <c r="H1411" s="2">
        <v>456.02</v>
      </c>
      <c r="I1411" s="2">
        <v>-2223.08</v>
      </c>
      <c r="J1411" s="1">
        <v>8207827.6600000001</v>
      </c>
      <c r="K1411" s="1">
        <v>429997.94799999997</v>
      </c>
    </row>
    <row r="1412" spans="1:11">
      <c r="A1412" t="s">
        <v>1</v>
      </c>
      <c r="B1412" s="3">
        <v>41822</v>
      </c>
      <c r="C1412" s="3">
        <v>41822</v>
      </c>
      <c r="D1412" t="s">
        <v>5</v>
      </c>
      <c r="E1412" s="1">
        <v>18.125299999999999</v>
      </c>
      <c r="F1412" s="1">
        <v>299108</v>
      </c>
      <c r="G1412" s="1">
        <v>0</v>
      </c>
      <c r="H1412" s="2">
        <v>5386635.9699999997</v>
      </c>
      <c r="I1412" s="2">
        <v>0</v>
      </c>
      <c r="J1412" s="1">
        <v>42809800.399999999</v>
      </c>
      <c r="K1412" s="1">
        <v>2361875.6839999999</v>
      </c>
    </row>
    <row r="1413" spans="1:11">
      <c r="A1413" t="s">
        <v>1</v>
      </c>
      <c r="B1413" s="3">
        <v>41822</v>
      </c>
      <c r="C1413" s="3">
        <v>41822</v>
      </c>
      <c r="D1413" t="s">
        <v>2</v>
      </c>
      <c r="E1413" s="1">
        <v>17.726700000000001</v>
      </c>
      <c r="F1413" s="1">
        <v>15953.288</v>
      </c>
      <c r="G1413" s="1">
        <v>1875</v>
      </c>
      <c r="H1413" s="2">
        <v>280986.34000000003</v>
      </c>
      <c r="I1413" s="2">
        <v>-33024.5</v>
      </c>
      <c r="J1413" s="1">
        <v>66471754.329999998</v>
      </c>
      <c r="K1413" s="1">
        <v>3749804.51</v>
      </c>
    </row>
    <row r="1414" spans="1:11">
      <c r="A1414" t="s">
        <v>1</v>
      </c>
      <c r="B1414" s="3">
        <v>41822</v>
      </c>
      <c r="C1414" s="3">
        <v>41822</v>
      </c>
      <c r="D1414" t="s">
        <v>0</v>
      </c>
      <c r="E1414" s="1">
        <v>17.668800000000001</v>
      </c>
      <c r="F1414" s="1">
        <v>1088.7840000000001</v>
      </c>
      <c r="G1414" s="1">
        <v>3.0979999999999999</v>
      </c>
      <c r="H1414" s="2">
        <v>19113.939999999999</v>
      </c>
      <c r="I1414" s="2">
        <v>-54.39</v>
      </c>
      <c r="J1414" s="1">
        <v>2830114.34</v>
      </c>
      <c r="K1414" s="1">
        <v>160176.226</v>
      </c>
    </row>
    <row r="1415" spans="1:11">
      <c r="A1415" t="s">
        <v>1</v>
      </c>
      <c r="B1415" s="3">
        <v>41823</v>
      </c>
      <c r="C1415" s="3">
        <v>41823</v>
      </c>
      <c r="D1415" t="s">
        <v>7</v>
      </c>
      <c r="E1415" s="1">
        <v>23.5076</v>
      </c>
      <c r="F1415" s="1">
        <v>1082.442</v>
      </c>
      <c r="G1415" s="1">
        <v>5109.4350000000004</v>
      </c>
      <c r="H1415" s="2">
        <v>25436.12</v>
      </c>
      <c r="I1415" s="2">
        <v>-120065.60000000001</v>
      </c>
      <c r="J1415" s="1">
        <v>275291229.12</v>
      </c>
      <c r="K1415" s="1">
        <v>11710720.698000001</v>
      </c>
    </row>
    <row r="1416" spans="1:11">
      <c r="A1416" t="s">
        <v>1</v>
      </c>
      <c r="B1416" s="3">
        <v>41823</v>
      </c>
      <c r="C1416" s="3">
        <v>41823</v>
      </c>
      <c r="D1416" t="s">
        <v>12</v>
      </c>
      <c r="E1416" s="1">
        <v>18.669799999999999</v>
      </c>
      <c r="F1416" s="1">
        <v>9518.3189999999995</v>
      </c>
      <c r="G1416" s="1">
        <v>2287.1979999999999</v>
      </c>
      <c r="H1416" s="2">
        <v>177646.1</v>
      </c>
      <c r="I1416" s="2">
        <v>-42687.35</v>
      </c>
      <c r="J1416" s="1">
        <v>8573838.4900000002</v>
      </c>
      <c r="K1416" s="1">
        <v>459234.56300000002</v>
      </c>
    </row>
    <row r="1417" spans="1:11">
      <c r="A1417" t="s">
        <v>1</v>
      </c>
      <c r="B1417" s="3">
        <v>41823</v>
      </c>
      <c r="C1417" s="3">
        <v>41823</v>
      </c>
      <c r="D1417" t="s">
        <v>6</v>
      </c>
      <c r="E1417" s="1">
        <v>19.3996</v>
      </c>
      <c r="F1417" s="1">
        <v>14759.335999999999</v>
      </c>
      <c r="G1417" s="1">
        <v>7507.9440000000004</v>
      </c>
      <c r="H1417" s="2">
        <v>286230.75</v>
      </c>
      <c r="I1417" s="2">
        <v>-145603.04999999999</v>
      </c>
      <c r="J1417" s="1">
        <v>37901559.579999998</v>
      </c>
      <c r="K1417" s="1">
        <v>1953725.835</v>
      </c>
    </row>
    <row r="1418" spans="1:11">
      <c r="A1418" t="s">
        <v>1</v>
      </c>
      <c r="B1418" s="3">
        <v>41823</v>
      </c>
      <c r="C1418" s="3">
        <v>41823</v>
      </c>
      <c r="D1418" t="s">
        <v>5</v>
      </c>
      <c r="E1418" s="1">
        <v>18.1325</v>
      </c>
      <c r="F1418" s="1">
        <v>0</v>
      </c>
      <c r="G1418" s="1">
        <v>190696</v>
      </c>
      <c r="H1418" s="2">
        <v>0</v>
      </c>
      <c r="I1418" s="2">
        <v>-3456422.21</v>
      </c>
      <c r="J1418" s="1">
        <v>39368931.619999997</v>
      </c>
      <c r="K1418" s="1">
        <v>2171179.6839999999</v>
      </c>
    </row>
    <row r="1419" spans="1:11">
      <c r="A1419" t="s">
        <v>1</v>
      </c>
      <c r="B1419" s="3">
        <v>41823</v>
      </c>
      <c r="C1419" s="3">
        <v>41823</v>
      </c>
      <c r="D1419" t="s">
        <v>4</v>
      </c>
      <c r="E1419" s="1">
        <v>11.457800000000001</v>
      </c>
      <c r="F1419" s="1">
        <v>0</v>
      </c>
      <c r="G1419" s="1">
        <v>86.608000000000004</v>
      </c>
      <c r="H1419" s="2">
        <v>0</v>
      </c>
      <c r="I1419" s="2">
        <v>-991.96</v>
      </c>
      <c r="J1419" s="1">
        <v>1916275.69</v>
      </c>
      <c r="K1419" s="1">
        <v>167246.01</v>
      </c>
    </row>
    <row r="1420" spans="1:11">
      <c r="A1420" t="s">
        <v>1</v>
      </c>
      <c r="B1420" s="3">
        <v>41823</v>
      </c>
      <c r="C1420" s="3">
        <v>41823</v>
      </c>
      <c r="D1420" t="s">
        <v>14</v>
      </c>
      <c r="E1420" s="1">
        <v>11.327199999999999</v>
      </c>
      <c r="F1420" s="1">
        <v>0</v>
      </c>
      <c r="G1420" s="1">
        <v>1856.6949999999999</v>
      </c>
      <c r="H1420" s="2">
        <v>0</v>
      </c>
      <c r="I1420" s="2">
        <v>-21024.1</v>
      </c>
      <c r="J1420" s="1">
        <v>480137.77</v>
      </c>
      <c r="K1420" s="1">
        <v>42388.127</v>
      </c>
    </row>
    <row r="1421" spans="1:11">
      <c r="A1421" t="s">
        <v>1</v>
      </c>
      <c r="B1421" s="3">
        <v>41823</v>
      </c>
      <c r="C1421" s="3">
        <v>41823</v>
      </c>
      <c r="D1421" t="s">
        <v>2</v>
      </c>
      <c r="E1421" s="1">
        <v>17.733699999999999</v>
      </c>
      <c r="F1421" s="1">
        <v>12636.947</v>
      </c>
      <c r="G1421" s="1">
        <v>430</v>
      </c>
      <c r="H1421" s="2">
        <v>224010.4</v>
      </c>
      <c r="I1421" s="2">
        <v>-7622.45</v>
      </c>
      <c r="J1421" s="1">
        <v>66714499.119999997</v>
      </c>
      <c r="K1421" s="1">
        <v>3762011.4569999999</v>
      </c>
    </row>
    <row r="1422" spans="1:11">
      <c r="A1422" t="s">
        <v>1</v>
      </c>
      <c r="B1422" s="3">
        <v>41823</v>
      </c>
      <c r="C1422" s="3">
        <v>41823</v>
      </c>
      <c r="D1422" t="s">
        <v>9</v>
      </c>
      <c r="E1422" s="1">
        <v>19.102799999999998</v>
      </c>
      <c r="F1422" s="1">
        <v>0</v>
      </c>
      <c r="G1422" s="1">
        <v>14.247</v>
      </c>
      <c r="H1422" s="2">
        <v>0</v>
      </c>
      <c r="I1422" s="2">
        <v>-272.05</v>
      </c>
      <c r="J1422" s="1">
        <v>1128331.32</v>
      </c>
      <c r="K1422" s="1">
        <v>59066.245000000003</v>
      </c>
    </row>
    <row r="1423" spans="1:11">
      <c r="A1423" t="s">
        <v>1</v>
      </c>
      <c r="B1423" s="3">
        <v>41823</v>
      </c>
      <c r="C1423" s="3">
        <v>41823</v>
      </c>
      <c r="D1423" t="s">
        <v>0</v>
      </c>
      <c r="E1423" s="1">
        <v>17.675799999999999</v>
      </c>
      <c r="F1423" s="1">
        <v>4961.8519999999999</v>
      </c>
      <c r="G1423" s="1">
        <v>6507.4650000000001</v>
      </c>
      <c r="H1423" s="2">
        <v>87669.96</v>
      </c>
      <c r="I1423" s="2">
        <v>-114979.07</v>
      </c>
      <c r="J1423" s="1">
        <v>2803924.5</v>
      </c>
      <c r="K1423" s="1">
        <v>158630.61300000001</v>
      </c>
    </row>
    <row r="1424" spans="1:11">
      <c r="A1424" t="s">
        <v>1</v>
      </c>
      <c r="B1424" s="3">
        <v>41827</v>
      </c>
      <c r="C1424" s="3">
        <v>41827</v>
      </c>
      <c r="D1424" t="s">
        <v>7</v>
      </c>
      <c r="E1424" s="1">
        <v>23.644400000000001</v>
      </c>
      <c r="F1424" s="1">
        <v>61.750999999999998</v>
      </c>
      <c r="G1424" s="1">
        <v>15496.616</v>
      </c>
      <c r="H1424" s="2">
        <v>1451.62</v>
      </c>
      <c r="I1424" s="2">
        <v>-364288.26</v>
      </c>
      <c r="J1424" s="1">
        <v>276528201.88999999</v>
      </c>
      <c r="K1424" s="1">
        <v>11695285.833000001</v>
      </c>
    </row>
    <row r="1425" spans="1:11">
      <c r="A1425" t="s">
        <v>1</v>
      </c>
      <c r="B1425" s="3">
        <v>41827</v>
      </c>
      <c r="C1425" s="3">
        <v>41827</v>
      </c>
      <c r="D1425" t="s">
        <v>6</v>
      </c>
      <c r="E1425" s="1">
        <v>19.5093</v>
      </c>
      <c r="F1425" s="1">
        <v>2399.0650000000001</v>
      </c>
      <c r="G1425" s="1">
        <v>13908.875</v>
      </c>
      <c r="H1425" s="2">
        <v>46540.91</v>
      </c>
      <c r="I1425" s="2">
        <v>-269826.59999999998</v>
      </c>
      <c r="J1425" s="1">
        <v>37891330.229999997</v>
      </c>
      <c r="K1425" s="1">
        <v>1942216.0249999999</v>
      </c>
    </row>
    <row r="1426" spans="1:11">
      <c r="A1426" t="s">
        <v>1</v>
      </c>
      <c r="B1426" s="3">
        <v>41827</v>
      </c>
      <c r="C1426" s="3">
        <v>41827</v>
      </c>
      <c r="D1426" t="s">
        <v>5</v>
      </c>
      <c r="E1426" s="1">
        <v>18.2395</v>
      </c>
      <c r="F1426" s="1">
        <v>0</v>
      </c>
      <c r="G1426" s="1">
        <v>302974</v>
      </c>
      <c r="H1426" s="2">
        <v>0</v>
      </c>
      <c r="I1426" s="2">
        <v>-5493676.0599999996</v>
      </c>
      <c r="J1426" s="1">
        <v>34075160.100000001</v>
      </c>
      <c r="K1426" s="1">
        <v>1868205.6839999999</v>
      </c>
    </row>
    <row r="1427" spans="1:11">
      <c r="A1427" t="s">
        <v>1</v>
      </c>
      <c r="B1427" s="3">
        <v>41827</v>
      </c>
      <c r="C1427" s="3">
        <v>41827</v>
      </c>
      <c r="D1427" t="s">
        <v>4</v>
      </c>
      <c r="E1427" s="1">
        <v>11.5245</v>
      </c>
      <c r="F1427" s="1">
        <v>0</v>
      </c>
      <c r="G1427" s="1">
        <v>2167.5569999999998</v>
      </c>
      <c r="H1427" s="2">
        <v>0</v>
      </c>
      <c r="I1427" s="2">
        <v>-24835.43</v>
      </c>
      <c r="J1427" s="1">
        <v>1902446.56</v>
      </c>
      <c r="K1427" s="1">
        <v>165078.45300000001</v>
      </c>
    </row>
    <row r="1428" spans="1:11">
      <c r="A1428" t="s">
        <v>1</v>
      </c>
      <c r="B1428" s="3">
        <v>41827</v>
      </c>
      <c r="C1428" s="3">
        <v>41827</v>
      </c>
      <c r="D1428" t="s">
        <v>2</v>
      </c>
      <c r="E1428" s="1">
        <v>17.8384</v>
      </c>
      <c r="F1428" s="1">
        <v>6465.1289999999999</v>
      </c>
      <c r="G1428" s="1">
        <v>1040</v>
      </c>
      <c r="H1428" s="2">
        <v>114650.73</v>
      </c>
      <c r="I1428" s="2">
        <v>-18443.060000000001</v>
      </c>
      <c r="J1428" s="1">
        <v>67204969.849999994</v>
      </c>
      <c r="K1428" s="1">
        <v>3767436.5860000001</v>
      </c>
    </row>
    <row r="1429" spans="1:11">
      <c r="A1429" t="s">
        <v>1</v>
      </c>
      <c r="B1429" s="3">
        <v>41827</v>
      </c>
      <c r="C1429" s="3">
        <v>41827</v>
      </c>
      <c r="D1429" t="s">
        <v>0</v>
      </c>
      <c r="E1429" s="1">
        <v>17.7804</v>
      </c>
      <c r="F1429" s="1">
        <v>28966.755000000001</v>
      </c>
      <c r="G1429" s="1">
        <v>186.023</v>
      </c>
      <c r="H1429" s="2">
        <v>512010.16</v>
      </c>
      <c r="I1429" s="2">
        <v>-3288.12</v>
      </c>
      <c r="J1429" s="1">
        <v>3332249.57</v>
      </c>
      <c r="K1429" s="1">
        <v>187411.345</v>
      </c>
    </row>
    <row r="1430" spans="1:11">
      <c r="A1430" t="s">
        <v>1</v>
      </c>
      <c r="B1430" s="3">
        <v>41828</v>
      </c>
      <c r="C1430" s="3">
        <v>41828</v>
      </c>
      <c r="D1430" t="s">
        <v>7</v>
      </c>
      <c r="E1430" s="1">
        <v>23.532699999999998</v>
      </c>
      <c r="F1430" s="1">
        <v>12642.492</v>
      </c>
      <c r="G1430" s="1">
        <v>12076.58</v>
      </c>
      <c r="H1430" s="2">
        <v>298924.13</v>
      </c>
      <c r="I1430" s="2">
        <v>-285543.49</v>
      </c>
      <c r="J1430" s="1">
        <v>275234578.91000003</v>
      </c>
      <c r="K1430" s="1">
        <v>11695851.744999999</v>
      </c>
    </row>
    <row r="1431" spans="1:11">
      <c r="A1431" t="s">
        <v>1</v>
      </c>
      <c r="B1431" s="3">
        <v>41828</v>
      </c>
      <c r="C1431" s="3">
        <v>41828</v>
      </c>
      <c r="D1431" t="s">
        <v>12</v>
      </c>
      <c r="E1431" s="1">
        <v>18.6859</v>
      </c>
      <c r="F1431" s="1">
        <v>0</v>
      </c>
      <c r="G1431" s="1">
        <v>10643.584999999999</v>
      </c>
      <c r="H1431" s="2">
        <v>0</v>
      </c>
      <c r="I1431" s="2">
        <v>-199837.58</v>
      </c>
      <c r="J1431" s="1">
        <v>8382329.8399999999</v>
      </c>
      <c r="K1431" s="1">
        <v>448590.978</v>
      </c>
    </row>
    <row r="1432" spans="1:11">
      <c r="A1432" t="s">
        <v>1</v>
      </c>
      <c r="B1432" s="3">
        <v>41828</v>
      </c>
      <c r="C1432" s="3">
        <v>41828</v>
      </c>
      <c r="D1432" t="s">
        <v>6</v>
      </c>
      <c r="E1432" s="1">
        <v>19.4163</v>
      </c>
      <c r="F1432" s="1">
        <v>78.313999999999993</v>
      </c>
      <c r="G1432" s="1">
        <v>57799.218999999997</v>
      </c>
      <c r="H1432" s="2">
        <v>1527.87</v>
      </c>
      <c r="I1432" s="2">
        <v>-1127622.28</v>
      </c>
      <c r="J1432" s="1">
        <v>36589963.359999999</v>
      </c>
      <c r="K1432" s="1">
        <v>1884495.12</v>
      </c>
    </row>
    <row r="1433" spans="1:11">
      <c r="A1433" t="s">
        <v>1</v>
      </c>
      <c r="B1433" s="3">
        <v>41828</v>
      </c>
      <c r="C1433" s="3">
        <v>41828</v>
      </c>
      <c r="D1433" t="s">
        <v>10</v>
      </c>
      <c r="E1433" s="1">
        <v>19.017700000000001</v>
      </c>
      <c r="F1433" s="1">
        <v>2</v>
      </c>
      <c r="G1433" s="1">
        <v>0</v>
      </c>
      <c r="H1433" s="2">
        <v>38.22</v>
      </c>
      <c r="I1433" s="2">
        <v>0</v>
      </c>
      <c r="J1433" s="1">
        <v>8177603.9900000002</v>
      </c>
      <c r="K1433" s="1">
        <v>429999.94799999997</v>
      </c>
    </row>
    <row r="1434" spans="1:11">
      <c r="A1434" t="s">
        <v>1</v>
      </c>
      <c r="B1434" s="3">
        <v>41828</v>
      </c>
      <c r="C1434" s="3">
        <v>41828</v>
      </c>
      <c r="D1434" t="s">
        <v>4</v>
      </c>
      <c r="E1434" s="1">
        <v>11.47</v>
      </c>
      <c r="F1434" s="1">
        <v>136.255</v>
      </c>
      <c r="G1434" s="1">
        <v>3615.7379999999998</v>
      </c>
      <c r="H1434" s="2">
        <v>1570.27</v>
      </c>
      <c r="I1434" s="2">
        <v>-41669.57</v>
      </c>
      <c r="J1434" s="1">
        <v>1853545.33</v>
      </c>
      <c r="K1434" s="1">
        <v>161598.97</v>
      </c>
    </row>
    <row r="1435" spans="1:11">
      <c r="A1435" t="s">
        <v>1</v>
      </c>
      <c r="B1435" s="3">
        <v>41828</v>
      </c>
      <c r="C1435" s="3">
        <v>41828</v>
      </c>
      <c r="D1435" t="s">
        <v>2</v>
      </c>
      <c r="E1435" s="1">
        <v>17.7544</v>
      </c>
      <c r="F1435" s="1">
        <v>1991.94</v>
      </c>
      <c r="G1435" s="1">
        <v>299.01</v>
      </c>
      <c r="H1435" s="2">
        <v>35532.93</v>
      </c>
      <c r="I1435" s="2">
        <v>-5333.84</v>
      </c>
      <c r="J1435" s="1">
        <v>66918780.509999998</v>
      </c>
      <c r="K1435" s="1">
        <v>3769129.5159999998</v>
      </c>
    </row>
    <row r="1436" spans="1:11">
      <c r="A1436" t="s">
        <v>1</v>
      </c>
      <c r="B1436" s="3">
        <v>41828</v>
      </c>
      <c r="C1436" s="3">
        <v>41828</v>
      </c>
      <c r="D1436" t="s">
        <v>9</v>
      </c>
      <c r="E1436" s="1">
        <v>19.126000000000001</v>
      </c>
      <c r="F1436" s="1">
        <v>0</v>
      </c>
      <c r="G1436" s="1">
        <v>5.4429999999999996</v>
      </c>
      <c r="H1436" s="2">
        <v>0</v>
      </c>
      <c r="I1436" s="2">
        <v>-104.6</v>
      </c>
      <c r="J1436" s="1">
        <v>1129599.05</v>
      </c>
      <c r="K1436" s="1">
        <v>59060.802000000003</v>
      </c>
    </row>
    <row r="1437" spans="1:11">
      <c r="A1437" t="s">
        <v>1</v>
      </c>
      <c r="B1437" s="3">
        <v>41828</v>
      </c>
      <c r="C1437" s="3">
        <v>41828</v>
      </c>
      <c r="D1437" t="s">
        <v>0</v>
      </c>
      <c r="E1437" s="1">
        <v>17.6968</v>
      </c>
      <c r="F1437" s="1">
        <v>7360.2169999999996</v>
      </c>
      <c r="G1437" s="1">
        <v>222.79900000000001</v>
      </c>
      <c r="H1437" s="2">
        <v>130868.22</v>
      </c>
      <c r="I1437" s="2">
        <v>-3961.47</v>
      </c>
      <c r="J1437" s="1">
        <v>3442892.79</v>
      </c>
      <c r="K1437" s="1">
        <v>194548.76300000001</v>
      </c>
    </row>
    <row r="1438" spans="1:11">
      <c r="A1438" t="s">
        <v>1</v>
      </c>
      <c r="B1438" s="3">
        <v>41829</v>
      </c>
      <c r="C1438" s="3">
        <v>41829</v>
      </c>
      <c r="D1438" t="s">
        <v>7</v>
      </c>
      <c r="E1438" s="1">
        <v>23.366399999999999</v>
      </c>
      <c r="F1438" s="1">
        <v>189785.36799999999</v>
      </c>
      <c r="G1438" s="1">
        <v>122045.845</v>
      </c>
      <c r="H1438" s="2">
        <v>4466162.1399999997</v>
      </c>
      <c r="I1438" s="2">
        <v>-2872068.26</v>
      </c>
      <c r="J1438" s="1">
        <v>274872929.91000003</v>
      </c>
      <c r="K1438" s="1">
        <v>11763591.267999999</v>
      </c>
    </row>
    <row r="1439" spans="1:11">
      <c r="A1439" t="s">
        <v>1</v>
      </c>
      <c r="B1439" s="3">
        <v>41829</v>
      </c>
      <c r="C1439" s="3">
        <v>41829</v>
      </c>
      <c r="D1439" t="s">
        <v>12</v>
      </c>
      <c r="E1439" s="1">
        <v>18.553100000000001</v>
      </c>
      <c r="F1439" s="1">
        <v>0</v>
      </c>
      <c r="G1439" s="1">
        <v>987.26099999999997</v>
      </c>
      <c r="H1439" s="2">
        <v>0</v>
      </c>
      <c r="I1439" s="2">
        <v>-18447.86</v>
      </c>
      <c r="J1439" s="1">
        <v>8304448.9800000004</v>
      </c>
      <c r="K1439" s="1">
        <v>447603.717</v>
      </c>
    </row>
    <row r="1440" spans="1:11">
      <c r="A1440" t="s">
        <v>1</v>
      </c>
      <c r="B1440" s="3">
        <v>41829</v>
      </c>
      <c r="C1440" s="3">
        <v>41829</v>
      </c>
      <c r="D1440" t="s">
        <v>6</v>
      </c>
      <c r="E1440" s="1">
        <v>19.278400000000001</v>
      </c>
      <c r="F1440" s="1">
        <v>7062.3990000000003</v>
      </c>
      <c r="G1440" s="1">
        <v>6028.0550000000003</v>
      </c>
      <c r="H1440" s="2">
        <v>137125.65</v>
      </c>
      <c r="I1440" s="2">
        <v>-117042.55</v>
      </c>
      <c r="J1440" s="1">
        <v>36349898.82</v>
      </c>
      <c r="K1440" s="1">
        <v>1885529.4639999999</v>
      </c>
    </row>
    <row r="1441" spans="1:11">
      <c r="A1441" t="s">
        <v>1</v>
      </c>
      <c r="B1441" s="3">
        <v>41829</v>
      </c>
      <c r="C1441" s="3">
        <v>41829</v>
      </c>
      <c r="D1441" t="s">
        <v>5</v>
      </c>
      <c r="E1441" s="1">
        <v>18.0258</v>
      </c>
      <c r="F1441" s="1">
        <v>0</v>
      </c>
      <c r="G1441" s="1">
        <v>34975</v>
      </c>
      <c r="H1441" s="2">
        <v>0</v>
      </c>
      <c r="I1441" s="2">
        <v>-634925.66</v>
      </c>
      <c r="J1441" s="1">
        <v>33045454.629999999</v>
      </c>
      <c r="K1441" s="1">
        <v>1833230.6839999999</v>
      </c>
    </row>
    <row r="1442" spans="1:11">
      <c r="A1442" t="s">
        <v>1</v>
      </c>
      <c r="B1442" s="3">
        <v>41829</v>
      </c>
      <c r="C1442" s="3">
        <v>41829</v>
      </c>
      <c r="D1442" t="s">
        <v>4</v>
      </c>
      <c r="E1442" s="1">
        <v>11.388999999999999</v>
      </c>
      <c r="F1442" s="1">
        <v>116.125</v>
      </c>
      <c r="G1442" s="1">
        <v>0</v>
      </c>
      <c r="H1442" s="2">
        <v>1331.95</v>
      </c>
      <c r="I1442" s="2">
        <v>0</v>
      </c>
      <c r="J1442" s="1">
        <v>1841772.91</v>
      </c>
      <c r="K1442" s="1">
        <v>161715.095</v>
      </c>
    </row>
    <row r="1443" spans="1:11">
      <c r="A1443" t="s">
        <v>1</v>
      </c>
      <c r="B1443" s="3">
        <v>41829</v>
      </c>
      <c r="C1443" s="3">
        <v>41829</v>
      </c>
      <c r="D1443" t="s">
        <v>14</v>
      </c>
      <c r="E1443" s="1">
        <v>11.256399999999999</v>
      </c>
      <c r="F1443" s="1">
        <v>111.006</v>
      </c>
      <c r="G1443" s="1">
        <v>0</v>
      </c>
      <c r="H1443" s="2">
        <v>1258.46</v>
      </c>
      <c r="I1443" s="2">
        <v>0</v>
      </c>
      <c r="J1443" s="1">
        <v>478385.61</v>
      </c>
      <c r="K1443" s="1">
        <v>42499.133000000002</v>
      </c>
    </row>
    <row r="1444" spans="1:11">
      <c r="A1444" t="s">
        <v>1</v>
      </c>
      <c r="B1444" s="3">
        <v>41829</v>
      </c>
      <c r="C1444" s="3">
        <v>41829</v>
      </c>
      <c r="D1444" t="s">
        <v>2</v>
      </c>
      <c r="E1444" s="1">
        <v>17.6294</v>
      </c>
      <c r="F1444" s="1">
        <v>8325.0769999999993</v>
      </c>
      <c r="G1444" s="1">
        <v>5948.0929999999998</v>
      </c>
      <c r="H1444" s="2">
        <v>147807.23000000001</v>
      </c>
      <c r="I1444" s="2">
        <v>-105605.16</v>
      </c>
      <c r="J1444" s="1">
        <v>66489291.659999996</v>
      </c>
      <c r="K1444" s="1">
        <v>3771506.5</v>
      </c>
    </row>
    <row r="1445" spans="1:11">
      <c r="A1445" t="s">
        <v>1</v>
      </c>
      <c r="B1445" s="3">
        <v>41829</v>
      </c>
      <c r="C1445" s="3">
        <v>41829</v>
      </c>
      <c r="D1445" t="s">
        <v>0</v>
      </c>
      <c r="E1445" s="1">
        <v>17.572199999999999</v>
      </c>
      <c r="F1445" s="1">
        <v>3109.9050000000002</v>
      </c>
      <c r="G1445" s="1">
        <v>45.081000000000003</v>
      </c>
      <c r="H1445" s="2">
        <v>55035.26</v>
      </c>
      <c r="I1445" s="2">
        <v>-797.81</v>
      </c>
      <c r="J1445" s="1">
        <v>3472509.92</v>
      </c>
      <c r="K1445" s="1">
        <v>197613.587</v>
      </c>
    </row>
    <row r="1446" spans="1:11">
      <c r="A1446" t="s">
        <v>1</v>
      </c>
      <c r="B1446" s="3">
        <v>41830</v>
      </c>
      <c r="C1446" s="3">
        <v>41830</v>
      </c>
      <c r="D1446" t="s">
        <v>8</v>
      </c>
      <c r="E1446" s="1">
        <v>18.945799999999998</v>
      </c>
      <c r="F1446" s="1">
        <v>0</v>
      </c>
      <c r="G1446" s="1">
        <v>1296.634</v>
      </c>
      <c r="H1446" s="2">
        <v>0</v>
      </c>
      <c r="I1446" s="2">
        <v>-24502.5</v>
      </c>
      <c r="J1446" s="1">
        <v>6173956.4400000004</v>
      </c>
      <c r="K1446" s="1">
        <v>325874.04800000001</v>
      </c>
    </row>
    <row r="1447" spans="1:11">
      <c r="A1447" t="s">
        <v>1</v>
      </c>
      <c r="B1447" s="3">
        <v>41830</v>
      </c>
      <c r="C1447" s="3">
        <v>41830</v>
      </c>
      <c r="D1447" t="s">
        <v>7</v>
      </c>
      <c r="E1447" s="1">
        <v>23.4268</v>
      </c>
      <c r="F1447" s="1">
        <v>2118.4270000000001</v>
      </c>
      <c r="G1447" s="1">
        <v>99021.485000000001</v>
      </c>
      <c r="H1447" s="2">
        <v>49500</v>
      </c>
      <c r="I1447" s="2">
        <v>-2313775.63</v>
      </c>
      <c r="J1447" s="1">
        <v>273313154.85000002</v>
      </c>
      <c r="K1447" s="1">
        <v>11666688.210000001</v>
      </c>
    </row>
    <row r="1448" spans="1:11">
      <c r="A1448" t="s">
        <v>1</v>
      </c>
      <c r="B1448" s="3">
        <v>41830</v>
      </c>
      <c r="C1448" s="3">
        <v>41830</v>
      </c>
      <c r="D1448" t="s">
        <v>12</v>
      </c>
      <c r="E1448" s="1">
        <v>18.600300000000001</v>
      </c>
      <c r="F1448" s="1">
        <v>0</v>
      </c>
      <c r="G1448" s="1">
        <v>5074.8850000000002</v>
      </c>
      <c r="H1448" s="2">
        <v>0</v>
      </c>
      <c r="I1448" s="2">
        <v>-94154.85</v>
      </c>
      <c r="J1448" s="1">
        <v>8231174.5199999996</v>
      </c>
      <c r="K1448" s="1">
        <v>442528.83199999999</v>
      </c>
    </row>
    <row r="1449" spans="1:11">
      <c r="A1449" t="s">
        <v>1</v>
      </c>
      <c r="B1449" s="3">
        <v>41830</v>
      </c>
      <c r="C1449" s="3">
        <v>41830</v>
      </c>
      <c r="D1449" t="s">
        <v>6</v>
      </c>
      <c r="E1449" s="1">
        <v>19.327400000000001</v>
      </c>
      <c r="F1449" s="1">
        <v>8492.3850000000002</v>
      </c>
      <c r="G1449" s="1">
        <v>1568.7180000000001</v>
      </c>
      <c r="H1449" s="2">
        <v>163719.60999999999</v>
      </c>
      <c r="I1449" s="2">
        <v>-30242.36</v>
      </c>
      <c r="J1449" s="1">
        <v>36576160.479999997</v>
      </c>
      <c r="K1449" s="1">
        <v>1892453.1310000001</v>
      </c>
    </row>
    <row r="1450" spans="1:11">
      <c r="A1450" t="s">
        <v>1</v>
      </c>
      <c r="B1450" s="3">
        <v>41830</v>
      </c>
      <c r="C1450" s="3">
        <v>41830</v>
      </c>
      <c r="D1450" t="s">
        <v>5</v>
      </c>
      <c r="E1450" s="1">
        <v>18.072800000000001</v>
      </c>
      <c r="F1450" s="1">
        <v>0</v>
      </c>
      <c r="G1450" s="1">
        <v>145167</v>
      </c>
      <c r="H1450" s="2">
        <v>0</v>
      </c>
      <c r="I1450" s="2">
        <v>-2616751.31</v>
      </c>
      <c r="J1450" s="1">
        <v>30507965.27</v>
      </c>
      <c r="K1450" s="1">
        <v>1688063.6839999999</v>
      </c>
    </row>
    <row r="1451" spans="1:11">
      <c r="A1451" t="s">
        <v>1</v>
      </c>
      <c r="B1451" s="3">
        <v>41830</v>
      </c>
      <c r="C1451" s="3">
        <v>41830</v>
      </c>
      <c r="D1451" t="s">
        <v>4</v>
      </c>
      <c r="E1451" s="1">
        <v>11.4184</v>
      </c>
      <c r="F1451" s="1">
        <v>0</v>
      </c>
      <c r="G1451" s="1">
        <v>1022.285</v>
      </c>
      <c r="H1451" s="2">
        <v>0</v>
      </c>
      <c r="I1451" s="2">
        <v>-11642.81</v>
      </c>
      <c r="J1451" s="1">
        <v>1834859.7</v>
      </c>
      <c r="K1451" s="1">
        <v>160692.81</v>
      </c>
    </row>
    <row r="1452" spans="1:11">
      <c r="A1452" t="s">
        <v>1</v>
      </c>
      <c r="B1452" s="3">
        <v>41830</v>
      </c>
      <c r="C1452" s="3">
        <v>41830</v>
      </c>
      <c r="D1452" t="s">
        <v>2</v>
      </c>
      <c r="E1452" s="1">
        <v>17.6753</v>
      </c>
      <c r="F1452" s="1">
        <v>6909.1310000000003</v>
      </c>
      <c r="G1452" s="1">
        <v>1300</v>
      </c>
      <c r="H1452" s="2">
        <v>121804.28</v>
      </c>
      <c r="I1452" s="2">
        <v>-22918.3</v>
      </c>
      <c r="J1452" s="1">
        <v>66761629.25</v>
      </c>
      <c r="K1452" s="1">
        <v>3777115.6310000001</v>
      </c>
    </row>
    <row r="1453" spans="1:11">
      <c r="A1453" t="s">
        <v>1</v>
      </c>
      <c r="B1453" s="3">
        <v>41830</v>
      </c>
      <c r="C1453" s="3">
        <v>41830</v>
      </c>
      <c r="D1453" t="s">
        <v>9</v>
      </c>
      <c r="E1453" s="1">
        <v>19.0411</v>
      </c>
      <c r="F1453" s="1">
        <v>0</v>
      </c>
      <c r="G1453" s="1">
        <v>2.052</v>
      </c>
      <c r="H1453" s="2">
        <v>0</v>
      </c>
      <c r="I1453" s="2">
        <v>-38.96</v>
      </c>
      <c r="J1453" s="1">
        <v>1124546.3899999999</v>
      </c>
      <c r="K1453" s="1">
        <v>59058.75</v>
      </c>
    </row>
    <row r="1454" spans="1:11">
      <c r="A1454" t="s">
        <v>1</v>
      </c>
      <c r="B1454" s="3">
        <v>41830</v>
      </c>
      <c r="C1454" s="3">
        <v>41830</v>
      </c>
      <c r="D1454" t="s">
        <v>0</v>
      </c>
      <c r="E1454" s="1">
        <v>17.618099999999998</v>
      </c>
      <c r="F1454" s="1">
        <v>4402.5079999999998</v>
      </c>
      <c r="G1454" s="1">
        <v>171.798</v>
      </c>
      <c r="H1454" s="2">
        <v>77361.48</v>
      </c>
      <c r="I1454" s="2">
        <v>-3018.86</v>
      </c>
      <c r="J1454" s="1">
        <v>3556106.1</v>
      </c>
      <c r="K1454" s="1">
        <v>201844.29699999999</v>
      </c>
    </row>
    <row r="1455" spans="1:11">
      <c r="A1455" t="s">
        <v>1</v>
      </c>
      <c r="B1455" s="3">
        <v>41831</v>
      </c>
      <c r="C1455" s="3">
        <v>41831</v>
      </c>
      <c r="D1455" t="s">
        <v>7</v>
      </c>
      <c r="E1455" s="1">
        <v>23.3231</v>
      </c>
      <c r="F1455" s="1">
        <v>7012.6639999999998</v>
      </c>
      <c r="G1455" s="1">
        <v>66080.160999999993</v>
      </c>
      <c r="H1455" s="2">
        <v>164284.32999999999</v>
      </c>
      <c r="I1455" s="2">
        <v>-1548046.73</v>
      </c>
      <c r="J1455" s="1">
        <v>270725350.54000002</v>
      </c>
      <c r="K1455" s="1">
        <v>11607620.713</v>
      </c>
    </row>
    <row r="1456" spans="1:11">
      <c r="A1456" t="s">
        <v>1</v>
      </c>
      <c r="B1456" s="3">
        <v>41831</v>
      </c>
      <c r="C1456" s="3">
        <v>41831</v>
      </c>
      <c r="D1456" t="s">
        <v>12</v>
      </c>
      <c r="E1456" s="1">
        <v>18.517199999999999</v>
      </c>
      <c r="F1456" s="1">
        <v>1638.4680000000001</v>
      </c>
      <c r="G1456" s="1">
        <v>578.97299999999996</v>
      </c>
      <c r="H1456" s="2">
        <v>30476</v>
      </c>
      <c r="I1456" s="2">
        <v>-10769.07</v>
      </c>
      <c r="J1456" s="1">
        <v>8214009.3300000001</v>
      </c>
      <c r="K1456" s="1">
        <v>443588.32699999999</v>
      </c>
    </row>
    <row r="1457" spans="1:11">
      <c r="A1457" t="s">
        <v>1</v>
      </c>
      <c r="B1457" s="3">
        <v>41831</v>
      </c>
      <c r="C1457" s="3">
        <v>41831</v>
      </c>
      <c r="D1457" t="s">
        <v>6</v>
      </c>
      <c r="E1457" s="1">
        <v>19.241</v>
      </c>
      <c r="F1457" s="1">
        <v>122.571</v>
      </c>
      <c r="G1457" s="1">
        <v>35293.866999999998</v>
      </c>
      <c r="H1457" s="2">
        <v>2368.9699999999998</v>
      </c>
      <c r="I1457" s="2">
        <v>-682138.71</v>
      </c>
      <c r="J1457" s="1">
        <v>35735974.460000001</v>
      </c>
      <c r="K1457" s="1">
        <v>1857281.835</v>
      </c>
    </row>
    <row r="1458" spans="1:11">
      <c r="A1458" t="s">
        <v>1</v>
      </c>
      <c r="B1458" s="3">
        <v>41831</v>
      </c>
      <c r="C1458" s="3">
        <v>41831</v>
      </c>
      <c r="D1458" t="s">
        <v>5</v>
      </c>
      <c r="E1458" s="1">
        <v>17.993099999999998</v>
      </c>
      <c r="F1458" s="1">
        <v>59587</v>
      </c>
      <c r="G1458" s="1">
        <v>0</v>
      </c>
      <c r="H1458" s="2">
        <v>1076903.93</v>
      </c>
      <c r="I1458" s="2">
        <v>0</v>
      </c>
      <c r="J1458" s="1">
        <v>31445667.530000001</v>
      </c>
      <c r="K1458" s="1">
        <v>1747650.6839999999</v>
      </c>
    </row>
    <row r="1459" spans="1:11">
      <c r="A1459" t="s">
        <v>1</v>
      </c>
      <c r="B1459" s="3">
        <v>41831</v>
      </c>
      <c r="C1459" s="3">
        <v>41831</v>
      </c>
      <c r="D1459" t="s">
        <v>2</v>
      </c>
      <c r="E1459" s="1">
        <v>17.5974</v>
      </c>
      <c r="F1459" s="1">
        <v>3093.29</v>
      </c>
      <c r="G1459" s="1">
        <v>47890</v>
      </c>
      <c r="H1459" s="2">
        <v>54674.85</v>
      </c>
      <c r="I1459" s="2">
        <v>-846470.51</v>
      </c>
      <c r="J1459" s="1">
        <v>65679089.640000001</v>
      </c>
      <c r="K1459" s="1">
        <v>3732318.9210000001</v>
      </c>
    </row>
    <row r="1460" spans="1:11">
      <c r="A1460" t="s">
        <v>1</v>
      </c>
      <c r="B1460" s="3">
        <v>41831</v>
      </c>
      <c r="C1460" s="3">
        <v>41831</v>
      </c>
      <c r="D1460" t="s">
        <v>9</v>
      </c>
      <c r="E1460" s="1">
        <v>18.9574</v>
      </c>
      <c r="F1460" s="1">
        <v>12.923</v>
      </c>
      <c r="G1460" s="1">
        <v>0</v>
      </c>
      <c r="H1460" s="2">
        <v>246.06</v>
      </c>
      <c r="I1460" s="2">
        <v>0</v>
      </c>
      <c r="J1460" s="1">
        <v>1119846.19</v>
      </c>
      <c r="K1460" s="1">
        <v>59071.673000000003</v>
      </c>
    </row>
    <row r="1461" spans="1:11">
      <c r="A1461" t="s">
        <v>1</v>
      </c>
      <c r="B1461" s="3">
        <v>41831</v>
      </c>
      <c r="C1461" s="3">
        <v>41831</v>
      </c>
      <c r="D1461" t="s">
        <v>0</v>
      </c>
      <c r="E1461" s="1">
        <v>17.540500000000002</v>
      </c>
      <c r="F1461" s="1">
        <v>1791.598</v>
      </c>
      <c r="G1461" s="1">
        <v>94.756</v>
      </c>
      <c r="H1461" s="2">
        <v>31564.67</v>
      </c>
      <c r="I1461" s="2">
        <v>-1669.43</v>
      </c>
      <c r="J1461" s="1">
        <v>3570211.77</v>
      </c>
      <c r="K1461" s="1">
        <v>203541.139</v>
      </c>
    </row>
    <row r="1462" spans="1:11">
      <c r="A1462" t="s">
        <v>1</v>
      </c>
      <c r="B1462" s="3">
        <v>41834</v>
      </c>
      <c r="C1462" s="3">
        <v>41834</v>
      </c>
      <c r="D1462" t="s">
        <v>7</v>
      </c>
      <c r="E1462" s="1">
        <v>23.339300000000001</v>
      </c>
      <c r="F1462" s="1">
        <v>3770.2280000000001</v>
      </c>
      <c r="G1462" s="1">
        <v>27733.278999999999</v>
      </c>
      <c r="H1462" s="2">
        <v>87933.42</v>
      </c>
      <c r="I1462" s="2">
        <v>-646826.03</v>
      </c>
      <c r="J1462" s="1">
        <v>270354242.92000002</v>
      </c>
      <c r="K1462" s="1">
        <v>11583657.662</v>
      </c>
    </row>
    <row r="1463" spans="1:11">
      <c r="A1463" t="s">
        <v>1</v>
      </c>
      <c r="B1463" s="3">
        <v>41834</v>
      </c>
      <c r="C1463" s="3">
        <v>41834</v>
      </c>
      <c r="D1463" t="s">
        <v>12</v>
      </c>
      <c r="E1463" s="1">
        <v>18.527799999999999</v>
      </c>
      <c r="F1463" s="1">
        <v>1912.924</v>
      </c>
      <c r="G1463" s="1">
        <v>4027.8270000000002</v>
      </c>
      <c r="H1463" s="2">
        <v>35422</v>
      </c>
      <c r="I1463" s="2">
        <v>-74584.08</v>
      </c>
      <c r="J1463" s="1">
        <v>8179521.5</v>
      </c>
      <c r="K1463" s="1">
        <v>441473.424</v>
      </c>
    </row>
    <row r="1464" spans="1:11">
      <c r="A1464" t="s">
        <v>1</v>
      </c>
      <c r="B1464" s="3">
        <v>41834</v>
      </c>
      <c r="C1464" s="3">
        <v>41834</v>
      </c>
      <c r="D1464" t="s">
        <v>6</v>
      </c>
      <c r="E1464" s="1">
        <v>19.251999999999999</v>
      </c>
      <c r="F1464" s="1">
        <v>21623.222000000002</v>
      </c>
      <c r="G1464" s="1">
        <v>82.111000000000004</v>
      </c>
      <c r="H1464" s="2">
        <v>416052.33</v>
      </c>
      <c r="I1464" s="2">
        <v>-1579.89</v>
      </c>
      <c r="J1464" s="1">
        <v>36171117.149999999</v>
      </c>
      <c r="K1464" s="1">
        <v>1878822.946</v>
      </c>
    </row>
    <row r="1465" spans="1:11">
      <c r="A1465" t="s">
        <v>1</v>
      </c>
      <c r="B1465" s="3">
        <v>41834</v>
      </c>
      <c r="C1465" s="3">
        <v>41834</v>
      </c>
      <c r="D1465" t="s">
        <v>5</v>
      </c>
      <c r="E1465" s="1">
        <v>18.006699999999999</v>
      </c>
      <c r="F1465" s="1">
        <v>0</v>
      </c>
      <c r="G1465" s="1">
        <v>223227</v>
      </c>
      <c r="H1465" s="2">
        <v>0</v>
      </c>
      <c r="I1465" s="2">
        <v>-4016545.74</v>
      </c>
      <c r="J1465" s="1">
        <v>27449877.850000001</v>
      </c>
      <c r="K1465" s="1">
        <v>1524423.6839999999</v>
      </c>
    </row>
    <row r="1466" spans="1:11">
      <c r="A1466" t="s">
        <v>1</v>
      </c>
      <c r="B1466" s="3">
        <v>41834</v>
      </c>
      <c r="C1466" s="3">
        <v>41834</v>
      </c>
      <c r="D1466" t="s">
        <v>4</v>
      </c>
      <c r="E1466" s="1">
        <v>11.3758</v>
      </c>
      <c r="F1466" s="1">
        <v>0</v>
      </c>
      <c r="G1466" s="1">
        <v>4347.2929999999997</v>
      </c>
      <c r="H1466" s="2">
        <v>0</v>
      </c>
      <c r="I1466" s="2">
        <v>-49419.59</v>
      </c>
      <c r="J1466" s="1">
        <v>1778551.12</v>
      </c>
      <c r="K1466" s="1">
        <v>156345.51699999999</v>
      </c>
    </row>
    <row r="1467" spans="1:11">
      <c r="A1467" t="s">
        <v>1</v>
      </c>
      <c r="B1467" s="3">
        <v>41834</v>
      </c>
      <c r="C1467" s="3">
        <v>41834</v>
      </c>
      <c r="D1467" t="s">
        <v>2</v>
      </c>
      <c r="E1467" s="1">
        <v>17.610700000000001</v>
      </c>
      <c r="F1467" s="1">
        <v>975</v>
      </c>
      <c r="G1467" s="1">
        <v>0</v>
      </c>
      <c r="H1467" s="2">
        <v>17157.53</v>
      </c>
      <c r="I1467" s="2">
        <v>0</v>
      </c>
      <c r="J1467" s="1">
        <v>65745960.520000003</v>
      </c>
      <c r="K1467" s="1">
        <v>3733293.9210000001</v>
      </c>
    </row>
    <row r="1468" spans="1:11">
      <c r="A1468" t="s">
        <v>1</v>
      </c>
      <c r="B1468" s="3">
        <v>41834</v>
      </c>
      <c r="C1468" s="3">
        <v>41834</v>
      </c>
      <c r="D1468" t="s">
        <v>0</v>
      </c>
      <c r="E1468" s="1">
        <v>17.553999999999998</v>
      </c>
      <c r="F1468" s="1">
        <v>2947.2809999999999</v>
      </c>
      <c r="G1468" s="1">
        <v>5.7140000000000004</v>
      </c>
      <c r="H1468" s="2">
        <v>51697.03</v>
      </c>
      <c r="I1468" s="2">
        <v>-100.22</v>
      </c>
      <c r="J1468" s="1">
        <v>3624593.89</v>
      </c>
      <c r="K1468" s="1">
        <v>206482.70600000001</v>
      </c>
    </row>
    <row r="1469" spans="1:11">
      <c r="A1469" t="s">
        <v>1</v>
      </c>
      <c r="B1469" s="3">
        <v>41835</v>
      </c>
      <c r="C1469" s="3">
        <v>41835</v>
      </c>
      <c r="D1469" t="s">
        <v>7</v>
      </c>
      <c r="E1469" s="1">
        <v>23.4162</v>
      </c>
      <c r="F1469" s="1">
        <v>82557.534</v>
      </c>
      <c r="G1469" s="1">
        <v>26138.89</v>
      </c>
      <c r="H1469" s="2">
        <v>1926835.05</v>
      </c>
      <c r="I1469" s="2">
        <v>-610063.39</v>
      </c>
      <c r="J1469" s="1">
        <v>272566076.47000003</v>
      </c>
      <c r="K1469" s="1">
        <v>11640076.306</v>
      </c>
    </row>
    <row r="1470" spans="1:11">
      <c r="A1470" t="s">
        <v>1</v>
      </c>
      <c r="B1470" s="3">
        <v>41835</v>
      </c>
      <c r="C1470" s="3">
        <v>41835</v>
      </c>
      <c r="D1470" t="s">
        <v>12</v>
      </c>
      <c r="E1470" s="1">
        <v>18.588100000000001</v>
      </c>
      <c r="F1470" s="1">
        <v>29911.746999999999</v>
      </c>
      <c r="G1470" s="1">
        <v>3579.7710000000002</v>
      </c>
      <c r="H1470" s="2">
        <v>554198.88</v>
      </c>
      <c r="I1470" s="2">
        <v>-66325.289999999994</v>
      </c>
      <c r="J1470" s="1">
        <v>8695594.9600000009</v>
      </c>
      <c r="K1470" s="1">
        <v>467805.4</v>
      </c>
    </row>
    <row r="1471" spans="1:11">
      <c r="A1471" t="s">
        <v>1</v>
      </c>
      <c r="B1471" s="3">
        <v>41835</v>
      </c>
      <c r="C1471" s="3">
        <v>41835</v>
      </c>
      <c r="D1471" t="s">
        <v>6</v>
      </c>
      <c r="E1471" s="1">
        <v>19.314599999999999</v>
      </c>
      <c r="F1471" s="1">
        <v>27279.827000000001</v>
      </c>
      <c r="G1471" s="1">
        <v>133.268</v>
      </c>
      <c r="H1471" s="2">
        <v>525191.21</v>
      </c>
      <c r="I1471" s="2">
        <v>-2565.66</v>
      </c>
      <c r="J1471" s="1">
        <v>36813127.899999999</v>
      </c>
      <c r="K1471" s="1">
        <v>1905969.5049999999</v>
      </c>
    </row>
    <row r="1472" spans="1:11">
      <c r="A1472" t="s">
        <v>1</v>
      </c>
      <c r="B1472" s="3">
        <v>41835</v>
      </c>
      <c r="C1472" s="3">
        <v>41835</v>
      </c>
      <c r="D1472" t="s">
        <v>4</v>
      </c>
      <c r="E1472" s="1">
        <v>11.4133</v>
      </c>
      <c r="F1472" s="1">
        <v>52.734999999999999</v>
      </c>
      <c r="G1472" s="1">
        <v>0</v>
      </c>
      <c r="H1472" s="2">
        <v>599.9</v>
      </c>
      <c r="I1472" s="2">
        <v>0</v>
      </c>
      <c r="J1472" s="1">
        <v>1785012.72</v>
      </c>
      <c r="K1472" s="1">
        <v>156398.25200000001</v>
      </c>
    </row>
    <row r="1473" spans="1:11">
      <c r="A1473" t="s">
        <v>1</v>
      </c>
      <c r="B1473" s="3">
        <v>41835</v>
      </c>
      <c r="C1473" s="3">
        <v>41835</v>
      </c>
      <c r="D1473" t="s">
        <v>2</v>
      </c>
      <c r="E1473" s="1">
        <v>17.6691</v>
      </c>
      <c r="F1473" s="1">
        <v>23581.157999999999</v>
      </c>
      <c r="G1473" s="1">
        <v>740</v>
      </c>
      <c r="H1473" s="2">
        <v>415279.23</v>
      </c>
      <c r="I1473" s="2">
        <v>-13031.88</v>
      </c>
      <c r="J1473" s="1">
        <v>66367502.5</v>
      </c>
      <c r="K1473" s="1">
        <v>3756135.0789999999</v>
      </c>
    </row>
    <row r="1474" spans="1:11">
      <c r="A1474" t="s">
        <v>1</v>
      </c>
      <c r="B1474" s="3">
        <v>41835</v>
      </c>
      <c r="C1474" s="3">
        <v>41835</v>
      </c>
      <c r="D1474" t="s">
        <v>9</v>
      </c>
      <c r="E1474" s="1">
        <v>19.035399999999999</v>
      </c>
      <c r="F1474" s="1">
        <v>0</v>
      </c>
      <c r="G1474" s="1">
        <v>4.07</v>
      </c>
      <c r="H1474" s="2">
        <v>0</v>
      </c>
      <c r="I1474" s="2">
        <v>-77.22</v>
      </c>
      <c r="J1474" s="1">
        <v>1124375.51</v>
      </c>
      <c r="K1474" s="1">
        <v>59067.603000000003</v>
      </c>
    </row>
    <row r="1475" spans="1:11">
      <c r="A1475" t="s">
        <v>1</v>
      </c>
      <c r="B1475" s="3">
        <v>41835</v>
      </c>
      <c r="C1475" s="3">
        <v>41835</v>
      </c>
      <c r="D1475" t="s">
        <v>0</v>
      </c>
      <c r="E1475" s="1">
        <v>17.612300000000001</v>
      </c>
      <c r="F1475" s="1">
        <v>1742.645</v>
      </c>
      <c r="G1475" s="1">
        <v>65.62</v>
      </c>
      <c r="H1475" s="2">
        <v>30590.400000000001</v>
      </c>
      <c r="I1475" s="2">
        <v>-1151.8800000000001</v>
      </c>
      <c r="J1475" s="1">
        <v>3666161.28</v>
      </c>
      <c r="K1475" s="1">
        <v>208159.731</v>
      </c>
    </row>
    <row r="1476" spans="1:11">
      <c r="A1476" t="s">
        <v>1</v>
      </c>
      <c r="B1476" s="3">
        <v>41836</v>
      </c>
      <c r="C1476" s="3">
        <v>41836</v>
      </c>
      <c r="D1476" t="s">
        <v>7</v>
      </c>
      <c r="E1476" s="1">
        <v>23.441800000000001</v>
      </c>
      <c r="F1476" s="1">
        <v>38070.385999999999</v>
      </c>
      <c r="G1476" s="1">
        <v>1024.931</v>
      </c>
      <c r="H1476" s="2">
        <v>891463.74</v>
      </c>
      <c r="I1476" s="2">
        <v>-24000</v>
      </c>
      <c r="J1476" s="1">
        <v>273732956.75</v>
      </c>
      <c r="K1476" s="1">
        <v>11677121.761</v>
      </c>
    </row>
    <row r="1477" spans="1:11">
      <c r="A1477" t="s">
        <v>1</v>
      </c>
      <c r="B1477" s="3">
        <v>41836</v>
      </c>
      <c r="C1477" s="3">
        <v>41836</v>
      </c>
      <c r="D1477" t="s">
        <v>12</v>
      </c>
      <c r="E1477" s="1">
        <v>18.607700000000001</v>
      </c>
      <c r="F1477" s="1">
        <v>1433.383</v>
      </c>
      <c r="G1477" s="1">
        <v>894.65200000000004</v>
      </c>
      <c r="H1477" s="2">
        <v>26643.86</v>
      </c>
      <c r="I1477" s="2">
        <v>-16629.88</v>
      </c>
      <c r="J1477" s="1">
        <v>8714784.0199999996</v>
      </c>
      <c r="K1477" s="1">
        <v>468344.13099999999</v>
      </c>
    </row>
    <row r="1478" spans="1:11">
      <c r="A1478" t="s">
        <v>1</v>
      </c>
      <c r="B1478" s="3">
        <v>41836</v>
      </c>
      <c r="C1478" s="3">
        <v>41836</v>
      </c>
      <c r="D1478" t="s">
        <v>6</v>
      </c>
      <c r="E1478" s="1">
        <v>19.335000000000001</v>
      </c>
      <c r="F1478" s="1">
        <v>5201.1090000000004</v>
      </c>
      <c r="G1478" s="1">
        <v>207.637</v>
      </c>
      <c r="H1478" s="2">
        <v>100457.34</v>
      </c>
      <c r="I1478" s="2">
        <v>-4010.42</v>
      </c>
      <c r="J1478" s="1">
        <v>36948474.880000003</v>
      </c>
      <c r="K1478" s="1">
        <v>1910962.977</v>
      </c>
    </row>
    <row r="1479" spans="1:11">
      <c r="A1479" t="s">
        <v>1</v>
      </c>
      <c r="B1479" s="3">
        <v>41836</v>
      </c>
      <c r="C1479" s="3">
        <v>41836</v>
      </c>
      <c r="D1479" t="s">
        <v>10</v>
      </c>
      <c r="E1479" s="1">
        <v>18.858699999999999</v>
      </c>
      <c r="F1479" s="1">
        <v>0</v>
      </c>
      <c r="G1479" s="1">
        <v>12115.611999999999</v>
      </c>
      <c r="H1479" s="2">
        <v>0</v>
      </c>
      <c r="I1479" s="2">
        <v>-229477.45</v>
      </c>
      <c r="J1479" s="1">
        <v>7880742.2999999998</v>
      </c>
      <c r="K1479" s="1">
        <v>417884.33600000001</v>
      </c>
    </row>
    <row r="1480" spans="1:11">
      <c r="A1480" t="s">
        <v>1</v>
      </c>
      <c r="B1480" s="3">
        <v>41836</v>
      </c>
      <c r="C1480" s="3">
        <v>41836</v>
      </c>
      <c r="D1480" t="s">
        <v>5</v>
      </c>
      <c r="E1480" s="1">
        <v>18.086600000000001</v>
      </c>
      <c r="F1480" s="1">
        <v>0</v>
      </c>
      <c r="G1480" s="1">
        <v>136715</v>
      </c>
      <c r="H1480" s="2">
        <v>0</v>
      </c>
      <c r="I1480" s="2">
        <v>-2469947.88</v>
      </c>
      <c r="J1480" s="1">
        <v>25098900.300000001</v>
      </c>
      <c r="K1480" s="1">
        <v>1387708.6839999999</v>
      </c>
    </row>
    <row r="1481" spans="1:11">
      <c r="A1481" t="s">
        <v>1</v>
      </c>
      <c r="B1481" s="3">
        <v>41836</v>
      </c>
      <c r="C1481" s="3">
        <v>41836</v>
      </c>
      <c r="D1481" t="s">
        <v>3</v>
      </c>
      <c r="E1481" s="1">
        <v>11.115</v>
      </c>
      <c r="F1481" s="1">
        <v>0</v>
      </c>
      <c r="G1481" s="1">
        <v>3107.319</v>
      </c>
      <c r="H1481" s="2">
        <v>0</v>
      </c>
      <c r="I1481" s="2">
        <v>-34501.5</v>
      </c>
      <c r="J1481" s="1">
        <v>1855257.42</v>
      </c>
      <c r="K1481" s="1">
        <v>166914.53200000001</v>
      </c>
    </row>
    <row r="1482" spans="1:11">
      <c r="A1482" t="s">
        <v>1</v>
      </c>
      <c r="B1482" s="3">
        <v>41836</v>
      </c>
      <c r="C1482" s="3">
        <v>41836</v>
      </c>
      <c r="D1482" t="s">
        <v>2</v>
      </c>
      <c r="E1482" s="1">
        <v>17.688800000000001</v>
      </c>
      <c r="F1482" s="1">
        <v>16944.352999999999</v>
      </c>
      <c r="G1482" s="1">
        <v>148.07400000000001</v>
      </c>
      <c r="H1482" s="2">
        <v>299392.02</v>
      </c>
      <c r="I1482" s="2">
        <v>-2616.34</v>
      </c>
      <c r="J1482" s="1">
        <v>66738647.039999999</v>
      </c>
      <c r="K1482" s="1">
        <v>3772931.358</v>
      </c>
    </row>
    <row r="1483" spans="1:11">
      <c r="A1483" t="s">
        <v>1</v>
      </c>
      <c r="B1483" s="3">
        <v>41836</v>
      </c>
      <c r="C1483" s="3">
        <v>41836</v>
      </c>
      <c r="D1483" t="s">
        <v>0</v>
      </c>
      <c r="E1483" s="1">
        <v>17.632000000000001</v>
      </c>
      <c r="F1483" s="1">
        <v>2368.518</v>
      </c>
      <c r="G1483" s="1">
        <v>71.963999999999999</v>
      </c>
      <c r="H1483" s="2">
        <v>41715.19</v>
      </c>
      <c r="I1483" s="2">
        <v>-1267.45</v>
      </c>
      <c r="J1483" s="1">
        <v>3710759.23</v>
      </c>
      <c r="K1483" s="1">
        <v>210456.285</v>
      </c>
    </row>
    <row r="1484" spans="1:11">
      <c r="A1484" t="s">
        <v>1</v>
      </c>
      <c r="B1484" s="3">
        <v>41837</v>
      </c>
      <c r="C1484" s="3">
        <v>41837</v>
      </c>
      <c r="D1484" t="s">
        <v>8</v>
      </c>
      <c r="E1484" s="1">
        <v>18.989100000000001</v>
      </c>
      <c r="F1484" s="1">
        <v>0</v>
      </c>
      <c r="G1484" s="1">
        <v>713.81700000000001</v>
      </c>
      <c r="H1484" s="2">
        <v>0</v>
      </c>
      <c r="I1484" s="2">
        <v>-13532.5</v>
      </c>
      <c r="J1484" s="1">
        <v>6174490.1100000003</v>
      </c>
      <c r="K1484" s="1">
        <v>325160.23100000003</v>
      </c>
    </row>
    <row r="1485" spans="1:11">
      <c r="A1485" t="s">
        <v>1</v>
      </c>
      <c r="B1485" s="3">
        <v>41837</v>
      </c>
      <c r="C1485" s="3">
        <v>41837</v>
      </c>
      <c r="D1485" t="s">
        <v>7</v>
      </c>
      <c r="E1485" s="1">
        <v>23.4803</v>
      </c>
      <c r="F1485" s="1">
        <v>7243.25</v>
      </c>
      <c r="G1485" s="1">
        <v>9665.027</v>
      </c>
      <c r="H1485" s="2">
        <v>169794.79</v>
      </c>
      <c r="I1485" s="2">
        <v>-226565.62</v>
      </c>
      <c r="J1485" s="1">
        <v>274124945.73000002</v>
      </c>
      <c r="K1485" s="1">
        <v>11674699.983999999</v>
      </c>
    </row>
    <row r="1486" spans="1:11">
      <c r="A1486" t="s">
        <v>1</v>
      </c>
      <c r="B1486" s="3">
        <v>41837</v>
      </c>
      <c r="C1486" s="3">
        <v>41837</v>
      </c>
      <c r="D1486" t="s">
        <v>12</v>
      </c>
      <c r="E1486" s="1">
        <v>18.6374</v>
      </c>
      <c r="F1486" s="1">
        <v>9146.4750000000004</v>
      </c>
      <c r="G1486" s="1">
        <v>0</v>
      </c>
      <c r="H1486" s="2">
        <v>170194.88</v>
      </c>
      <c r="I1486" s="2">
        <v>0</v>
      </c>
      <c r="J1486" s="1">
        <v>8899182.8800000008</v>
      </c>
      <c r="K1486" s="1">
        <v>477490.60600000003</v>
      </c>
    </row>
    <row r="1487" spans="1:11">
      <c r="A1487" t="s">
        <v>1</v>
      </c>
      <c r="B1487" s="3">
        <v>41837</v>
      </c>
      <c r="C1487" s="3">
        <v>41837</v>
      </c>
      <c r="D1487" t="s">
        <v>6</v>
      </c>
      <c r="E1487" s="1">
        <v>19.3659</v>
      </c>
      <c r="F1487" s="1">
        <v>30686.696</v>
      </c>
      <c r="G1487" s="1">
        <v>0</v>
      </c>
      <c r="H1487" s="2">
        <v>593327.21</v>
      </c>
      <c r="I1487" s="2">
        <v>0</v>
      </c>
      <c r="J1487" s="1">
        <v>37601818.340000004</v>
      </c>
      <c r="K1487" s="1">
        <v>1941649.673</v>
      </c>
    </row>
    <row r="1488" spans="1:11">
      <c r="A1488" t="s">
        <v>1</v>
      </c>
      <c r="B1488" s="3">
        <v>41837</v>
      </c>
      <c r="C1488" s="3">
        <v>41837</v>
      </c>
      <c r="D1488" t="s">
        <v>10</v>
      </c>
      <c r="E1488" s="1">
        <v>18.884</v>
      </c>
      <c r="F1488" s="1">
        <v>0</v>
      </c>
      <c r="G1488" s="1">
        <v>2140</v>
      </c>
      <c r="H1488" s="2">
        <v>0</v>
      </c>
      <c r="I1488" s="2">
        <v>-40357.74</v>
      </c>
      <c r="J1488" s="1">
        <v>7850903.0999999996</v>
      </c>
      <c r="K1488" s="1">
        <v>415744.33600000001</v>
      </c>
    </row>
    <row r="1489" spans="1:11">
      <c r="A1489" t="s">
        <v>1</v>
      </c>
      <c r="B1489" s="3">
        <v>41837</v>
      </c>
      <c r="C1489" s="3">
        <v>41837</v>
      </c>
      <c r="D1489" t="s">
        <v>5</v>
      </c>
      <c r="E1489" s="1">
        <v>18.116599999999998</v>
      </c>
      <c r="F1489" s="1">
        <v>37660</v>
      </c>
      <c r="G1489" s="1">
        <v>0</v>
      </c>
      <c r="H1489" s="2">
        <v>681141.36</v>
      </c>
      <c r="I1489" s="2">
        <v>0</v>
      </c>
      <c r="J1489" s="1">
        <v>25822844.149999999</v>
      </c>
      <c r="K1489" s="1">
        <v>1425368.6839999999</v>
      </c>
    </row>
    <row r="1490" spans="1:11">
      <c r="A1490" t="s">
        <v>1</v>
      </c>
      <c r="B1490" s="3">
        <v>41837</v>
      </c>
      <c r="C1490" s="3">
        <v>41837</v>
      </c>
      <c r="D1490" t="s">
        <v>4</v>
      </c>
      <c r="E1490" s="1">
        <v>11.4445</v>
      </c>
      <c r="F1490" s="1">
        <v>55.369</v>
      </c>
      <c r="G1490" s="1">
        <v>0</v>
      </c>
      <c r="H1490" s="2">
        <v>632.64</v>
      </c>
      <c r="I1490" s="2">
        <v>0</v>
      </c>
      <c r="J1490" s="1">
        <v>1790531.18</v>
      </c>
      <c r="K1490" s="1">
        <v>156453.62100000001</v>
      </c>
    </row>
    <row r="1491" spans="1:11">
      <c r="A1491" t="s">
        <v>1</v>
      </c>
      <c r="B1491" s="3">
        <v>41837</v>
      </c>
      <c r="C1491" s="3">
        <v>41837</v>
      </c>
      <c r="D1491" t="s">
        <v>3</v>
      </c>
      <c r="E1491" s="1">
        <v>11.1328</v>
      </c>
      <c r="F1491" s="1">
        <v>0</v>
      </c>
      <c r="G1491" s="1">
        <v>1300.22</v>
      </c>
      <c r="H1491" s="2">
        <v>0</v>
      </c>
      <c r="I1491" s="2">
        <v>-14451.95</v>
      </c>
      <c r="J1491" s="1">
        <v>1843748.26</v>
      </c>
      <c r="K1491" s="1">
        <v>165614.31200000001</v>
      </c>
    </row>
    <row r="1492" spans="1:11">
      <c r="A1492" t="s">
        <v>1</v>
      </c>
      <c r="B1492" s="3">
        <v>41837</v>
      </c>
      <c r="C1492" s="3">
        <v>41837</v>
      </c>
      <c r="D1492" t="s">
        <v>2</v>
      </c>
      <c r="E1492" s="1">
        <v>17.7182</v>
      </c>
      <c r="F1492" s="1">
        <v>8550.0040000000008</v>
      </c>
      <c r="G1492" s="1">
        <v>0</v>
      </c>
      <c r="H1492" s="2">
        <v>151239.15</v>
      </c>
      <c r="I1492" s="2">
        <v>0</v>
      </c>
      <c r="J1492" s="1">
        <v>67000943.159999996</v>
      </c>
      <c r="K1492" s="1">
        <v>3781481.3620000002</v>
      </c>
    </row>
    <row r="1493" spans="1:11">
      <c r="A1493" t="s">
        <v>1</v>
      </c>
      <c r="B1493" s="3">
        <v>41837</v>
      </c>
      <c r="C1493" s="3">
        <v>41837</v>
      </c>
      <c r="D1493" t="s">
        <v>0</v>
      </c>
      <c r="E1493" s="1">
        <v>17.661300000000001</v>
      </c>
      <c r="F1493" s="1">
        <v>3080.0329999999999</v>
      </c>
      <c r="G1493" s="1">
        <v>238.685</v>
      </c>
      <c r="H1493" s="2">
        <v>54307.39</v>
      </c>
      <c r="I1493" s="2">
        <v>-4208.5</v>
      </c>
      <c r="J1493" s="1">
        <v>3767117.69</v>
      </c>
      <c r="K1493" s="1">
        <v>213297.633</v>
      </c>
    </row>
    <row r="1494" spans="1:11">
      <c r="A1494" t="s">
        <v>1</v>
      </c>
      <c r="B1494" s="3">
        <v>41838</v>
      </c>
      <c r="C1494" s="3">
        <v>41838</v>
      </c>
      <c r="D1494" t="s">
        <v>7</v>
      </c>
      <c r="E1494" s="1">
        <v>23.154299999999999</v>
      </c>
      <c r="F1494" s="1">
        <v>22239.47</v>
      </c>
      <c r="G1494" s="1">
        <v>37287.027000000002</v>
      </c>
      <c r="H1494" s="2">
        <v>522189.44</v>
      </c>
      <c r="I1494" s="2">
        <v>-875510.58</v>
      </c>
      <c r="J1494" s="1">
        <v>269970578.70999998</v>
      </c>
      <c r="K1494" s="1">
        <v>11659652.426999999</v>
      </c>
    </row>
    <row r="1495" spans="1:11">
      <c r="A1495" t="s">
        <v>1</v>
      </c>
      <c r="B1495" s="3">
        <v>41838</v>
      </c>
      <c r="C1495" s="3">
        <v>41838</v>
      </c>
      <c r="D1495" t="s">
        <v>12</v>
      </c>
      <c r="E1495" s="1">
        <v>18.3779</v>
      </c>
      <c r="F1495" s="1">
        <v>0</v>
      </c>
      <c r="G1495" s="1">
        <v>2036.2570000000001</v>
      </c>
      <c r="H1495" s="2">
        <v>0</v>
      </c>
      <c r="I1495" s="2">
        <v>-37950.54</v>
      </c>
      <c r="J1495" s="1">
        <v>8737838.8000000007</v>
      </c>
      <c r="K1495" s="1">
        <v>475454.34899999999</v>
      </c>
    </row>
    <row r="1496" spans="1:11">
      <c r="A1496" t="s">
        <v>1</v>
      </c>
      <c r="B1496" s="3">
        <v>41838</v>
      </c>
      <c r="C1496" s="3">
        <v>41838</v>
      </c>
      <c r="D1496" t="s">
        <v>6</v>
      </c>
      <c r="E1496" s="1">
        <v>19.0962</v>
      </c>
      <c r="F1496" s="1">
        <v>84.325000000000003</v>
      </c>
      <c r="G1496" s="1">
        <v>58611.881999999998</v>
      </c>
      <c r="H1496" s="2">
        <v>1633.02</v>
      </c>
      <c r="I1496" s="2">
        <v>-1135071.83</v>
      </c>
      <c r="J1496" s="1">
        <v>35960553.780000001</v>
      </c>
      <c r="K1496" s="1">
        <v>1883122.1159999999</v>
      </c>
    </row>
    <row r="1497" spans="1:11">
      <c r="A1497" t="s">
        <v>1</v>
      </c>
      <c r="B1497" s="3">
        <v>41838</v>
      </c>
      <c r="C1497" s="3">
        <v>41838</v>
      </c>
      <c r="D1497" t="s">
        <v>10</v>
      </c>
      <c r="E1497" s="1">
        <v>18.613299999999999</v>
      </c>
      <c r="F1497" s="1">
        <v>0</v>
      </c>
      <c r="G1497" s="1">
        <v>3780</v>
      </c>
      <c r="H1497" s="2">
        <v>0</v>
      </c>
      <c r="I1497" s="2">
        <v>-71381.63</v>
      </c>
      <c r="J1497" s="1">
        <v>7668017.8899999997</v>
      </c>
      <c r="K1497" s="1">
        <v>411964.33600000001</v>
      </c>
    </row>
    <row r="1498" spans="1:11">
      <c r="A1498" t="s">
        <v>1</v>
      </c>
      <c r="B1498" s="3">
        <v>41838</v>
      </c>
      <c r="C1498" s="3">
        <v>41838</v>
      </c>
      <c r="D1498" t="s">
        <v>5</v>
      </c>
      <c r="E1498" s="1">
        <v>17.865400000000001</v>
      </c>
      <c r="F1498" s="1">
        <v>61325</v>
      </c>
      <c r="G1498" s="1">
        <v>0</v>
      </c>
      <c r="H1498" s="2">
        <v>1111000.5</v>
      </c>
      <c r="I1498" s="2">
        <v>0</v>
      </c>
      <c r="J1498" s="1">
        <v>26560448.539999999</v>
      </c>
      <c r="K1498" s="1">
        <v>1486693.6839999999</v>
      </c>
    </row>
    <row r="1499" spans="1:11">
      <c r="A1499" t="s">
        <v>1</v>
      </c>
      <c r="B1499" s="3">
        <v>41838</v>
      </c>
      <c r="C1499" s="3">
        <v>41838</v>
      </c>
      <c r="D1499" t="s">
        <v>3</v>
      </c>
      <c r="E1499" s="1">
        <v>10.9778</v>
      </c>
      <c r="F1499" s="1">
        <v>0</v>
      </c>
      <c r="G1499" s="1">
        <v>1226.643</v>
      </c>
      <c r="H1499" s="2">
        <v>0</v>
      </c>
      <c r="I1499" s="2">
        <v>-13655.97</v>
      </c>
      <c r="J1499" s="1">
        <v>1804608.05</v>
      </c>
      <c r="K1499" s="1">
        <v>164387.66899999999</v>
      </c>
    </row>
    <row r="1500" spans="1:11">
      <c r="A1500" t="s">
        <v>1</v>
      </c>
      <c r="B1500" s="3">
        <v>41838</v>
      </c>
      <c r="C1500" s="3">
        <v>41838</v>
      </c>
      <c r="D1500" t="s">
        <v>2</v>
      </c>
      <c r="E1500" s="1">
        <v>17.4725</v>
      </c>
      <c r="F1500" s="1">
        <v>8148.4629999999997</v>
      </c>
      <c r="G1500" s="1">
        <v>0</v>
      </c>
      <c r="H1500" s="2">
        <v>144376.54999999999</v>
      </c>
      <c r="I1500" s="2">
        <v>0</v>
      </c>
      <c r="J1500" s="1">
        <v>66214453.640000001</v>
      </c>
      <c r="K1500" s="1">
        <v>3789629.8250000002</v>
      </c>
    </row>
    <row r="1501" spans="1:11">
      <c r="A1501" t="s">
        <v>1</v>
      </c>
      <c r="B1501" s="3">
        <v>41838</v>
      </c>
      <c r="C1501" s="3">
        <v>41838</v>
      </c>
      <c r="D1501" t="s">
        <v>9</v>
      </c>
      <c r="E1501" s="1">
        <v>18.824200000000001</v>
      </c>
      <c r="F1501" s="1">
        <v>173.71299999999999</v>
      </c>
      <c r="G1501" s="1">
        <v>0</v>
      </c>
      <c r="H1501" s="2">
        <v>3315.92</v>
      </c>
      <c r="I1501" s="2">
        <v>0</v>
      </c>
      <c r="J1501" s="1">
        <v>1115169.79</v>
      </c>
      <c r="K1501" s="1">
        <v>59241.315999999999</v>
      </c>
    </row>
    <row r="1502" spans="1:11">
      <c r="A1502" t="s">
        <v>1</v>
      </c>
      <c r="B1502" s="3">
        <v>41838</v>
      </c>
      <c r="C1502" s="3">
        <v>41838</v>
      </c>
      <c r="D1502" t="s">
        <v>0</v>
      </c>
      <c r="E1502" s="1">
        <v>17.416499999999999</v>
      </c>
      <c r="F1502" s="1">
        <v>3014.7489999999998</v>
      </c>
      <c r="G1502" s="1">
        <v>56.738</v>
      </c>
      <c r="H1502" s="2">
        <v>53244.34</v>
      </c>
      <c r="I1502" s="2">
        <v>-1002.05</v>
      </c>
      <c r="J1502" s="1">
        <v>3766426.15</v>
      </c>
      <c r="K1502" s="1">
        <v>216255.644</v>
      </c>
    </row>
    <row r="1503" spans="1:11">
      <c r="A1503" t="s">
        <v>1</v>
      </c>
      <c r="B1503" s="3">
        <v>41841</v>
      </c>
      <c r="C1503" s="3">
        <v>41841</v>
      </c>
      <c r="D1503" t="s">
        <v>8</v>
      </c>
      <c r="E1503" s="1">
        <v>18.901700000000002</v>
      </c>
      <c r="F1503" s="1">
        <v>0</v>
      </c>
      <c r="G1503" s="1">
        <v>53.222000000000001</v>
      </c>
      <c r="H1503" s="2">
        <v>0</v>
      </c>
      <c r="I1503" s="2">
        <v>-996.61</v>
      </c>
      <c r="J1503" s="1">
        <v>6145074.1200000001</v>
      </c>
      <c r="K1503" s="1">
        <v>325107.00900000002</v>
      </c>
    </row>
    <row r="1504" spans="1:11">
      <c r="A1504" t="s">
        <v>1</v>
      </c>
      <c r="B1504" s="3">
        <v>41841</v>
      </c>
      <c r="C1504" s="3">
        <v>41841</v>
      </c>
      <c r="D1504" t="s">
        <v>7</v>
      </c>
      <c r="E1504" s="1">
        <v>23.372199999999999</v>
      </c>
      <c r="F1504" s="1">
        <v>16731.477999999999</v>
      </c>
      <c r="G1504" s="1">
        <v>2791.5990000000002</v>
      </c>
      <c r="H1504" s="2">
        <v>387405.66</v>
      </c>
      <c r="I1504" s="2">
        <v>-64637.52</v>
      </c>
      <c r="J1504" s="1">
        <v>272837755.47000003</v>
      </c>
      <c r="K1504" s="1">
        <v>11673592.306</v>
      </c>
    </row>
    <row r="1505" spans="1:11">
      <c r="A1505" t="s">
        <v>1</v>
      </c>
      <c r="B1505" s="3">
        <v>41841</v>
      </c>
      <c r="C1505" s="3">
        <v>41841</v>
      </c>
      <c r="D1505" t="s">
        <v>12</v>
      </c>
      <c r="E1505" s="1">
        <v>18.5486</v>
      </c>
      <c r="F1505" s="1">
        <v>1021.073</v>
      </c>
      <c r="G1505" s="1">
        <v>4986.2169999999996</v>
      </c>
      <c r="H1505" s="2">
        <v>18765.18</v>
      </c>
      <c r="I1505" s="2">
        <v>-91636.19</v>
      </c>
      <c r="J1505" s="1">
        <v>8745467.25</v>
      </c>
      <c r="K1505" s="1">
        <v>471489.20500000002</v>
      </c>
    </row>
    <row r="1506" spans="1:11">
      <c r="A1506" t="s">
        <v>1</v>
      </c>
      <c r="B1506" s="3">
        <v>41841</v>
      </c>
      <c r="C1506" s="3">
        <v>41841</v>
      </c>
      <c r="D1506" t="s">
        <v>6</v>
      </c>
      <c r="E1506" s="1">
        <v>19.273599999999998</v>
      </c>
      <c r="F1506" s="1">
        <v>3600.1680000000001</v>
      </c>
      <c r="G1506" s="1">
        <v>51431.851999999999</v>
      </c>
      <c r="H1506" s="2">
        <v>68749.53</v>
      </c>
      <c r="I1506" s="2">
        <v>-982152.95</v>
      </c>
      <c r="J1506" s="1">
        <v>35372577.829999998</v>
      </c>
      <c r="K1506" s="1">
        <v>1835290.432</v>
      </c>
    </row>
    <row r="1507" spans="1:11">
      <c r="A1507" t="s">
        <v>1</v>
      </c>
      <c r="B1507" s="3">
        <v>41841</v>
      </c>
      <c r="C1507" s="3">
        <v>41841</v>
      </c>
      <c r="D1507" t="s">
        <v>10</v>
      </c>
      <c r="E1507" s="1">
        <v>18.788900000000002</v>
      </c>
      <c r="F1507" s="1">
        <v>0</v>
      </c>
      <c r="G1507" s="1">
        <v>2010</v>
      </c>
      <c r="H1507" s="2">
        <v>0</v>
      </c>
      <c r="I1507" s="2">
        <v>-37412.769999999997</v>
      </c>
      <c r="J1507" s="1">
        <v>7702603.4199999999</v>
      </c>
      <c r="K1507" s="1">
        <v>409954.33600000001</v>
      </c>
    </row>
    <row r="1508" spans="1:11">
      <c r="A1508" t="s">
        <v>1</v>
      </c>
      <c r="B1508" s="3">
        <v>41841</v>
      </c>
      <c r="C1508" s="3">
        <v>41841</v>
      </c>
      <c r="D1508" t="s">
        <v>4</v>
      </c>
      <c r="E1508" s="1">
        <v>11.3779</v>
      </c>
      <c r="F1508" s="1">
        <v>38.386000000000003</v>
      </c>
      <c r="G1508" s="1">
        <v>8799.6710000000003</v>
      </c>
      <c r="H1508" s="2">
        <v>433.21</v>
      </c>
      <c r="I1508" s="2">
        <v>-99309.57</v>
      </c>
      <c r="J1508" s="1">
        <v>1680423.09</v>
      </c>
      <c r="K1508" s="1">
        <v>147692.33600000001</v>
      </c>
    </row>
    <row r="1509" spans="1:11">
      <c r="A1509" t="s">
        <v>1</v>
      </c>
      <c r="B1509" s="3">
        <v>41841</v>
      </c>
      <c r="C1509" s="3">
        <v>41841</v>
      </c>
      <c r="D1509" t="s">
        <v>3</v>
      </c>
      <c r="E1509" s="1">
        <v>11.079700000000001</v>
      </c>
      <c r="F1509" s="1">
        <v>268.92200000000003</v>
      </c>
      <c r="G1509" s="1">
        <v>0</v>
      </c>
      <c r="H1509" s="2">
        <v>2952.17</v>
      </c>
      <c r="I1509" s="2">
        <v>0</v>
      </c>
      <c r="J1509" s="1">
        <v>1824344.17</v>
      </c>
      <c r="K1509" s="1">
        <v>164656.59099999999</v>
      </c>
    </row>
    <row r="1510" spans="1:11">
      <c r="A1510" t="s">
        <v>1</v>
      </c>
      <c r="B1510" s="3">
        <v>41841</v>
      </c>
      <c r="C1510" s="3">
        <v>41841</v>
      </c>
      <c r="D1510" t="s">
        <v>2</v>
      </c>
      <c r="E1510" s="1">
        <v>17.638000000000002</v>
      </c>
      <c r="F1510" s="1">
        <v>9366.5529999999999</v>
      </c>
      <c r="G1510" s="1">
        <v>0</v>
      </c>
      <c r="H1510" s="2">
        <v>163656.62</v>
      </c>
      <c r="I1510" s="2">
        <v>0</v>
      </c>
      <c r="J1510" s="1">
        <v>67006734.25</v>
      </c>
      <c r="K1510" s="1">
        <v>3798996.378</v>
      </c>
    </row>
    <row r="1511" spans="1:11">
      <c r="A1511" t="s">
        <v>1</v>
      </c>
      <c r="B1511" s="3">
        <v>41841</v>
      </c>
      <c r="C1511" s="3">
        <v>41841</v>
      </c>
      <c r="D1511" t="s">
        <v>9</v>
      </c>
      <c r="E1511" s="1">
        <v>19.003</v>
      </c>
      <c r="F1511" s="1">
        <v>0</v>
      </c>
      <c r="G1511" s="1">
        <v>17.347999999999999</v>
      </c>
      <c r="H1511" s="2">
        <v>0</v>
      </c>
      <c r="I1511" s="2">
        <v>-326.55</v>
      </c>
      <c r="J1511" s="1">
        <v>1125433.8600000001</v>
      </c>
      <c r="K1511" s="1">
        <v>59223.968000000001</v>
      </c>
    </row>
    <row r="1512" spans="1:11">
      <c r="A1512" t="s">
        <v>1</v>
      </c>
      <c r="B1512" s="3">
        <v>41841</v>
      </c>
      <c r="C1512" s="3">
        <v>41841</v>
      </c>
      <c r="D1512" t="s">
        <v>0</v>
      </c>
      <c r="E1512" s="1">
        <v>17.581700000000001</v>
      </c>
      <c r="F1512" s="1">
        <v>2360.5360000000001</v>
      </c>
      <c r="G1512" s="1">
        <v>58.987000000000002</v>
      </c>
      <c r="H1512" s="2">
        <v>41112.39</v>
      </c>
      <c r="I1512" s="2">
        <v>-1027.3399999999999</v>
      </c>
      <c r="J1512" s="1">
        <v>3842607.15</v>
      </c>
      <c r="K1512" s="1">
        <v>218557.193</v>
      </c>
    </row>
    <row r="1513" spans="1:11">
      <c r="A1513" t="s">
        <v>1</v>
      </c>
      <c r="B1513" s="3">
        <v>41842</v>
      </c>
      <c r="C1513" s="3">
        <v>41842</v>
      </c>
      <c r="D1513" t="s">
        <v>7</v>
      </c>
      <c r="E1513" s="1">
        <v>23.301300000000001</v>
      </c>
      <c r="F1513" s="1">
        <v>55972.658000000003</v>
      </c>
      <c r="G1513" s="1">
        <v>5286.44</v>
      </c>
      <c r="H1513" s="2">
        <v>1308198.55</v>
      </c>
      <c r="I1513" s="2">
        <v>-123555.19</v>
      </c>
      <c r="J1513" s="1">
        <v>273190649.89999998</v>
      </c>
      <c r="K1513" s="1">
        <v>11724278.524</v>
      </c>
    </row>
    <row r="1514" spans="1:11">
      <c r="A1514" t="s">
        <v>1</v>
      </c>
      <c r="B1514" s="3">
        <v>41842</v>
      </c>
      <c r="C1514" s="3">
        <v>41842</v>
      </c>
      <c r="D1514" t="s">
        <v>12</v>
      </c>
      <c r="E1514" s="1">
        <v>18.491499999999998</v>
      </c>
      <c r="F1514" s="1">
        <v>0</v>
      </c>
      <c r="G1514" s="1">
        <v>4901.72</v>
      </c>
      <c r="H1514" s="2">
        <v>0</v>
      </c>
      <c r="I1514" s="2">
        <v>-90919.55</v>
      </c>
      <c r="J1514" s="1">
        <v>8627922.0099999998</v>
      </c>
      <c r="K1514" s="1">
        <v>466587.48499999999</v>
      </c>
    </row>
    <row r="1515" spans="1:11">
      <c r="A1515" t="s">
        <v>1</v>
      </c>
      <c r="B1515" s="3">
        <v>41842</v>
      </c>
      <c r="C1515" s="3">
        <v>41842</v>
      </c>
      <c r="D1515" t="s">
        <v>6</v>
      </c>
      <c r="E1515" s="1">
        <v>19.214400000000001</v>
      </c>
      <c r="F1515" s="1">
        <v>1287.067</v>
      </c>
      <c r="G1515" s="1">
        <v>14267.511</v>
      </c>
      <c r="H1515" s="2">
        <v>24806.41</v>
      </c>
      <c r="I1515" s="2">
        <v>-274986.3</v>
      </c>
      <c r="J1515" s="1">
        <v>35014512.259999998</v>
      </c>
      <c r="K1515" s="1">
        <v>1822309.9879999999</v>
      </c>
    </row>
    <row r="1516" spans="1:11">
      <c r="A1516" t="s">
        <v>1</v>
      </c>
      <c r="B1516" s="3">
        <v>41842</v>
      </c>
      <c r="C1516" s="3">
        <v>41842</v>
      </c>
      <c r="D1516" t="s">
        <v>10</v>
      </c>
      <c r="E1516" s="1">
        <v>18.676500000000001</v>
      </c>
      <c r="F1516" s="1">
        <v>0</v>
      </c>
      <c r="G1516" s="1">
        <v>4350</v>
      </c>
      <c r="H1516" s="2">
        <v>0</v>
      </c>
      <c r="I1516" s="2">
        <v>-81731.520000000004</v>
      </c>
      <c r="J1516" s="1">
        <v>7575284.6900000004</v>
      </c>
      <c r="K1516" s="1">
        <v>405604.33600000001</v>
      </c>
    </row>
    <row r="1517" spans="1:11">
      <c r="A1517" t="s">
        <v>1</v>
      </c>
      <c r="B1517" s="3">
        <v>41842</v>
      </c>
      <c r="C1517" s="3">
        <v>41842</v>
      </c>
      <c r="D1517" t="s">
        <v>5</v>
      </c>
      <c r="E1517" s="1">
        <v>17.980399999999999</v>
      </c>
      <c r="F1517" s="1">
        <v>0</v>
      </c>
      <c r="G1517" s="1">
        <v>65523</v>
      </c>
      <c r="H1517" s="2">
        <v>0</v>
      </c>
      <c r="I1517" s="2">
        <v>-1181681.1000000001</v>
      </c>
      <c r="J1517" s="1">
        <v>25553155.379999999</v>
      </c>
      <c r="K1517" s="1">
        <v>1421170.6839999999</v>
      </c>
    </row>
    <row r="1518" spans="1:11">
      <c r="A1518" t="s">
        <v>1</v>
      </c>
      <c r="B1518" s="3">
        <v>41842</v>
      </c>
      <c r="C1518" s="3">
        <v>41842</v>
      </c>
      <c r="D1518" t="s">
        <v>2</v>
      </c>
      <c r="E1518" s="1">
        <v>17.584900000000001</v>
      </c>
      <c r="F1518" s="1">
        <v>43166.334000000003</v>
      </c>
      <c r="G1518" s="1">
        <v>0</v>
      </c>
      <c r="H1518" s="2">
        <v>761367.8</v>
      </c>
      <c r="I1518" s="2">
        <v>0</v>
      </c>
      <c r="J1518" s="1">
        <v>67564115.870000005</v>
      </c>
      <c r="K1518" s="1">
        <v>3842162.7119999998</v>
      </c>
    </row>
    <row r="1519" spans="1:11">
      <c r="A1519" t="s">
        <v>1</v>
      </c>
      <c r="B1519" s="3">
        <v>41842</v>
      </c>
      <c r="C1519" s="3">
        <v>41842</v>
      </c>
      <c r="D1519" t="s">
        <v>9</v>
      </c>
      <c r="E1519" s="1">
        <v>18.946000000000002</v>
      </c>
      <c r="F1519" s="1">
        <v>17.96</v>
      </c>
      <c r="G1519" s="1">
        <v>9.0239999999999991</v>
      </c>
      <c r="H1519" s="2">
        <v>341.3</v>
      </c>
      <c r="I1519" s="2">
        <v>-171.48</v>
      </c>
      <c r="J1519" s="1">
        <v>1122226.31</v>
      </c>
      <c r="K1519" s="1">
        <v>59232.904000000002</v>
      </c>
    </row>
    <row r="1520" spans="1:11">
      <c r="A1520" t="s">
        <v>1</v>
      </c>
      <c r="B1520" s="3">
        <v>41842</v>
      </c>
      <c r="C1520" s="3">
        <v>41842</v>
      </c>
      <c r="D1520" t="s">
        <v>0</v>
      </c>
      <c r="E1520" s="1">
        <v>17.5289</v>
      </c>
      <c r="F1520" s="1">
        <v>2650.2640000000001</v>
      </c>
      <c r="G1520" s="1">
        <v>99.442999999999998</v>
      </c>
      <c r="H1520" s="2">
        <v>46595.98</v>
      </c>
      <c r="I1520" s="2">
        <v>-1748.38</v>
      </c>
      <c r="J1520" s="1">
        <v>3875769.26</v>
      </c>
      <c r="K1520" s="1">
        <v>221108.014</v>
      </c>
    </row>
    <row r="1521" spans="1:11">
      <c r="A1521" t="s">
        <v>1</v>
      </c>
      <c r="B1521" s="3">
        <v>41843</v>
      </c>
      <c r="C1521" s="3">
        <v>41843</v>
      </c>
      <c r="D1521" t="s">
        <v>7</v>
      </c>
      <c r="E1521" s="1">
        <v>23.390899999999998</v>
      </c>
      <c r="F1521" s="1">
        <v>16588.098000000002</v>
      </c>
      <c r="G1521" s="1">
        <v>9809.2430000000004</v>
      </c>
      <c r="H1521" s="2">
        <v>386524.27</v>
      </c>
      <c r="I1521" s="2">
        <v>-228568.12</v>
      </c>
      <c r="J1521" s="1">
        <v>274399842.92000002</v>
      </c>
      <c r="K1521" s="1">
        <v>11731057.379000001</v>
      </c>
    </row>
    <row r="1522" spans="1:11">
      <c r="A1522" t="s">
        <v>1</v>
      </c>
      <c r="B1522" s="3">
        <v>41843</v>
      </c>
      <c r="C1522" s="3">
        <v>41843</v>
      </c>
      <c r="D1522" t="s">
        <v>12</v>
      </c>
      <c r="E1522" s="1">
        <v>18.561900000000001</v>
      </c>
      <c r="F1522" s="1">
        <v>7914.451</v>
      </c>
      <c r="G1522" s="1">
        <v>3301.2620000000002</v>
      </c>
      <c r="H1522" s="2">
        <v>146350.07999999999</v>
      </c>
      <c r="I1522" s="2">
        <v>-61045.279999999999</v>
      </c>
      <c r="J1522" s="1">
        <v>8746377.8100000005</v>
      </c>
      <c r="K1522" s="1">
        <v>471200.674</v>
      </c>
    </row>
    <row r="1523" spans="1:11">
      <c r="A1523" t="s">
        <v>1</v>
      </c>
      <c r="B1523" s="3">
        <v>41843</v>
      </c>
      <c r="C1523" s="3">
        <v>41843</v>
      </c>
      <c r="D1523" t="s">
        <v>6</v>
      </c>
      <c r="E1523" s="1">
        <v>19.287500000000001</v>
      </c>
      <c r="F1523" s="1">
        <v>13947.584999999999</v>
      </c>
      <c r="G1523" s="1">
        <v>7144.9489999999996</v>
      </c>
      <c r="H1523" s="2">
        <v>267994.49</v>
      </c>
      <c r="I1523" s="2">
        <v>-137285.9</v>
      </c>
      <c r="J1523" s="1">
        <v>35278937.100000001</v>
      </c>
      <c r="K1523" s="1">
        <v>1829112.6240000001</v>
      </c>
    </row>
    <row r="1524" spans="1:11">
      <c r="A1524" t="s">
        <v>1</v>
      </c>
      <c r="B1524" s="3">
        <v>41843</v>
      </c>
      <c r="C1524" s="3">
        <v>41843</v>
      </c>
      <c r="D1524" t="s">
        <v>5</v>
      </c>
      <c r="E1524" s="1">
        <v>18.049900000000001</v>
      </c>
      <c r="F1524" s="1">
        <v>2475</v>
      </c>
      <c r="G1524" s="1">
        <v>0</v>
      </c>
      <c r="H1524" s="2">
        <v>44501.49</v>
      </c>
      <c r="I1524" s="2">
        <v>0</v>
      </c>
      <c r="J1524" s="1">
        <v>25696625.649999999</v>
      </c>
      <c r="K1524" s="1">
        <v>1423645.6839999999</v>
      </c>
    </row>
    <row r="1525" spans="1:11">
      <c r="A1525" t="s">
        <v>1</v>
      </c>
      <c r="B1525" s="3">
        <v>41843</v>
      </c>
      <c r="C1525" s="3">
        <v>41843</v>
      </c>
      <c r="D1525" t="s">
        <v>4</v>
      </c>
      <c r="E1525" s="1">
        <v>11.4009</v>
      </c>
      <c r="F1525" s="1">
        <v>20759.224999999999</v>
      </c>
      <c r="G1525" s="1">
        <v>0</v>
      </c>
      <c r="H1525" s="2">
        <v>235766.67</v>
      </c>
      <c r="I1525" s="2">
        <v>0</v>
      </c>
      <c r="J1525" s="1">
        <v>1920502.77</v>
      </c>
      <c r="K1525" s="1">
        <v>168451.56099999999</v>
      </c>
    </row>
    <row r="1526" spans="1:11">
      <c r="A1526" t="s">
        <v>1</v>
      </c>
      <c r="B1526" s="3">
        <v>41843</v>
      </c>
      <c r="C1526" s="3">
        <v>41843</v>
      </c>
      <c r="D1526" t="s">
        <v>2</v>
      </c>
      <c r="E1526" s="1">
        <v>17.652899999999999</v>
      </c>
      <c r="F1526" s="1">
        <v>13274.678</v>
      </c>
      <c r="G1526" s="1">
        <v>0</v>
      </c>
      <c r="H1526" s="2">
        <v>233432.87</v>
      </c>
      <c r="I1526" s="2">
        <v>0</v>
      </c>
      <c r="J1526" s="1">
        <v>68059675.879999995</v>
      </c>
      <c r="K1526" s="1">
        <v>3855437.39</v>
      </c>
    </row>
    <row r="1527" spans="1:11">
      <c r="A1527" t="s">
        <v>1</v>
      </c>
      <c r="B1527" s="3">
        <v>41843</v>
      </c>
      <c r="C1527" s="3">
        <v>41843</v>
      </c>
      <c r="D1527" t="s">
        <v>0</v>
      </c>
      <c r="E1527" s="1">
        <v>17.596699999999998</v>
      </c>
      <c r="F1527" s="1">
        <v>2544.7289999999998</v>
      </c>
      <c r="G1527" s="1">
        <v>44.533999999999999</v>
      </c>
      <c r="H1527" s="2">
        <v>44606.14</v>
      </c>
      <c r="I1527" s="2">
        <v>-780.63</v>
      </c>
      <c r="J1527" s="1">
        <v>3934765.31</v>
      </c>
      <c r="K1527" s="1">
        <v>223608.209</v>
      </c>
    </row>
    <row r="1528" spans="1:11">
      <c r="A1528" t="s">
        <v>1</v>
      </c>
      <c r="B1528" s="3">
        <v>41844</v>
      </c>
      <c r="C1528" s="3">
        <v>41844</v>
      </c>
      <c r="D1528" t="s">
        <v>7</v>
      </c>
      <c r="E1528" s="1">
        <v>23.454999999999998</v>
      </c>
      <c r="F1528" s="1">
        <v>29744.510999999999</v>
      </c>
      <c r="G1528" s="1">
        <v>523.58000000000004</v>
      </c>
      <c r="H1528" s="2">
        <v>695750.88</v>
      </c>
      <c r="I1528" s="2">
        <v>-12247</v>
      </c>
      <c r="J1528" s="1">
        <v>275837789.26999998</v>
      </c>
      <c r="K1528" s="1">
        <v>11760278.310000001</v>
      </c>
    </row>
    <row r="1529" spans="1:11">
      <c r="A1529" t="s">
        <v>1</v>
      </c>
      <c r="B1529" s="3">
        <v>41844</v>
      </c>
      <c r="C1529" s="3">
        <v>41844</v>
      </c>
      <c r="D1529" t="s">
        <v>6</v>
      </c>
      <c r="E1529" s="1">
        <v>19.339600000000001</v>
      </c>
      <c r="F1529" s="1">
        <v>0</v>
      </c>
      <c r="G1529" s="1">
        <v>10857.183999999999</v>
      </c>
      <c r="H1529" s="2">
        <v>0</v>
      </c>
      <c r="I1529" s="2">
        <v>-209407.92</v>
      </c>
      <c r="J1529" s="1">
        <v>35164269.539999999</v>
      </c>
      <c r="K1529" s="1">
        <v>1818255.44</v>
      </c>
    </row>
    <row r="1530" spans="1:11">
      <c r="A1530" t="s">
        <v>1</v>
      </c>
      <c r="B1530" s="3">
        <v>41844</v>
      </c>
      <c r="C1530" s="3">
        <v>41844</v>
      </c>
      <c r="D1530" t="s">
        <v>5</v>
      </c>
      <c r="E1530" s="1">
        <v>18.099699999999999</v>
      </c>
      <c r="F1530" s="1">
        <v>40183</v>
      </c>
      <c r="G1530" s="1">
        <v>0</v>
      </c>
      <c r="H1530" s="2">
        <v>725299.13</v>
      </c>
      <c r="I1530" s="2">
        <v>0</v>
      </c>
      <c r="J1530" s="1">
        <v>26494932.379999999</v>
      </c>
      <c r="K1530" s="1">
        <v>1463828.6839999999</v>
      </c>
    </row>
    <row r="1531" spans="1:11">
      <c r="A1531" t="s">
        <v>1</v>
      </c>
      <c r="B1531" s="3">
        <v>41844</v>
      </c>
      <c r="C1531" s="3">
        <v>41844</v>
      </c>
      <c r="D1531" t="s">
        <v>2</v>
      </c>
      <c r="E1531" s="1">
        <v>17.701699999999999</v>
      </c>
      <c r="F1531" s="1">
        <v>10528.849</v>
      </c>
      <c r="G1531" s="1">
        <v>2473.5250000000001</v>
      </c>
      <c r="H1531" s="2">
        <v>185864.53</v>
      </c>
      <c r="I1531" s="2">
        <v>-43664.86</v>
      </c>
      <c r="J1531" s="1">
        <v>68390327.150000006</v>
      </c>
      <c r="K1531" s="1">
        <v>3863492.7140000002</v>
      </c>
    </row>
    <row r="1532" spans="1:11">
      <c r="A1532" t="s">
        <v>1</v>
      </c>
      <c r="B1532" s="3">
        <v>41844</v>
      </c>
      <c r="C1532" s="3">
        <v>41844</v>
      </c>
      <c r="D1532" t="s">
        <v>0</v>
      </c>
      <c r="E1532" s="1">
        <v>17.645399999999999</v>
      </c>
      <c r="F1532" s="1">
        <v>1814.5029999999999</v>
      </c>
      <c r="G1532" s="1">
        <v>187.70500000000001</v>
      </c>
      <c r="H1532" s="2">
        <v>31929.11</v>
      </c>
      <c r="I1532" s="2">
        <v>-3302.97</v>
      </c>
      <c r="J1532" s="1">
        <v>3974359.17</v>
      </c>
      <c r="K1532" s="1">
        <v>225235.00700000001</v>
      </c>
    </row>
    <row r="1533" spans="1:11">
      <c r="A1533" t="s">
        <v>1</v>
      </c>
      <c r="B1533" s="3">
        <v>41845</v>
      </c>
      <c r="C1533" s="3">
        <v>41845</v>
      </c>
      <c r="D1533" t="s">
        <v>7</v>
      </c>
      <c r="E1533" s="1">
        <v>23.464400000000001</v>
      </c>
      <c r="F1533" s="1">
        <v>20482.468000000001</v>
      </c>
      <c r="G1533" s="1">
        <v>5778.3490000000002</v>
      </c>
      <c r="H1533" s="2">
        <v>480416.28</v>
      </c>
      <c r="I1533" s="2">
        <v>-135531.16</v>
      </c>
      <c r="J1533" s="1">
        <v>276292778.80000001</v>
      </c>
      <c r="K1533" s="1">
        <v>11774982.429</v>
      </c>
    </row>
    <row r="1534" spans="1:11">
      <c r="A1534" t="s">
        <v>1</v>
      </c>
      <c r="B1534" s="3">
        <v>41845</v>
      </c>
      <c r="C1534" s="3">
        <v>41845</v>
      </c>
      <c r="D1534" t="s">
        <v>12</v>
      </c>
      <c r="E1534" s="1">
        <v>18.6187</v>
      </c>
      <c r="F1534" s="1">
        <v>890.33699999999999</v>
      </c>
      <c r="G1534" s="1">
        <v>482.67599999999999</v>
      </c>
      <c r="H1534" s="2">
        <v>16570.95</v>
      </c>
      <c r="I1534" s="2">
        <v>-8983.57</v>
      </c>
      <c r="J1534" s="1">
        <v>8780732.1300000008</v>
      </c>
      <c r="K1534" s="1">
        <v>471608.33500000002</v>
      </c>
    </row>
    <row r="1535" spans="1:11">
      <c r="A1535" t="s">
        <v>1</v>
      </c>
      <c r="B1535" s="3">
        <v>41845</v>
      </c>
      <c r="C1535" s="3">
        <v>41845</v>
      </c>
      <c r="D1535" t="s">
        <v>6</v>
      </c>
      <c r="E1535" s="1">
        <v>19.346499999999999</v>
      </c>
      <c r="F1535" s="1">
        <v>0</v>
      </c>
      <c r="G1535" s="1">
        <v>55125.5</v>
      </c>
      <c r="H1535" s="2">
        <v>0</v>
      </c>
      <c r="I1535" s="2">
        <v>-1066105.06</v>
      </c>
      <c r="J1535" s="1">
        <v>34110356.950000003</v>
      </c>
      <c r="K1535" s="1">
        <v>1763129.94</v>
      </c>
    </row>
    <row r="1536" spans="1:11">
      <c r="A1536" t="s">
        <v>1</v>
      </c>
      <c r="B1536" s="3">
        <v>41845</v>
      </c>
      <c r="C1536" s="3">
        <v>41845</v>
      </c>
      <c r="D1536" t="s">
        <v>5</v>
      </c>
      <c r="E1536" s="1">
        <v>18.107299999999999</v>
      </c>
      <c r="F1536" s="1">
        <v>113312</v>
      </c>
      <c r="G1536" s="1">
        <v>0</v>
      </c>
      <c r="H1536" s="2">
        <v>2050913.21</v>
      </c>
      <c r="I1536" s="2">
        <v>0</v>
      </c>
      <c r="J1536" s="1">
        <v>28557812.370000001</v>
      </c>
      <c r="K1536" s="1">
        <v>1577140.6839999999</v>
      </c>
    </row>
    <row r="1537" spans="1:11">
      <c r="A1537" t="s">
        <v>1</v>
      </c>
      <c r="B1537" s="3">
        <v>41845</v>
      </c>
      <c r="C1537" s="3">
        <v>41845</v>
      </c>
      <c r="D1537" t="s">
        <v>4</v>
      </c>
      <c r="E1537" s="1">
        <v>11.4367</v>
      </c>
      <c r="F1537" s="1">
        <v>8.74</v>
      </c>
      <c r="G1537" s="1">
        <v>0</v>
      </c>
      <c r="H1537" s="2">
        <v>99.92</v>
      </c>
      <c r="I1537" s="2">
        <v>0</v>
      </c>
      <c r="J1537" s="1">
        <v>1926637.62</v>
      </c>
      <c r="K1537" s="1">
        <v>168460.30100000001</v>
      </c>
    </row>
    <row r="1538" spans="1:11">
      <c r="A1538" t="s">
        <v>1</v>
      </c>
      <c r="B1538" s="3">
        <v>41845</v>
      </c>
      <c r="C1538" s="3">
        <v>41845</v>
      </c>
      <c r="D1538" t="s">
        <v>2</v>
      </c>
      <c r="E1538" s="1">
        <v>17.709099999999999</v>
      </c>
      <c r="F1538" s="1">
        <v>11953.395</v>
      </c>
      <c r="G1538" s="1">
        <v>365</v>
      </c>
      <c r="H1538" s="2">
        <v>211595.13</v>
      </c>
      <c r="I1538" s="2">
        <v>-6461.11</v>
      </c>
      <c r="J1538" s="1">
        <v>68624217.260000005</v>
      </c>
      <c r="K1538" s="1">
        <v>3875081.1090000002</v>
      </c>
    </row>
    <row r="1539" spans="1:11">
      <c r="A1539" t="s">
        <v>1</v>
      </c>
      <c r="B1539" s="3">
        <v>41845</v>
      </c>
      <c r="C1539" s="3">
        <v>41845</v>
      </c>
      <c r="D1539" t="s">
        <v>0</v>
      </c>
      <c r="E1539" s="1">
        <v>17.652899999999999</v>
      </c>
      <c r="F1539" s="1">
        <v>2010.213</v>
      </c>
      <c r="G1539" s="1">
        <v>112.922</v>
      </c>
      <c r="H1539" s="2">
        <v>35470.94</v>
      </c>
      <c r="I1539" s="2">
        <v>-1992.54</v>
      </c>
      <c r="J1539" s="1">
        <v>4009534.15</v>
      </c>
      <c r="K1539" s="1">
        <v>227132.29800000001</v>
      </c>
    </row>
    <row r="1540" spans="1:11">
      <c r="A1540" t="s">
        <v>1</v>
      </c>
      <c r="B1540" s="3">
        <v>41848</v>
      </c>
      <c r="C1540" s="3">
        <v>41848</v>
      </c>
      <c r="D1540" t="s">
        <v>7</v>
      </c>
      <c r="E1540" s="1">
        <v>23.417000000000002</v>
      </c>
      <c r="F1540" s="1">
        <v>15854.986000000001</v>
      </c>
      <c r="G1540" s="1">
        <v>8697.6939999999995</v>
      </c>
      <c r="H1540" s="2">
        <v>372027.65</v>
      </c>
      <c r="I1540" s="2">
        <v>-204086.18</v>
      </c>
      <c r="J1540" s="1">
        <v>275902344.19</v>
      </c>
      <c r="K1540" s="1">
        <v>11782139.721000001</v>
      </c>
    </row>
    <row r="1541" spans="1:11">
      <c r="A1541" t="s">
        <v>1</v>
      </c>
      <c r="B1541" s="3">
        <v>41848</v>
      </c>
      <c r="C1541" s="3">
        <v>41848</v>
      </c>
      <c r="D1541" t="s">
        <v>6</v>
      </c>
      <c r="E1541" s="1">
        <v>19.305</v>
      </c>
      <c r="F1541" s="1">
        <v>1292.223</v>
      </c>
      <c r="G1541" s="1">
        <v>16119.596</v>
      </c>
      <c r="H1541" s="2">
        <v>25000</v>
      </c>
      <c r="I1541" s="2">
        <v>-311857.74</v>
      </c>
      <c r="J1541" s="1">
        <v>33751014.840000004</v>
      </c>
      <c r="K1541" s="1">
        <v>1748302.567</v>
      </c>
    </row>
    <row r="1542" spans="1:11">
      <c r="A1542" t="s">
        <v>1</v>
      </c>
      <c r="B1542" s="3">
        <v>41848</v>
      </c>
      <c r="C1542" s="3">
        <v>41848</v>
      </c>
      <c r="D1542" t="s">
        <v>5</v>
      </c>
      <c r="E1542" s="1">
        <v>18.071899999999999</v>
      </c>
      <c r="F1542" s="1">
        <v>24608</v>
      </c>
      <c r="G1542" s="1">
        <v>0</v>
      </c>
      <c r="H1542" s="2">
        <v>445584.44</v>
      </c>
      <c r="I1542" s="2">
        <v>0</v>
      </c>
      <c r="J1542" s="1">
        <v>28946605.649999999</v>
      </c>
      <c r="K1542" s="1">
        <v>1601748.6839999999</v>
      </c>
    </row>
    <row r="1543" spans="1:11">
      <c r="A1543" t="s">
        <v>1</v>
      </c>
      <c r="B1543" s="3">
        <v>41848</v>
      </c>
      <c r="C1543" s="3">
        <v>41848</v>
      </c>
      <c r="D1543" t="s">
        <v>4</v>
      </c>
      <c r="E1543" s="1">
        <v>11.413600000000001</v>
      </c>
      <c r="F1543" s="1">
        <v>21.378</v>
      </c>
      <c r="G1543" s="1">
        <v>0</v>
      </c>
      <c r="H1543" s="2">
        <v>244.49</v>
      </c>
      <c r="I1543" s="2">
        <v>0</v>
      </c>
      <c r="J1543" s="1">
        <v>1922990.33</v>
      </c>
      <c r="K1543" s="1">
        <v>168481.679</v>
      </c>
    </row>
    <row r="1544" spans="1:11">
      <c r="A1544" t="s">
        <v>1</v>
      </c>
      <c r="B1544" s="3">
        <v>41848</v>
      </c>
      <c r="C1544" s="3">
        <v>41848</v>
      </c>
      <c r="D1544" t="s">
        <v>2</v>
      </c>
      <c r="E1544" s="1">
        <v>17.674399999999999</v>
      </c>
      <c r="F1544" s="1">
        <v>8153.0870000000004</v>
      </c>
      <c r="G1544" s="1">
        <v>0</v>
      </c>
      <c r="H1544" s="2">
        <v>144383.67999999999</v>
      </c>
      <c r="I1544" s="2">
        <v>0</v>
      </c>
      <c r="J1544" s="1">
        <v>68633946.040000007</v>
      </c>
      <c r="K1544" s="1">
        <v>3883234.196</v>
      </c>
    </row>
    <row r="1545" spans="1:11">
      <c r="A1545" t="s">
        <v>1</v>
      </c>
      <c r="B1545" s="3">
        <v>41848</v>
      </c>
      <c r="C1545" s="3">
        <v>41848</v>
      </c>
      <c r="D1545" t="s">
        <v>0</v>
      </c>
      <c r="E1545" s="1">
        <v>17.618500000000001</v>
      </c>
      <c r="F1545" s="1">
        <v>1918.6079999999999</v>
      </c>
      <c r="G1545" s="1">
        <v>44.616999999999997</v>
      </c>
      <c r="H1545" s="2">
        <v>33868.93</v>
      </c>
      <c r="I1545" s="2">
        <v>-787.62</v>
      </c>
      <c r="J1545" s="1">
        <v>4034749.48</v>
      </c>
      <c r="K1545" s="1">
        <v>229006.28899999999</v>
      </c>
    </row>
    <row r="1546" spans="1:11">
      <c r="A1546" t="s">
        <v>1</v>
      </c>
      <c r="B1546" s="3">
        <v>41849</v>
      </c>
      <c r="C1546" s="3">
        <v>41849</v>
      </c>
      <c r="D1546" t="s">
        <v>7</v>
      </c>
      <c r="E1546" s="1">
        <v>23.366299999999999</v>
      </c>
      <c r="F1546" s="1">
        <v>16300.407999999999</v>
      </c>
      <c r="G1546" s="1">
        <v>22759.309000000001</v>
      </c>
      <c r="H1546" s="2">
        <v>381706.6</v>
      </c>
      <c r="I1546" s="2">
        <v>-532954.74</v>
      </c>
      <c r="J1546" s="1">
        <v>275153793.13</v>
      </c>
      <c r="K1546" s="1">
        <v>11775680.82</v>
      </c>
    </row>
    <row r="1547" spans="1:11">
      <c r="A1547" t="s">
        <v>1</v>
      </c>
      <c r="B1547" s="3">
        <v>41849</v>
      </c>
      <c r="C1547" s="3">
        <v>41849</v>
      </c>
      <c r="D1547" t="s">
        <v>12</v>
      </c>
      <c r="E1547" s="1">
        <v>18.537800000000001</v>
      </c>
      <c r="F1547" s="1">
        <v>4229.9979999999996</v>
      </c>
      <c r="G1547" s="1">
        <v>0</v>
      </c>
      <c r="H1547" s="2">
        <v>78588.28</v>
      </c>
      <c r="I1547" s="2">
        <v>0</v>
      </c>
      <c r="J1547" s="1">
        <v>8820990.4600000009</v>
      </c>
      <c r="K1547" s="1">
        <v>475838.33299999998</v>
      </c>
    </row>
    <row r="1548" spans="1:11">
      <c r="A1548" t="s">
        <v>1</v>
      </c>
      <c r="B1548" s="3">
        <v>41849</v>
      </c>
      <c r="C1548" s="3">
        <v>41849</v>
      </c>
      <c r="D1548" t="s">
        <v>6</v>
      </c>
      <c r="E1548" s="1">
        <v>19.2624</v>
      </c>
      <c r="F1548" s="1">
        <v>34870.218000000001</v>
      </c>
      <c r="G1548" s="1">
        <v>400.89400000000001</v>
      </c>
      <c r="H1548" s="2">
        <v>673169.55</v>
      </c>
      <c r="I1548" s="2">
        <v>-7739.25</v>
      </c>
      <c r="J1548" s="1">
        <v>34340481.5</v>
      </c>
      <c r="K1548" s="1">
        <v>1782771.8910000001</v>
      </c>
    </row>
    <row r="1549" spans="1:11">
      <c r="A1549" t="s">
        <v>1</v>
      </c>
      <c r="B1549" s="3">
        <v>41849</v>
      </c>
      <c r="C1549" s="3">
        <v>41849</v>
      </c>
      <c r="D1549" t="s">
        <v>5</v>
      </c>
      <c r="E1549" s="1">
        <v>18.033100000000001</v>
      </c>
      <c r="F1549" s="1">
        <v>0</v>
      </c>
      <c r="G1549" s="1">
        <v>81514</v>
      </c>
      <c r="H1549" s="2">
        <v>0</v>
      </c>
      <c r="I1549" s="2">
        <v>-1473112.86</v>
      </c>
      <c r="J1549" s="1">
        <v>27414547.149999999</v>
      </c>
      <c r="K1549" s="1">
        <v>1520234.6839999999</v>
      </c>
    </row>
    <row r="1550" spans="1:11">
      <c r="A1550" t="s">
        <v>1</v>
      </c>
      <c r="B1550" s="3">
        <v>41849</v>
      </c>
      <c r="C1550" s="3">
        <v>41849</v>
      </c>
      <c r="D1550" t="s">
        <v>4</v>
      </c>
      <c r="E1550" s="1">
        <v>11.3889</v>
      </c>
      <c r="F1550" s="1">
        <v>81.778999999999996</v>
      </c>
      <c r="G1550" s="1">
        <v>0</v>
      </c>
      <c r="H1550" s="2">
        <v>933.39</v>
      </c>
      <c r="I1550" s="2">
        <v>0</v>
      </c>
      <c r="J1550" s="1">
        <v>1919756.33</v>
      </c>
      <c r="K1550" s="1">
        <v>168563.45800000001</v>
      </c>
    </row>
    <row r="1551" spans="1:11">
      <c r="A1551" t="s">
        <v>1</v>
      </c>
      <c r="B1551" s="3">
        <v>41849</v>
      </c>
      <c r="C1551" s="3">
        <v>41849</v>
      </c>
      <c r="D1551" t="s">
        <v>2</v>
      </c>
      <c r="E1551" s="1">
        <v>17.636500000000002</v>
      </c>
      <c r="F1551" s="1">
        <v>13461.021000000001</v>
      </c>
      <c r="G1551" s="1">
        <v>200</v>
      </c>
      <c r="H1551" s="2">
        <v>237915.9</v>
      </c>
      <c r="I1551" s="2">
        <v>-3534.89</v>
      </c>
      <c r="J1551" s="1">
        <v>68720566.859999999</v>
      </c>
      <c r="K1551" s="1">
        <v>3896495.2170000002</v>
      </c>
    </row>
    <row r="1552" spans="1:11">
      <c r="A1552" t="s">
        <v>1</v>
      </c>
      <c r="B1552" s="3">
        <v>41849</v>
      </c>
      <c r="C1552" s="3">
        <v>41849</v>
      </c>
      <c r="D1552" t="s">
        <v>0</v>
      </c>
      <c r="E1552" s="1">
        <v>17.5808</v>
      </c>
      <c r="F1552" s="1">
        <v>5128.3789999999999</v>
      </c>
      <c r="G1552" s="1">
        <v>15.847</v>
      </c>
      <c r="H1552" s="2">
        <v>90354.61</v>
      </c>
      <c r="I1552" s="2">
        <v>-279.20999999999998</v>
      </c>
      <c r="J1552" s="1">
        <v>4115991.83</v>
      </c>
      <c r="K1552" s="1">
        <v>234118.821</v>
      </c>
    </row>
    <row r="1553" spans="1:11">
      <c r="A1553" t="s">
        <v>1</v>
      </c>
      <c r="B1553" s="3">
        <v>41850</v>
      </c>
      <c r="C1553" s="3">
        <v>41850</v>
      </c>
      <c r="D1553" t="s">
        <v>7</v>
      </c>
      <c r="E1553" s="1">
        <v>23.2761</v>
      </c>
      <c r="F1553" s="1">
        <v>1914.954</v>
      </c>
      <c r="G1553" s="1">
        <v>22775.556</v>
      </c>
      <c r="H1553" s="2">
        <v>44745.4</v>
      </c>
      <c r="I1553" s="2">
        <v>-532180.47</v>
      </c>
      <c r="J1553" s="1">
        <v>273606248.07999998</v>
      </c>
      <c r="K1553" s="1">
        <v>11754820.218</v>
      </c>
    </row>
    <row r="1554" spans="1:11">
      <c r="A1554" t="s">
        <v>1</v>
      </c>
      <c r="B1554" s="3">
        <v>41850</v>
      </c>
      <c r="C1554" s="3">
        <v>41850</v>
      </c>
      <c r="D1554" t="s">
        <v>12</v>
      </c>
      <c r="E1554" s="1">
        <v>18.465499999999999</v>
      </c>
      <c r="F1554" s="1">
        <v>0</v>
      </c>
      <c r="G1554" s="1">
        <v>961.39599999999996</v>
      </c>
      <c r="H1554" s="2">
        <v>0</v>
      </c>
      <c r="I1554" s="2">
        <v>-17822.169999999998</v>
      </c>
      <c r="J1554" s="1">
        <v>8768829.5800000001</v>
      </c>
      <c r="K1554" s="1">
        <v>474876.93699999998</v>
      </c>
    </row>
    <row r="1555" spans="1:11">
      <c r="A1555" t="s">
        <v>1</v>
      </c>
      <c r="B1555" s="3">
        <v>41850</v>
      </c>
      <c r="C1555" s="3">
        <v>41850</v>
      </c>
      <c r="D1555" t="s">
        <v>6</v>
      </c>
      <c r="E1555" s="1">
        <v>19.1873</v>
      </c>
      <c r="F1555" s="1">
        <v>9975.9060000000009</v>
      </c>
      <c r="G1555" s="1">
        <v>59.654000000000003</v>
      </c>
      <c r="H1555" s="2">
        <v>192159.93</v>
      </c>
      <c r="I1555" s="2">
        <v>-1149.08</v>
      </c>
      <c r="J1555" s="1">
        <v>34396794.549999997</v>
      </c>
      <c r="K1555" s="1">
        <v>1792688.1429999999</v>
      </c>
    </row>
    <row r="1556" spans="1:11">
      <c r="A1556" t="s">
        <v>1</v>
      </c>
      <c r="B1556" s="3">
        <v>41850</v>
      </c>
      <c r="C1556" s="3">
        <v>41850</v>
      </c>
      <c r="D1556" t="s">
        <v>5</v>
      </c>
      <c r="E1556" s="1">
        <v>17.963899999999999</v>
      </c>
      <c r="F1556" s="1">
        <v>0</v>
      </c>
      <c r="G1556" s="1">
        <v>115844</v>
      </c>
      <c r="H1556" s="2">
        <v>0</v>
      </c>
      <c r="I1556" s="2">
        <v>-2089026.44</v>
      </c>
      <c r="J1556" s="1">
        <v>25228294.02</v>
      </c>
      <c r="K1556" s="1">
        <v>1404390.6839999999</v>
      </c>
    </row>
    <row r="1557" spans="1:11">
      <c r="A1557" t="s">
        <v>1</v>
      </c>
      <c r="B1557" s="3">
        <v>41850</v>
      </c>
      <c r="C1557" s="3">
        <v>41850</v>
      </c>
      <c r="D1557" t="s">
        <v>2</v>
      </c>
      <c r="E1557" s="1">
        <v>17.5688</v>
      </c>
      <c r="F1557" s="1">
        <v>17857.695</v>
      </c>
      <c r="G1557" s="1">
        <v>1491.2270000000001</v>
      </c>
      <c r="H1557" s="2">
        <v>314948.64</v>
      </c>
      <c r="I1557" s="2">
        <v>-26300.14</v>
      </c>
      <c r="J1557" s="1">
        <v>68744283.480000004</v>
      </c>
      <c r="K1557" s="1">
        <v>3912861.6850000001</v>
      </c>
    </row>
    <row r="1558" spans="1:11">
      <c r="A1558" t="s">
        <v>1</v>
      </c>
      <c r="B1558" s="3">
        <v>41850</v>
      </c>
      <c r="C1558" s="3">
        <v>41850</v>
      </c>
      <c r="D1558" t="s">
        <v>0</v>
      </c>
      <c r="E1558" s="1">
        <v>17.513400000000001</v>
      </c>
      <c r="F1558" s="1">
        <v>1869.454</v>
      </c>
      <c r="G1558" s="1">
        <v>263.30700000000002</v>
      </c>
      <c r="H1558" s="2">
        <v>32866.5</v>
      </c>
      <c r="I1558" s="2">
        <v>-4629.16</v>
      </c>
      <c r="J1558" s="1">
        <v>4128336.17</v>
      </c>
      <c r="K1558" s="1">
        <v>235724.96799999999</v>
      </c>
    </row>
    <row r="1559" spans="1:11">
      <c r="A1559" t="s">
        <v>1</v>
      </c>
      <c r="B1559" s="3">
        <v>41851</v>
      </c>
      <c r="C1559" s="3">
        <v>41851</v>
      </c>
      <c r="D1559" t="s">
        <v>8</v>
      </c>
      <c r="E1559" s="1">
        <v>18.8108</v>
      </c>
      <c r="F1559" s="1">
        <v>0</v>
      </c>
      <c r="G1559" s="1">
        <v>19613.148000000001</v>
      </c>
      <c r="H1559" s="2">
        <v>0</v>
      </c>
      <c r="I1559" s="2">
        <v>-369197.55</v>
      </c>
      <c r="J1559" s="1">
        <v>5746568.8499999996</v>
      </c>
      <c r="K1559" s="1">
        <v>305493.86099999998</v>
      </c>
    </row>
    <row r="1560" spans="1:11">
      <c r="A1560" t="s">
        <v>1</v>
      </c>
      <c r="B1560" s="3">
        <v>41851</v>
      </c>
      <c r="C1560" s="3">
        <v>41851</v>
      </c>
      <c r="D1560" t="s">
        <v>7</v>
      </c>
      <c r="E1560" s="1">
        <v>23.259799999999998</v>
      </c>
      <c r="F1560" s="1">
        <v>38327.161999999997</v>
      </c>
      <c r="G1560" s="1">
        <v>3443.8890000000001</v>
      </c>
      <c r="H1560" s="2">
        <v>892106.84</v>
      </c>
      <c r="I1560" s="2">
        <v>-80160.31</v>
      </c>
      <c r="J1560" s="1">
        <v>274225732.74000001</v>
      </c>
      <c r="K1560" s="1">
        <v>11789703.491</v>
      </c>
    </row>
    <row r="1561" spans="1:11">
      <c r="A1561" t="s">
        <v>1</v>
      </c>
      <c r="B1561" s="3">
        <v>41851</v>
      </c>
      <c r="C1561" s="3">
        <v>41851</v>
      </c>
      <c r="D1561" t="s">
        <v>6</v>
      </c>
      <c r="E1561" s="1">
        <v>19.172999999999998</v>
      </c>
      <c r="F1561" s="1">
        <v>15288.165999999999</v>
      </c>
      <c r="G1561" s="1">
        <v>6206.0249999999996</v>
      </c>
      <c r="H1561" s="2">
        <v>293338.65999999997</v>
      </c>
      <c r="I1561" s="2">
        <v>-119076.87</v>
      </c>
      <c r="J1561" s="1">
        <v>34545389.399999999</v>
      </c>
      <c r="K1561" s="1">
        <v>1801770.284</v>
      </c>
    </row>
    <row r="1562" spans="1:11">
      <c r="A1562" t="s">
        <v>1</v>
      </c>
      <c r="B1562" s="3">
        <v>41851</v>
      </c>
      <c r="C1562" s="3">
        <v>41851</v>
      </c>
      <c r="D1562" t="s">
        <v>3</v>
      </c>
      <c r="E1562" s="1">
        <v>11.0219</v>
      </c>
      <c r="F1562" s="1">
        <v>0</v>
      </c>
      <c r="G1562" s="1">
        <v>1273.451</v>
      </c>
      <c r="H1562" s="2">
        <v>0</v>
      </c>
      <c r="I1562" s="2">
        <v>-14046.29</v>
      </c>
      <c r="J1562" s="1">
        <v>1800792.57</v>
      </c>
      <c r="K1562" s="1">
        <v>163383.14000000001</v>
      </c>
    </row>
    <row r="1563" spans="1:11">
      <c r="A1563" t="s">
        <v>1</v>
      </c>
      <c r="B1563" s="3">
        <v>41851</v>
      </c>
      <c r="C1563" s="3">
        <v>41851</v>
      </c>
      <c r="D1563" t="s">
        <v>2</v>
      </c>
      <c r="E1563" s="1">
        <v>17.556799999999999</v>
      </c>
      <c r="F1563" s="1">
        <v>11572.689</v>
      </c>
      <c r="G1563" s="1">
        <v>2030</v>
      </c>
      <c r="H1563" s="2">
        <v>203318.92</v>
      </c>
      <c r="I1563" s="2">
        <v>-35664.78</v>
      </c>
      <c r="J1563" s="1">
        <v>68865022.599999994</v>
      </c>
      <c r="K1563" s="1">
        <v>3922404.3739999998</v>
      </c>
    </row>
    <row r="1564" spans="1:11">
      <c r="A1564" t="s">
        <v>1</v>
      </c>
      <c r="B1564" s="3">
        <v>41851</v>
      </c>
      <c r="C1564" s="3">
        <v>41851</v>
      </c>
      <c r="D1564" t="s">
        <v>0</v>
      </c>
      <c r="E1564" s="1">
        <v>17.5015</v>
      </c>
      <c r="F1564" s="1">
        <v>8116.6080000000002</v>
      </c>
      <c r="G1564" s="1">
        <v>61.09</v>
      </c>
      <c r="H1564" s="2">
        <v>142150.06</v>
      </c>
      <c r="I1564" s="2">
        <v>-1069.8900000000001</v>
      </c>
      <c r="J1564" s="1">
        <v>4266527.2699999996</v>
      </c>
      <c r="K1564" s="1">
        <v>243780.486</v>
      </c>
    </row>
    <row r="1565" spans="1:11">
      <c r="A1565" t="s">
        <v>1</v>
      </c>
      <c r="B1565" s="3">
        <v>41852</v>
      </c>
      <c r="C1565" s="3">
        <v>41852</v>
      </c>
      <c r="D1565" t="s">
        <v>7</v>
      </c>
      <c r="E1565" s="1">
        <v>22.806799999999999</v>
      </c>
      <c r="F1565" s="1">
        <v>57.783000000000001</v>
      </c>
      <c r="G1565" s="1">
        <v>39626.716</v>
      </c>
      <c r="H1565" s="2">
        <v>1344</v>
      </c>
      <c r="I1565" s="2">
        <v>-921709.5</v>
      </c>
      <c r="J1565" s="1">
        <v>267982807.08000001</v>
      </c>
      <c r="K1565" s="1">
        <v>11750134.558</v>
      </c>
    </row>
    <row r="1566" spans="1:11">
      <c r="A1566" t="s">
        <v>1</v>
      </c>
      <c r="B1566" s="3">
        <v>41852</v>
      </c>
      <c r="C1566" s="3">
        <v>41852</v>
      </c>
      <c r="D1566" t="s">
        <v>12</v>
      </c>
      <c r="E1566" s="1">
        <v>18.091699999999999</v>
      </c>
      <c r="F1566" s="1">
        <v>0</v>
      </c>
      <c r="G1566" s="1">
        <v>7769.2079999999996</v>
      </c>
      <c r="H1566" s="2">
        <v>0</v>
      </c>
      <c r="I1566" s="2">
        <v>-143355.87</v>
      </c>
      <c r="J1566" s="1">
        <v>8450756.8200000003</v>
      </c>
      <c r="K1566" s="1">
        <v>467107.72899999999</v>
      </c>
    </row>
    <row r="1567" spans="1:11">
      <c r="A1567" t="s">
        <v>1</v>
      </c>
      <c r="B1567" s="3">
        <v>41852</v>
      </c>
      <c r="C1567" s="3">
        <v>41852</v>
      </c>
      <c r="D1567" t="s">
        <v>6</v>
      </c>
      <c r="E1567" s="1">
        <v>18.7988</v>
      </c>
      <c r="F1567" s="1">
        <v>55.738</v>
      </c>
      <c r="G1567" s="1">
        <v>12649.626</v>
      </c>
      <c r="H1567" s="2">
        <v>1068.6600000000001</v>
      </c>
      <c r="I1567" s="2">
        <v>-242531.28</v>
      </c>
      <c r="J1567" s="1">
        <v>33634455.829999998</v>
      </c>
      <c r="K1567" s="1">
        <v>1789176.3959999999</v>
      </c>
    </row>
    <row r="1568" spans="1:11">
      <c r="A1568" t="s">
        <v>1</v>
      </c>
      <c r="B1568" s="3">
        <v>41852</v>
      </c>
      <c r="C1568" s="3">
        <v>41852</v>
      </c>
      <c r="D1568" t="s">
        <v>10</v>
      </c>
      <c r="E1568" s="1">
        <v>18.1568</v>
      </c>
      <c r="F1568" s="1">
        <v>26</v>
      </c>
      <c r="G1568" s="1">
        <v>0</v>
      </c>
      <c r="H1568" s="2">
        <v>481.13</v>
      </c>
      <c r="I1568" s="2">
        <v>0</v>
      </c>
      <c r="J1568" s="1">
        <v>7364948.8200000003</v>
      </c>
      <c r="K1568" s="1">
        <v>405630.33600000001</v>
      </c>
    </row>
    <row r="1569" spans="1:11">
      <c r="A1569" t="s">
        <v>1</v>
      </c>
      <c r="B1569" s="3">
        <v>41852</v>
      </c>
      <c r="C1569" s="3">
        <v>41852</v>
      </c>
      <c r="D1569" t="s">
        <v>2</v>
      </c>
      <c r="E1569" s="1">
        <v>17.215299999999999</v>
      </c>
      <c r="F1569" s="1">
        <v>2941.846</v>
      </c>
      <c r="G1569" s="1">
        <v>0</v>
      </c>
      <c r="H1569" s="2">
        <v>51649.33</v>
      </c>
      <c r="I1569" s="2">
        <v>0</v>
      </c>
      <c r="J1569" s="1">
        <v>67575951.450000003</v>
      </c>
      <c r="K1569" s="1">
        <v>3925346.22</v>
      </c>
    </row>
    <row r="1570" spans="1:11">
      <c r="A1570" t="s">
        <v>1</v>
      </c>
      <c r="B1570" s="3">
        <v>41852</v>
      </c>
      <c r="C1570" s="3">
        <v>41852</v>
      </c>
      <c r="D1570" t="s">
        <v>0</v>
      </c>
      <c r="E1570" s="1">
        <v>17.161100000000001</v>
      </c>
      <c r="F1570" s="1">
        <v>3275.6729999999998</v>
      </c>
      <c r="G1570" s="1">
        <v>88.314999999999998</v>
      </c>
      <c r="H1570" s="2">
        <v>57329.42</v>
      </c>
      <c r="I1570" s="2">
        <v>-1545.65</v>
      </c>
      <c r="J1570" s="1">
        <v>4238241.58</v>
      </c>
      <c r="K1570" s="1">
        <v>246967.84400000001</v>
      </c>
    </row>
    <row r="1571" spans="1:11">
      <c r="A1571" t="s">
        <v>1</v>
      </c>
      <c r="B1571" s="3">
        <v>41856</v>
      </c>
      <c r="C1571" s="3">
        <v>41856</v>
      </c>
      <c r="D1571" t="s">
        <v>7</v>
      </c>
      <c r="E1571" s="1">
        <v>22.833400000000001</v>
      </c>
      <c r="F1571" s="1">
        <v>12326.784</v>
      </c>
      <c r="G1571" s="1">
        <v>4170.7150000000001</v>
      </c>
      <c r="H1571" s="2">
        <v>281134.49</v>
      </c>
      <c r="I1571" s="2">
        <v>-95120.68</v>
      </c>
      <c r="J1571" s="1">
        <v>268481556.68000001</v>
      </c>
      <c r="K1571" s="1">
        <v>11758290.627</v>
      </c>
    </row>
    <row r="1572" spans="1:11">
      <c r="A1572" t="s">
        <v>1</v>
      </c>
      <c r="B1572" s="3">
        <v>41856</v>
      </c>
      <c r="C1572" s="3">
        <v>41856</v>
      </c>
      <c r="D1572" t="s">
        <v>12</v>
      </c>
      <c r="E1572" s="1">
        <v>18.1098</v>
      </c>
      <c r="F1572" s="1">
        <v>14271.696</v>
      </c>
      <c r="G1572" s="1">
        <v>270.66199999999998</v>
      </c>
      <c r="H1572" s="2">
        <v>258199.28</v>
      </c>
      <c r="I1572" s="2">
        <v>-4896.74</v>
      </c>
      <c r="J1572" s="1">
        <v>8712779.1500000004</v>
      </c>
      <c r="K1572" s="1">
        <v>481108.76299999998</v>
      </c>
    </row>
    <row r="1573" spans="1:11">
      <c r="A1573" t="s">
        <v>1</v>
      </c>
      <c r="B1573" s="3">
        <v>41856</v>
      </c>
      <c r="C1573" s="3">
        <v>41856</v>
      </c>
      <c r="D1573" t="s">
        <v>6</v>
      </c>
      <c r="E1573" s="1">
        <v>18.817699999999999</v>
      </c>
      <c r="F1573" s="1">
        <v>15850.081</v>
      </c>
      <c r="G1573" s="1">
        <v>13091.404</v>
      </c>
      <c r="H1573" s="2">
        <v>297962.48</v>
      </c>
      <c r="I1573" s="2">
        <v>-246102.68</v>
      </c>
      <c r="J1573" s="1">
        <v>33720062.799999997</v>
      </c>
      <c r="K1573" s="1">
        <v>1791935.0730000001</v>
      </c>
    </row>
    <row r="1574" spans="1:11">
      <c r="A1574" t="s">
        <v>1</v>
      </c>
      <c r="B1574" s="3">
        <v>41856</v>
      </c>
      <c r="C1574" s="3">
        <v>41856</v>
      </c>
      <c r="D1574" t="s">
        <v>5</v>
      </c>
      <c r="E1574" s="1">
        <v>17.624400000000001</v>
      </c>
      <c r="F1574" s="1">
        <v>0</v>
      </c>
      <c r="G1574" s="1">
        <v>30421</v>
      </c>
      <c r="H1574" s="2">
        <v>0</v>
      </c>
      <c r="I1574" s="2">
        <v>-535482.61</v>
      </c>
      <c r="J1574" s="1">
        <v>24215365.609999999</v>
      </c>
      <c r="K1574" s="1">
        <v>1373969.6839999999</v>
      </c>
    </row>
    <row r="1575" spans="1:11">
      <c r="A1575" t="s">
        <v>1</v>
      </c>
      <c r="B1575" s="3">
        <v>41856</v>
      </c>
      <c r="C1575" s="3">
        <v>41856</v>
      </c>
      <c r="D1575" t="s">
        <v>4</v>
      </c>
      <c r="E1575" s="1">
        <v>11.129200000000001</v>
      </c>
      <c r="F1575" s="1">
        <v>179.91800000000001</v>
      </c>
      <c r="G1575" s="1">
        <v>0</v>
      </c>
      <c r="H1575" s="2">
        <v>2000</v>
      </c>
      <c r="I1575" s="2">
        <v>0</v>
      </c>
      <c r="J1575" s="1">
        <v>1877976.76</v>
      </c>
      <c r="K1575" s="1">
        <v>168743.37599999999</v>
      </c>
    </row>
    <row r="1576" spans="1:11">
      <c r="A1576" t="s">
        <v>1</v>
      </c>
      <c r="B1576" s="3">
        <v>41856</v>
      </c>
      <c r="C1576" s="3">
        <v>41856</v>
      </c>
      <c r="D1576" t="s">
        <v>2</v>
      </c>
      <c r="E1576" s="1">
        <v>17.236799999999999</v>
      </c>
      <c r="F1576" s="1">
        <v>5800.424</v>
      </c>
      <c r="G1576" s="1">
        <v>250</v>
      </c>
      <c r="H1576" s="2">
        <v>99856.13</v>
      </c>
      <c r="I1576" s="2">
        <v>-4303.84</v>
      </c>
      <c r="J1576" s="1">
        <v>67755983.629999995</v>
      </c>
      <c r="K1576" s="1">
        <v>3930896.6439999999</v>
      </c>
    </row>
    <row r="1577" spans="1:11">
      <c r="A1577" t="s">
        <v>1</v>
      </c>
      <c r="B1577" s="3">
        <v>41856</v>
      </c>
      <c r="C1577" s="3">
        <v>41856</v>
      </c>
      <c r="D1577" t="s">
        <v>0</v>
      </c>
      <c r="E1577" s="1">
        <v>17.1828</v>
      </c>
      <c r="F1577" s="1">
        <v>4896.1440000000002</v>
      </c>
      <c r="G1577" s="1">
        <v>50.301000000000002</v>
      </c>
      <c r="H1577" s="2">
        <v>84023.24</v>
      </c>
      <c r="I1577" s="2">
        <v>-863.22</v>
      </c>
      <c r="J1577" s="1">
        <v>4326867.3899999997</v>
      </c>
      <c r="K1577" s="1">
        <v>251813.68700000001</v>
      </c>
    </row>
    <row r="1578" spans="1:11">
      <c r="A1578" t="s">
        <v>1</v>
      </c>
      <c r="B1578" s="3">
        <v>41857</v>
      </c>
      <c r="C1578" s="3">
        <v>41857</v>
      </c>
      <c r="D1578" t="s">
        <v>8</v>
      </c>
      <c r="E1578" s="1">
        <v>18.279699999999998</v>
      </c>
      <c r="F1578" s="1">
        <v>2574.46</v>
      </c>
      <c r="G1578" s="1">
        <v>0</v>
      </c>
      <c r="H1578" s="2">
        <v>47539.83</v>
      </c>
      <c r="I1578" s="2">
        <v>0</v>
      </c>
      <c r="J1578" s="1">
        <v>5631407.5</v>
      </c>
      <c r="K1578" s="1">
        <v>308068.321</v>
      </c>
    </row>
    <row r="1579" spans="1:11">
      <c r="A1579" t="s">
        <v>1</v>
      </c>
      <c r="B1579" s="3">
        <v>41857</v>
      </c>
      <c r="C1579" s="3">
        <v>41857</v>
      </c>
      <c r="D1579" t="s">
        <v>7</v>
      </c>
      <c r="E1579" s="1">
        <v>22.603200000000001</v>
      </c>
      <c r="F1579" s="1">
        <v>25579.205000000002</v>
      </c>
      <c r="G1579" s="1">
        <v>4128.2190000000001</v>
      </c>
      <c r="H1579" s="2">
        <v>584060.23</v>
      </c>
      <c r="I1579" s="2">
        <v>-94261.27</v>
      </c>
      <c r="J1579" s="1">
        <v>266259350.96000001</v>
      </c>
      <c r="K1579" s="1">
        <v>11779741.613</v>
      </c>
    </row>
    <row r="1580" spans="1:11">
      <c r="A1580" t="s">
        <v>1</v>
      </c>
      <c r="B1580" s="3">
        <v>41857</v>
      </c>
      <c r="C1580" s="3">
        <v>41857</v>
      </c>
      <c r="D1580" t="s">
        <v>12</v>
      </c>
      <c r="E1580" s="1">
        <v>17.926400000000001</v>
      </c>
      <c r="F1580" s="1">
        <v>1617.6</v>
      </c>
      <c r="G1580" s="1">
        <v>2079.5819999999999</v>
      </c>
      <c r="H1580" s="2">
        <v>29294.42</v>
      </c>
      <c r="I1580" s="2">
        <v>-37660.82</v>
      </c>
      <c r="J1580" s="1">
        <v>8616289.5299999993</v>
      </c>
      <c r="K1580" s="1">
        <v>480646.78100000002</v>
      </c>
    </row>
    <row r="1581" spans="1:11">
      <c r="A1581" t="s">
        <v>1</v>
      </c>
      <c r="B1581" s="3">
        <v>41857</v>
      </c>
      <c r="C1581" s="3">
        <v>41857</v>
      </c>
      <c r="D1581" t="s">
        <v>6</v>
      </c>
      <c r="E1581" s="1">
        <v>18.627199999999998</v>
      </c>
      <c r="F1581" s="1">
        <v>4994.576</v>
      </c>
      <c r="G1581" s="1">
        <v>11511.56</v>
      </c>
      <c r="H1581" s="2">
        <v>93986.45</v>
      </c>
      <c r="I1581" s="2">
        <v>-216621.08</v>
      </c>
      <c r="J1581" s="1">
        <v>33257288.780000001</v>
      </c>
      <c r="K1581" s="1">
        <v>1785418.0889999999</v>
      </c>
    </row>
    <row r="1582" spans="1:11">
      <c r="A1582" t="s">
        <v>1</v>
      </c>
      <c r="B1582" s="3">
        <v>41857</v>
      </c>
      <c r="C1582" s="3">
        <v>41857</v>
      </c>
      <c r="D1582" t="s">
        <v>10</v>
      </c>
      <c r="E1582" s="1">
        <v>17.922899999999998</v>
      </c>
      <c r="F1582" s="1">
        <v>0</v>
      </c>
      <c r="G1582" s="1">
        <v>6301</v>
      </c>
      <c r="H1582" s="2">
        <v>0</v>
      </c>
      <c r="I1582" s="2">
        <v>-114507.66</v>
      </c>
      <c r="J1582" s="1">
        <v>7157135.2999999998</v>
      </c>
      <c r="K1582" s="1">
        <v>399329.33600000001</v>
      </c>
    </row>
    <row r="1583" spans="1:11">
      <c r="A1583" t="s">
        <v>1</v>
      </c>
      <c r="B1583" s="3">
        <v>41857</v>
      </c>
      <c r="C1583" s="3">
        <v>41857</v>
      </c>
      <c r="D1583" t="s">
        <v>5</v>
      </c>
      <c r="E1583" s="1">
        <v>17.446999999999999</v>
      </c>
      <c r="F1583" s="1">
        <v>0</v>
      </c>
      <c r="G1583" s="1">
        <v>270427</v>
      </c>
      <c r="H1583" s="2">
        <v>0</v>
      </c>
      <c r="I1583" s="2">
        <v>-4766113.62</v>
      </c>
      <c r="J1583" s="1">
        <v>19253547.25</v>
      </c>
      <c r="K1583" s="1">
        <v>1103542.6839999999</v>
      </c>
    </row>
    <row r="1584" spans="1:11">
      <c r="A1584" t="s">
        <v>1</v>
      </c>
      <c r="B1584" s="3">
        <v>41857</v>
      </c>
      <c r="C1584" s="3">
        <v>41857</v>
      </c>
      <c r="D1584" t="s">
        <v>4</v>
      </c>
      <c r="E1584" s="1">
        <v>11.016999999999999</v>
      </c>
      <c r="F1584" s="1">
        <v>89.828999999999994</v>
      </c>
      <c r="G1584" s="1">
        <v>0</v>
      </c>
      <c r="H1584" s="2">
        <v>999.73</v>
      </c>
      <c r="I1584" s="2">
        <v>0</v>
      </c>
      <c r="J1584" s="1">
        <v>1860030.99</v>
      </c>
      <c r="K1584" s="1">
        <v>168833.20499999999</v>
      </c>
    </row>
    <row r="1585" spans="1:11">
      <c r="A1585" t="s">
        <v>1</v>
      </c>
      <c r="B1585" s="3">
        <v>41857</v>
      </c>
      <c r="C1585" s="3">
        <v>41857</v>
      </c>
      <c r="D1585" t="s">
        <v>3</v>
      </c>
      <c r="E1585" s="1">
        <v>10.7081</v>
      </c>
      <c r="F1585" s="1">
        <v>3362.8159999999998</v>
      </c>
      <c r="G1585" s="1">
        <v>0</v>
      </c>
      <c r="H1585" s="2">
        <v>36377.61</v>
      </c>
      <c r="I1585" s="2">
        <v>0</v>
      </c>
      <c r="J1585" s="1">
        <v>1785533.42</v>
      </c>
      <c r="K1585" s="1">
        <v>166745.95600000001</v>
      </c>
    </row>
    <row r="1586" spans="1:11">
      <c r="A1586" t="s">
        <v>1</v>
      </c>
      <c r="B1586" s="3">
        <v>41857</v>
      </c>
      <c r="C1586" s="3">
        <v>41857</v>
      </c>
      <c r="D1586" t="s">
        <v>2</v>
      </c>
      <c r="E1586" s="1">
        <v>17.063300000000002</v>
      </c>
      <c r="F1586" s="1">
        <v>9941.9089999999997</v>
      </c>
      <c r="G1586" s="1">
        <v>280</v>
      </c>
      <c r="H1586" s="2">
        <v>171366.25</v>
      </c>
      <c r="I1586" s="2">
        <v>-4826.29</v>
      </c>
      <c r="J1586" s="1">
        <v>67239064.909999996</v>
      </c>
      <c r="K1586" s="1">
        <v>3940558.5529999998</v>
      </c>
    </row>
    <row r="1587" spans="1:11">
      <c r="A1587" t="s">
        <v>1</v>
      </c>
      <c r="B1587" s="3">
        <v>41857</v>
      </c>
      <c r="C1587" s="3">
        <v>41857</v>
      </c>
      <c r="D1587" t="s">
        <v>0</v>
      </c>
      <c r="E1587" s="1">
        <v>17.010000000000002</v>
      </c>
      <c r="F1587" s="1">
        <v>5813.8069999999998</v>
      </c>
      <c r="G1587" s="1">
        <v>311.59300000000002</v>
      </c>
      <c r="H1587" s="2">
        <v>99897.31</v>
      </c>
      <c r="I1587" s="2">
        <v>-5354.03</v>
      </c>
      <c r="J1587" s="1">
        <v>4376939.16</v>
      </c>
      <c r="K1587" s="1">
        <v>257315.90100000001</v>
      </c>
    </row>
    <row r="1588" spans="1:11">
      <c r="A1588" t="s">
        <v>1</v>
      </c>
      <c r="B1588" s="3">
        <v>41858</v>
      </c>
      <c r="C1588" s="3">
        <v>41858</v>
      </c>
      <c r="D1588" t="s">
        <v>7</v>
      </c>
      <c r="E1588" s="1">
        <v>22.628900000000002</v>
      </c>
      <c r="F1588" s="1">
        <v>11219.099</v>
      </c>
      <c r="G1588" s="1">
        <v>884.83</v>
      </c>
      <c r="H1588" s="2">
        <v>253587.55</v>
      </c>
      <c r="I1588" s="2">
        <v>-20000</v>
      </c>
      <c r="J1588" s="1">
        <v>266796677.38999999</v>
      </c>
      <c r="K1588" s="1">
        <v>11790075.881999999</v>
      </c>
    </row>
    <row r="1589" spans="1:11">
      <c r="A1589" t="s">
        <v>1</v>
      </c>
      <c r="B1589" s="3">
        <v>41858</v>
      </c>
      <c r="C1589" s="3">
        <v>41858</v>
      </c>
      <c r="D1589" t="s">
        <v>12</v>
      </c>
      <c r="E1589" s="1">
        <v>17.946100000000001</v>
      </c>
      <c r="F1589" s="1">
        <v>0</v>
      </c>
      <c r="G1589" s="1">
        <v>845.255</v>
      </c>
      <c r="H1589" s="2">
        <v>0</v>
      </c>
      <c r="I1589" s="2">
        <v>-15152.38</v>
      </c>
      <c r="J1589" s="1">
        <v>8610586.9499999993</v>
      </c>
      <c r="K1589" s="1">
        <v>479801.52600000001</v>
      </c>
    </row>
    <row r="1590" spans="1:11">
      <c r="A1590" t="s">
        <v>1</v>
      </c>
      <c r="B1590" s="3">
        <v>41858</v>
      </c>
      <c r="C1590" s="3">
        <v>41858</v>
      </c>
      <c r="D1590" t="s">
        <v>6</v>
      </c>
      <c r="E1590" s="1">
        <v>18.647600000000001</v>
      </c>
      <c r="F1590" s="1">
        <v>26462.897000000001</v>
      </c>
      <c r="G1590" s="1">
        <v>20851.5</v>
      </c>
      <c r="H1590" s="2">
        <v>492929.78</v>
      </c>
      <c r="I1590" s="2">
        <v>-388405.06</v>
      </c>
      <c r="J1590" s="1">
        <v>33398467.050000001</v>
      </c>
      <c r="K1590" s="1">
        <v>1791029.486</v>
      </c>
    </row>
    <row r="1591" spans="1:11">
      <c r="A1591" t="s">
        <v>1</v>
      </c>
      <c r="B1591" s="3">
        <v>41858</v>
      </c>
      <c r="C1591" s="3">
        <v>41858</v>
      </c>
      <c r="D1591" t="s">
        <v>10</v>
      </c>
      <c r="E1591" s="1">
        <v>17.989899999999999</v>
      </c>
      <c r="F1591" s="1">
        <v>0</v>
      </c>
      <c r="G1591" s="1">
        <v>3518</v>
      </c>
      <c r="H1591" s="2">
        <v>0</v>
      </c>
      <c r="I1591" s="2">
        <v>-63052.56</v>
      </c>
      <c r="J1591" s="1">
        <v>7120610.4000000004</v>
      </c>
      <c r="K1591" s="1">
        <v>395811.33600000001</v>
      </c>
    </row>
    <row r="1592" spans="1:11">
      <c r="A1592" t="s">
        <v>1</v>
      </c>
      <c r="B1592" s="3">
        <v>41858</v>
      </c>
      <c r="C1592" s="3">
        <v>41858</v>
      </c>
      <c r="D1592" t="s">
        <v>5</v>
      </c>
      <c r="E1592" s="1">
        <v>17.467300000000002</v>
      </c>
      <c r="F1592" s="1">
        <v>0</v>
      </c>
      <c r="G1592" s="1">
        <v>215466</v>
      </c>
      <c r="H1592" s="2">
        <v>0</v>
      </c>
      <c r="I1592" s="2">
        <v>-3759235.3</v>
      </c>
      <c r="J1592" s="1">
        <v>15512290.18</v>
      </c>
      <c r="K1592" s="1">
        <v>888076.68400000001</v>
      </c>
    </row>
    <row r="1593" spans="1:11">
      <c r="A1593" t="s">
        <v>1</v>
      </c>
      <c r="B1593" s="3">
        <v>41858</v>
      </c>
      <c r="C1593" s="3">
        <v>41858</v>
      </c>
      <c r="D1593" t="s">
        <v>4</v>
      </c>
      <c r="E1593" s="1">
        <v>11.029500000000001</v>
      </c>
      <c r="F1593" s="1">
        <v>66.507000000000005</v>
      </c>
      <c r="G1593" s="1">
        <v>0</v>
      </c>
      <c r="H1593" s="2">
        <v>732.7</v>
      </c>
      <c r="I1593" s="2">
        <v>0</v>
      </c>
      <c r="J1593" s="1">
        <v>1862884.52</v>
      </c>
      <c r="K1593" s="1">
        <v>168899.712</v>
      </c>
    </row>
    <row r="1594" spans="1:11">
      <c r="A1594" t="s">
        <v>1</v>
      </c>
      <c r="B1594" s="3">
        <v>41858</v>
      </c>
      <c r="C1594" s="3">
        <v>41858</v>
      </c>
      <c r="D1594" t="s">
        <v>2</v>
      </c>
      <c r="E1594" s="1">
        <v>17.083100000000002</v>
      </c>
      <c r="F1594" s="1">
        <v>20118.273000000001</v>
      </c>
      <c r="G1594" s="1">
        <v>1835</v>
      </c>
      <c r="H1594" s="2">
        <v>343283.43</v>
      </c>
      <c r="I1594" s="2">
        <v>-31311.09</v>
      </c>
      <c r="J1594" s="1">
        <v>67629417.489999995</v>
      </c>
      <c r="K1594" s="1">
        <v>3958841.8259999999</v>
      </c>
    </row>
    <row r="1595" spans="1:11">
      <c r="A1595" t="s">
        <v>1</v>
      </c>
      <c r="B1595" s="3">
        <v>41858</v>
      </c>
      <c r="C1595" s="3">
        <v>41858</v>
      </c>
      <c r="D1595" t="s">
        <v>0</v>
      </c>
      <c r="E1595" s="1">
        <v>17.029800000000002</v>
      </c>
      <c r="F1595" s="1">
        <v>2729.7350000000001</v>
      </c>
      <c r="G1595" s="1">
        <v>41.146999999999998</v>
      </c>
      <c r="H1595" s="2">
        <v>46433.03</v>
      </c>
      <c r="I1595" s="2">
        <v>-699.91</v>
      </c>
      <c r="J1595" s="1">
        <v>4427822.13</v>
      </c>
      <c r="K1595" s="1">
        <v>260004.489</v>
      </c>
    </row>
    <row r="1596" spans="1:11">
      <c r="A1596" t="s">
        <v>1</v>
      </c>
      <c r="B1596" s="3">
        <v>41859</v>
      </c>
      <c r="C1596" s="3">
        <v>41859</v>
      </c>
      <c r="D1596" t="s">
        <v>7</v>
      </c>
      <c r="E1596" s="1">
        <v>22.4956</v>
      </c>
      <c r="F1596" s="1">
        <v>26049.625</v>
      </c>
      <c r="G1596" s="1">
        <v>2125.8829999999998</v>
      </c>
      <c r="H1596" s="2">
        <v>589474.37</v>
      </c>
      <c r="I1596" s="2">
        <v>-48106.400000000001</v>
      </c>
      <c r="J1596" s="1">
        <v>265762698.38999999</v>
      </c>
      <c r="K1596" s="1">
        <v>11813999.624</v>
      </c>
    </row>
    <row r="1597" spans="1:11">
      <c r="A1597" t="s">
        <v>1</v>
      </c>
      <c r="B1597" s="3">
        <v>41859</v>
      </c>
      <c r="C1597" s="3">
        <v>41859</v>
      </c>
      <c r="D1597" t="s">
        <v>12</v>
      </c>
      <c r="E1597" s="1">
        <v>17.839700000000001</v>
      </c>
      <c r="F1597" s="1">
        <v>0</v>
      </c>
      <c r="G1597" s="1">
        <v>778.58</v>
      </c>
      <c r="H1597" s="2">
        <v>0</v>
      </c>
      <c r="I1597" s="2">
        <v>-13972.47</v>
      </c>
      <c r="J1597" s="1">
        <v>8545603.7899999991</v>
      </c>
      <c r="K1597" s="1">
        <v>479022.946</v>
      </c>
    </row>
    <row r="1598" spans="1:11">
      <c r="A1598" t="s">
        <v>1</v>
      </c>
      <c r="B1598" s="3">
        <v>41859</v>
      </c>
      <c r="C1598" s="3">
        <v>41859</v>
      </c>
      <c r="D1598" t="s">
        <v>6</v>
      </c>
      <c r="E1598" s="1">
        <v>18.536999999999999</v>
      </c>
      <c r="F1598" s="1">
        <v>3794.6370000000002</v>
      </c>
      <c r="G1598" s="1">
        <v>203.94499999999999</v>
      </c>
      <c r="H1598" s="2">
        <v>70760.88</v>
      </c>
      <c r="I1598" s="2">
        <v>-3803.1</v>
      </c>
      <c r="J1598" s="1">
        <v>33266847.309999999</v>
      </c>
      <c r="K1598" s="1">
        <v>1794620.1780000001</v>
      </c>
    </row>
    <row r="1599" spans="1:11">
      <c r="A1599" t="s">
        <v>1</v>
      </c>
      <c r="B1599" s="3">
        <v>41859</v>
      </c>
      <c r="C1599" s="3">
        <v>41859</v>
      </c>
      <c r="D1599" t="s">
        <v>4</v>
      </c>
      <c r="E1599" s="1">
        <v>10.964499999999999</v>
      </c>
      <c r="F1599" s="1">
        <v>69.486999999999995</v>
      </c>
      <c r="G1599" s="1">
        <v>0</v>
      </c>
      <c r="H1599" s="2">
        <v>766.41</v>
      </c>
      <c r="I1599" s="2">
        <v>0</v>
      </c>
      <c r="J1599" s="1">
        <v>1852668.98</v>
      </c>
      <c r="K1599" s="1">
        <v>168969.19899999999</v>
      </c>
    </row>
    <row r="1600" spans="1:11">
      <c r="A1600" t="s">
        <v>1</v>
      </c>
      <c r="B1600" s="3">
        <v>41859</v>
      </c>
      <c r="C1600" s="3">
        <v>41859</v>
      </c>
      <c r="D1600" t="s">
        <v>2</v>
      </c>
      <c r="E1600" s="1">
        <v>16.982800000000001</v>
      </c>
      <c r="F1600" s="1">
        <v>4742.8220000000001</v>
      </c>
      <c r="G1600" s="1">
        <v>1000</v>
      </c>
      <c r="H1600" s="2">
        <v>81021.8</v>
      </c>
      <c r="I1600" s="2">
        <v>-17083.04</v>
      </c>
      <c r="J1600" s="1">
        <v>67295849.540000007</v>
      </c>
      <c r="K1600" s="1">
        <v>3962584.648</v>
      </c>
    </row>
    <row r="1601" spans="1:11">
      <c r="A1601" t="s">
        <v>1</v>
      </c>
      <c r="B1601" s="3">
        <v>41859</v>
      </c>
      <c r="C1601" s="3">
        <v>41859</v>
      </c>
      <c r="D1601" t="s">
        <v>9</v>
      </c>
      <c r="E1601" s="1">
        <v>18.3003</v>
      </c>
      <c r="F1601" s="1">
        <v>0</v>
      </c>
      <c r="G1601" s="1">
        <v>247.44800000000001</v>
      </c>
      <c r="H1601" s="2">
        <v>0</v>
      </c>
      <c r="I1601" s="2">
        <v>-4555.08</v>
      </c>
      <c r="J1601" s="1">
        <v>1079451.55</v>
      </c>
      <c r="K1601" s="1">
        <v>58985.455999999998</v>
      </c>
    </row>
    <row r="1602" spans="1:11">
      <c r="A1602" t="s">
        <v>1</v>
      </c>
      <c r="B1602" s="3">
        <v>41859</v>
      </c>
      <c r="C1602" s="3">
        <v>41859</v>
      </c>
      <c r="D1602" t="s">
        <v>0</v>
      </c>
      <c r="E1602" s="1">
        <v>16.9299</v>
      </c>
      <c r="F1602" s="1">
        <v>3663.377</v>
      </c>
      <c r="G1602" s="1">
        <v>145.196</v>
      </c>
      <c r="H1602" s="2">
        <v>62386.53</v>
      </c>
      <c r="I1602" s="2">
        <v>-2472.67</v>
      </c>
      <c r="J1602" s="1">
        <v>4461401.72</v>
      </c>
      <c r="K1602" s="1">
        <v>263522.67</v>
      </c>
    </row>
    <row r="1603" spans="1:11">
      <c r="A1603" t="s">
        <v>1</v>
      </c>
      <c r="B1603" s="3">
        <v>41862</v>
      </c>
      <c r="C1603" s="3">
        <v>41862</v>
      </c>
      <c r="D1603" t="s">
        <v>7</v>
      </c>
      <c r="E1603" s="1">
        <v>22.781199999999998</v>
      </c>
      <c r="F1603" s="1">
        <v>22257.611000000001</v>
      </c>
      <c r="G1603" s="1">
        <v>16950.210999999999</v>
      </c>
      <c r="H1603" s="2">
        <v>500698.3</v>
      </c>
      <c r="I1603" s="2">
        <v>-381305.17</v>
      </c>
      <c r="J1603" s="1">
        <v>269257827.30000001</v>
      </c>
      <c r="K1603" s="1">
        <v>11819307.024</v>
      </c>
    </row>
    <row r="1604" spans="1:11">
      <c r="A1604" t="s">
        <v>1</v>
      </c>
      <c r="B1604" s="3">
        <v>41862</v>
      </c>
      <c r="C1604" s="3">
        <v>41862</v>
      </c>
      <c r="D1604" t="s">
        <v>12</v>
      </c>
      <c r="E1604" s="1">
        <v>18.064</v>
      </c>
      <c r="F1604" s="1">
        <v>0</v>
      </c>
      <c r="G1604" s="1">
        <v>22076.837</v>
      </c>
      <c r="H1604" s="2">
        <v>0</v>
      </c>
      <c r="I1604" s="2">
        <v>-393844.16</v>
      </c>
      <c r="J1604" s="1">
        <v>8254252.3099999996</v>
      </c>
      <c r="K1604" s="1">
        <v>456946.109</v>
      </c>
    </row>
    <row r="1605" spans="1:11">
      <c r="A1605" t="s">
        <v>1</v>
      </c>
      <c r="B1605" s="3">
        <v>41862</v>
      </c>
      <c r="C1605" s="3">
        <v>41862</v>
      </c>
      <c r="D1605" t="s">
        <v>6</v>
      </c>
      <c r="E1605" s="1">
        <v>18.770099999999999</v>
      </c>
      <c r="F1605" s="1">
        <v>4533.8</v>
      </c>
      <c r="G1605" s="1">
        <v>62091.438999999998</v>
      </c>
      <c r="H1605" s="2">
        <v>84043.05</v>
      </c>
      <c r="I1605" s="2">
        <v>-1150988.94</v>
      </c>
      <c r="J1605" s="1">
        <v>32604753.219999999</v>
      </c>
      <c r="K1605" s="1">
        <v>1737062.5390000001</v>
      </c>
    </row>
    <row r="1606" spans="1:11">
      <c r="A1606" t="s">
        <v>1</v>
      </c>
      <c r="B1606" s="3">
        <v>41862</v>
      </c>
      <c r="C1606" s="3">
        <v>41862</v>
      </c>
      <c r="D1606" t="s">
        <v>5</v>
      </c>
      <c r="E1606" s="1">
        <v>17.586300000000001</v>
      </c>
      <c r="F1606" s="1">
        <v>0</v>
      </c>
      <c r="G1606" s="1">
        <v>43717</v>
      </c>
      <c r="H1606" s="2">
        <v>0</v>
      </c>
      <c r="I1606" s="2">
        <v>-759132.59</v>
      </c>
      <c r="J1606" s="1">
        <v>14849125.619999999</v>
      </c>
      <c r="K1606" s="1">
        <v>844359.68400000001</v>
      </c>
    </row>
    <row r="1607" spans="1:11">
      <c r="A1607" t="s">
        <v>1</v>
      </c>
      <c r="B1607" s="3">
        <v>41862</v>
      </c>
      <c r="C1607" s="3">
        <v>41862</v>
      </c>
      <c r="D1607" t="s">
        <v>2</v>
      </c>
      <c r="E1607" s="1">
        <v>17.1995</v>
      </c>
      <c r="F1607" s="1">
        <v>2050</v>
      </c>
      <c r="G1607" s="1">
        <v>3950</v>
      </c>
      <c r="H1607" s="2">
        <v>34814.74</v>
      </c>
      <c r="I1607" s="2">
        <v>-67082.06</v>
      </c>
      <c r="J1607" s="1">
        <v>68121731.519999996</v>
      </c>
      <c r="K1607" s="1">
        <v>3960684.648</v>
      </c>
    </row>
    <row r="1608" spans="1:11">
      <c r="A1608" t="s">
        <v>1</v>
      </c>
      <c r="B1608" s="3">
        <v>41862</v>
      </c>
      <c r="C1608" s="3">
        <v>41862</v>
      </c>
      <c r="D1608" t="s">
        <v>0</v>
      </c>
      <c r="E1608" s="1">
        <v>17.146100000000001</v>
      </c>
      <c r="F1608" s="1">
        <v>2992.2159999999999</v>
      </c>
      <c r="G1608" s="1">
        <v>3.6909999999999998</v>
      </c>
      <c r="H1608" s="2">
        <v>50657.79</v>
      </c>
      <c r="I1608" s="2">
        <v>-62.48</v>
      </c>
      <c r="J1608" s="1">
        <v>4569616.7300000004</v>
      </c>
      <c r="K1608" s="1">
        <v>266511.19500000001</v>
      </c>
    </row>
    <row r="1609" spans="1:11">
      <c r="A1609" t="s">
        <v>1</v>
      </c>
      <c r="B1609" s="3">
        <v>41863</v>
      </c>
      <c r="C1609" s="3">
        <v>41863</v>
      </c>
      <c r="D1609" t="s">
        <v>7</v>
      </c>
      <c r="E1609" s="1">
        <v>22.791599999999999</v>
      </c>
      <c r="F1609" s="1">
        <v>30983.238000000001</v>
      </c>
      <c r="G1609" s="1">
        <v>3756.2429999999999</v>
      </c>
      <c r="H1609" s="2">
        <v>705835.35</v>
      </c>
      <c r="I1609" s="2">
        <v>-85571.71</v>
      </c>
      <c r="J1609" s="1">
        <v>270002052.73000002</v>
      </c>
      <c r="K1609" s="1">
        <v>11846534.018999999</v>
      </c>
    </row>
    <row r="1610" spans="1:11">
      <c r="A1610" t="s">
        <v>1</v>
      </c>
      <c r="B1610" s="3">
        <v>41863</v>
      </c>
      <c r="C1610" s="3">
        <v>41863</v>
      </c>
      <c r="D1610" t="s">
        <v>12</v>
      </c>
      <c r="E1610" s="1">
        <v>18.0715</v>
      </c>
      <c r="F1610" s="1">
        <v>2366.3609999999999</v>
      </c>
      <c r="G1610" s="1">
        <v>0</v>
      </c>
      <c r="H1610" s="2">
        <v>42745.95</v>
      </c>
      <c r="I1610" s="2">
        <v>0</v>
      </c>
      <c r="J1610" s="1">
        <v>8300468.3099999996</v>
      </c>
      <c r="K1610" s="1">
        <v>459312.47</v>
      </c>
    </row>
    <row r="1611" spans="1:11">
      <c r="A1611" t="s">
        <v>1</v>
      </c>
      <c r="B1611" s="3">
        <v>41863</v>
      </c>
      <c r="C1611" s="3">
        <v>41863</v>
      </c>
      <c r="D1611" t="s">
        <v>6</v>
      </c>
      <c r="E1611" s="1">
        <v>18.777899999999999</v>
      </c>
      <c r="F1611" s="1">
        <v>21206.458999999999</v>
      </c>
      <c r="G1611" s="1">
        <v>5376.82</v>
      </c>
      <c r="H1611" s="2">
        <v>398047.41</v>
      </c>
      <c r="I1611" s="2">
        <v>-100923.45</v>
      </c>
      <c r="J1611" s="1">
        <v>32915637.719999999</v>
      </c>
      <c r="K1611" s="1">
        <v>1752892.1780000001</v>
      </c>
    </row>
    <row r="1612" spans="1:11">
      <c r="A1612" t="s">
        <v>1</v>
      </c>
      <c r="B1612" s="3">
        <v>41863</v>
      </c>
      <c r="C1612" s="3">
        <v>41863</v>
      </c>
      <c r="D1612" t="s">
        <v>10</v>
      </c>
      <c r="E1612" s="1">
        <v>18.069299999999998</v>
      </c>
      <c r="F1612" s="1">
        <v>0</v>
      </c>
      <c r="G1612" s="1">
        <v>134</v>
      </c>
      <c r="H1612" s="2">
        <v>0</v>
      </c>
      <c r="I1612" s="2">
        <v>-2429.88</v>
      </c>
      <c r="J1612" s="1">
        <v>7149615.3200000003</v>
      </c>
      <c r="K1612" s="1">
        <v>395677.33600000001</v>
      </c>
    </row>
    <row r="1613" spans="1:11">
      <c r="A1613" t="s">
        <v>1</v>
      </c>
      <c r="B1613" s="3">
        <v>41863</v>
      </c>
      <c r="C1613" s="3">
        <v>41863</v>
      </c>
      <c r="D1613" t="s">
        <v>5</v>
      </c>
      <c r="E1613" s="1">
        <v>17.5947</v>
      </c>
      <c r="F1613" s="1">
        <v>0</v>
      </c>
      <c r="G1613" s="1">
        <v>16896</v>
      </c>
      <c r="H1613" s="2">
        <v>0</v>
      </c>
      <c r="I1613" s="2">
        <v>-297138.12</v>
      </c>
      <c r="J1613" s="1">
        <v>14558970.6</v>
      </c>
      <c r="K1613" s="1">
        <v>827463.68400000001</v>
      </c>
    </row>
    <row r="1614" spans="1:11">
      <c r="A1614" t="s">
        <v>1</v>
      </c>
      <c r="B1614" s="3">
        <v>41863</v>
      </c>
      <c r="C1614" s="3">
        <v>41863</v>
      </c>
      <c r="D1614" t="s">
        <v>4</v>
      </c>
      <c r="E1614" s="1">
        <v>11.1088</v>
      </c>
      <c r="F1614" s="1">
        <v>89.991</v>
      </c>
      <c r="G1614" s="1">
        <v>0</v>
      </c>
      <c r="H1614" s="2">
        <v>999.23</v>
      </c>
      <c r="I1614" s="2">
        <v>0</v>
      </c>
      <c r="J1614" s="1">
        <v>1878052.64</v>
      </c>
      <c r="K1614" s="1">
        <v>169059.19</v>
      </c>
    </row>
    <row r="1615" spans="1:11">
      <c r="A1615" t="s">
        <v>1</v>
      </c>
      <c r="B1615" s="3">
        <v>41863</v>
      </c>
      <c r="C1615" s="3">
        <v>41863</v>
      </c>
      <c r="D1615" t="s">
        <v>3</v>
      </c>
      <c r="E1615" s="1">
        <v>10.7948</v>
      </c>
      <c r="F1615" s="1">
        <v>7097.1710000000003</v>
      </c>
      <c r="G1615" s="1">
        <v>0</v>
      </c>
      <c r="H1615" s="2">
        <v>76579.88</v>
      </c>
      <c r="I1615" s="2">
        <v>0</v>
      </c>
      <c r="J1615" s="1">
        <v>1876593.81</v>
      </c>
      <c r="K1615" s="1">
        <v>173843.12700000001</v>
      </c>
    </row>
    <row r="1616" spans="1:11">
      <c r="A1616" t="s">
        <v>1</v>
      </c>
      <c r="B1616" s="3">
        <v>41863</v>
      </c>
      <c r="C1616" s="3">
        <v>41863</v>
      </c>
      <c r="D1616" t="s">
        <v>2</v>
      </c>
      <c r="E1616" s="1">
        <v>17.207699999999999</v>
      </c>
      <c r="F1616" s="1">
        <v>18066.001</v>
      </c>
      <c r="G1616" s="1">
        <v>751.99800000000005</v>
      </c>
      <c r="H1616" s="2">
        <v>310726.69</v>
      </c>
      <c r="I1616" s="2">
        <v>-12934.01</v>
      </c>
      <c r="J1616" s="1">
        <v>68452356.900000006</v>
      </c>
      <c r="K1616" s="1">
        <v>3977998.6510000001</v>
      </c>
    </row>
    <row r="1617" spans="1:11">
      <c r="A1617" t="s">
        <v>1</v>
      </c>
      <c r="B1617" s="3">
        <v>41863</v>
      </c>
      <c r="C1617" s="3">
        <v>41863</v>
      </c>
      <c r="D1617" t="s">
        <v>9</v>
      </c>
      <c r="E1617" s="1">
        <v>18.543399999999998</v>
      </c>
      <c r="F1617" s="1">
        <v>13.022</v>
      </c>
      <c r="G1617" s="1">
        <v>32.630000000000003</v>
      </c>
      <c r="H1617" s="2">
        <v>241.35</v>
      </c>
      <c r="I1617" s="2">
        <v>-604.79</v>
      </c>
      <c r="J1617" s="1">
        <v>1093427.8999999999</v>
      </c>
      <c r="K1617" s="1">
        <v>58965.847999999998</v>
      </c>
    </row>
    <row r="1618" spans="1:11">
      <c r="A1618" t="s">
        <v>1</v>
      </c>
      <c r="B1618" s="3">
        <v>41863</v>
      </c>
      <c r="C1618" s="3">
        <v>41863</v>
      </c>
      <c r="D1618" t="s">
        <v>0</v>
      </c>
      <c r="E1618" s="1">
        <v>17.154399999999999</v>
      </c>
      <c r="F1618" s="1">
        <v>4412.4279999999999</v>
      </c>
      <c r="G1618" s="1">
        <v>305.36099999999999</v>
      </c>
      <c r="H1618" s="2">
        <v>75656.2</v>
      </c>
      <c r="I1618" s="2">
        <v>-5235.76</v>
      </c>
      <c r="J1618" s="1">
        <v>4642282.8600000003</v>
      </c>
      <c r="K1618" s="1">
        <v>270618.26199999999</v>
      </c>
    </row>
    <row r="1619" spans="1:11">
      <c r="A1619" t="s">
        <v>1</v>
      </c>
      <c r="B1619" s="3">
        <v>41864</v>
      </c>
      <c r="C1619" s="3">
        <v>41864</v>
      </c>
      <c r="D1619" t="s">
        <v>7</v>
      </c>
      <c r="E1619" s="1">
        <v>22.781300000000002</v>
      </c>
      <c r="F1619" s="1">
        <v>15438.41</v>
      </c>
      <c r="G1619" s="1">
        <v>2816.2829999999999</v>
      </c>
      <c r="H1619" s="2">
        <v>351866.04</v>
      </c>
      <c r="I1619" s="2">
        <v>-64187.58</v>
      </c>
      <c r="J1619" s="1">
        <v>270166540.12</v>
      </c>
      <c r="K1619" s="1">
        <v>11859156.146</v>
      </c>
    </row>
    <row r="1620" spans="1:11">
      <c r="A1620" t="s">
        <v>1</v>
      </c>
      <c r="B1620" s="3">
        <v>41864</v>
      </c>
      <c r="C1620" s="3">
        <v>41864</v>
      </c>
      <c r="D1620" t="s">
        <v>12</v>
      </c>
      <c r="E1620" s="1">
        <v>18.0625</v>
      </c>
      <c r="F1620" s="1">
        <v>0</v>
      </c>
      <c r="G1620" s="1">
        <v>491.983</v>
      </c>
      <c r="H1620" s="2">
        <v>0</v>
      </c>
      <c r="I1620" s="2">
        <v>-8890.8700000000008</v>
      </c>
      <c r="J1620" s="1">
        <v>8287457.5999999996</v>
      </c>
      <c r="K1620" s="1">
        <v>458820.48700000002</v>
      </c>
    </row>
    <row r="1621" spans="1:11">
      <c r="A1621" t="s">
        <v>1</v>
      </c>
      <c r="B1621" s="3">
        <v>41864</v>
      </c>
      <c r="C1621" s="3">
        <v>41864</v>
      </c>
      <c r="D1621" t="s">
        <v>6</v>
      </c>
      <c r="E1621" s="1">
        <v>18.768599999999999</v>
      </c>
      <c r="F1621" s="1">
        <v>287.23500000000001</v>
      </c>
      <c r="G1621" s="1">
        <v>6020.393</v>
      </c>
      <c r="H1621" s="2">
        <v>5393.67</v>
      </c>
      <c r="I1621" s="2">
        <v>-113050.36</v>
      </c>
      <c r="J1621" s="1">
        <v>32791679.710000001</v>
      </c>
      <c r="K1621" s="1">
        <v>1747159.02</v>
      </c>
    </row>
    <row r="1622" spans="1:11">
      <c r="A1622" t="s">
        <v>1</v>
      </c>
      <c r="B1622" s="3">
        <v>41864</v>
      </c>
      <c r="C1622" s="3">
        <v>41864</v>
      </c>
      <c r="D1622" t="s">
        <v>5</v>
      </c>
      <c r="E1622" s="1">
        <v>17.587</v>
      </c>
      <c r="F1622" s="1">
        <v>40481</v>
      </c>
      <c r="G1622" s="1">
        <v>0</v>
      </c>
      <c r="H1622" s="2">
        <v>712251.05</v>
      </c>
      <c r="I1622" s="2">
        <v>0</v>
      </c>
      <c r="J1622" s="1">
        <v>15264575.210000001</v>
      </c>
      <c r="K1622" s="1">
        <v>867944.68400000001</v>
      </c>
    </row>
    <row r="1623" spans="1:11">
      <c r="A1623" t="s">
        <v>1</v>
      </c>
      <c r="B1623" s="3">
        <v>41864</v>
      </c>
      <c r="C1623" s="3">
        <v>41864</v>
      </c>
      <c r="D1623" t="s">
        <v>2</v>
      </c>
      <c r="E1623" s="1">
        <v>17.200199999999999</v>
      </c>
      <c r="F1623" s="1">
        <v>7880.7110000000002</v>
      </c>
      <c r="G1623" s="1">
        <v>0</v>
      </c>
      <c r="H1623" s="2">
        <v>135608.87</v>
      </c>
      <c r="I1623" s="2">
        <v>0</v>
      </c>
      <c r="J1623" s="1">
        <v>68558114.489999995</v>
      </c>
      <c r="K1623" s="1">
        <v>3985879.3620000002</v>
      </c>
    </row>
    <row r="1624" spans="1:11">
      <c r="A1624" t="s">
        <v>1</v>
      </c>
      <c r="B1624" s="3">
        <v>41864</v>
      </c>
      <c r="C1624" s="3">
        <v>41864</v>
      </c>
      <c r="D1624" t="s">
        <v>0</v>
      </c>
      <c r="E1624" s="1">
        <v>17.146999999999998</v>
      </c>
      <c r="F1624" s="1">
        <v>2128.598</v>
      </c>
      <c r="G1624" s="1">
        <v>44.226999999999997</v>
      </c>
      <c r="H1624" s="2">
        <v>36514.699999999997</v>
      </c>
      <c r="I1624" s="2">
        <v>-758.67</v>
      </c>
      <c r="J1624" s="1">
        <v>4676022.1100000003</v>
      </c>
      <c r="K1624" s="1">
        <v>272702.63299999997</v>
      </c>
    </row>
    <row r="1625" spans="1:11">
      <c r="A1625" t="s">
        <v>1</v>
      </c>
      <c r="B1625" s="3">
        <v>41865</v>
      </c>
      <c r="C1625" s="3">
        <v>41865</v>
      </c>
      <c r="D1625" t="s">
        <v>7</v>
      </c>
      <c r="E1625" s="1">
        <v>22.9207</v>
      </c>
      <c r="F1625" s="1">
        <v>50289.874000000003</v>
      </c>
      <c r="G1625" s="1">
        <v>1937.27</v>
      </c>
      <c r="H1625" s="2">
        <v>1145668.68</v>
      </c>
      <c r="I1625" s="2">
        <v>-44133.51</v>
      </c>
      <c r="J1625" s="1">
        <v>272928133.72000003</v>
      </c>
      <c r="K1625" s="1">
        <v>11907508.75</v>
      </c>
    </row>
    <row r="1626" spans="1:11">
      <c r="A1626" t="s">
        <v>1</v>
      </c>
      <c r="B1626" s="3">
        <v>41865</v>
      </c>
      <c r="C1626" s="3">
        <v>41865</v>
      </c>
      <c r="D1626" t="s">
        <v>12</v>
      </c>
      <c r="E1626" s="1">
        <v>18.1723</v>
      </c>
      <c r="F1626" s="1">
        <v>1660.9</v>
      </c>
      <c r="G1626" s="1">
        <v>180.089</v>
      </c>
      <c r="H1626" s="2">
        <v>30000</v>
      </c>
      <c r="I1626" s="2">
        <v>-3252.86</v>
      </c>
      <c r="J1626" s="1">
        <v>8364742.8600000003</v>
      </c>
      <c r="K1626" s="1">
        <v>460301.29800000001</v>
      </c>
    </row>
    <row r="1627" spans="1:11">
      <c r="A1627" t="s">
        <v>1</v>
      </c>
      <c r="B1627" s="3">
        <v>41865</v>
      </c>
      <c r="C1627" s="3">
        <v>41865</v>
      </c>
      <c r="D1627" t="s">
        <v>6</v>
      </c>
      <c r="E1627" s="1">
        <v>18.8827</v>
      </c>
      <c r="F1627" s="1">
        <v>29477.101999999999</v>
      </c>
      <c r="G1627" s="1">
        <v>829.76</v>
      </c>
      <c r="H1627" s="2">
        <v>553243.93999999994</v>
      </c>
      <c r="I1627" s="2">
        <v>-15573.43</v>
      </c>
      <c r="J1627" s="1">
        <v>33531943.59</v>
      </c>
      <c r="K1627" s="1">
        <v>1775806.362</v>
      </c>
    </row>
    <row r="1628" spans="1:11">
      <c r="A1628" t="s">
        <v>1</v>
      </c>
      <c r="B1628" s="3">
        <v>41865</v>
      </c>
      <c r="C1628" s="3">
        <v>41865</v>
      </c>
      <c r="D1628" t="s">
        <v>10</v>
      </c>
      <c r="E1628" s="1">
        <v>18.217400000000001</v>
      </c>
      <c r="F1628" s="1">
        <v>0</v>
      </c>
      <c r="G1628" s="1">
        <v>116751</v>
      </c>
      <c r="H1628" s="2">
        <v>0</v>
      </c>
      <c r="I1628" s="2">
        <v>-2111471.44</v>
      </c>
      <c r="J1628" s="1">
        <v>5081300.24</v>
      </c>
      <c r="K1628" s="1">
        <v>278926.33600000001</v>
      </c>
    </row>
    <row r="1629" spans="1:11">
      <c r="A1629" t="s">
        <v>1</v>
      </c>
      <c r="B1629" s="3">
        <v>41865</v>
      </c>
      <c r="C1629" s="3">
        <v>41865</v>
      </c>
      <c r="D1629" t="s">
        <v>5</v>
      </c>
      <c r="E1629" s="1">
        <v>17.695</v>
      </c>
      <c r="F1629" s="1">
        <v>0</v>
      </c>
      <c r="G1629" s="1">
        <v>51465</v>
      </c>
      <c r="H1629" s="2">
        <v>0</v>
      </c>
      <c r="I1629" s="2">
        <v>-905114.96</v>
      </c>
      <c r="J1629" s="1">
        <v>14447629.800000001</v>
      </c>
      <c r="K1629" s="1">
        <v>816479.68400000001</v>
      </c>
    </row>
    <row r="1630" spans="1:11">
      <c r="A1630" t="s">
        <v>1</v>
      </c>
      <c r="B1630" s="3">
        <v>41865</v>
      </c>
      <c r="C1630" s="3">
        <v>41865</v>
      </c>
      <c r="D1630" t="s">
        <v>2</v>
      </c>
      <c r="E1630" s="1">
        <v>17.305900000000001</v>
      </c>
      <c r="F1630" s="1">
        <v>16203.358</v>
      </c>
      <c r="G1630" s="1">
        <v>421.14800000000002</v>
      </c>
      <c r="H1630" s="2">
        <v>278701.38</v>
      </c>
      <c r="I1630" s="2">
        <v>-7243.85</v>
      </c>
      <c r="J1630" s="1">
        <v>69252197.420000002</v>
      </c>
      <c r="K1630" s="1">
        <v>4001661.5720000002</v>
      </c>
    </row>
    <row r="1631" spans="1:11">
      <c r="A1631" t="s">
        <v>1</v>
      </c>
      <c r="B1631" s="3">
        <v>41865</v>
      </c>
      <c r="C1631" s="3">
        <v>41865</v>
      </c>
      <c r="D1631" t="s">
        <v>0</v>
      </c>
      <c r="E1631" s="1">
        <v>17.252300000000002</v>
      </c>
      <c r="F1631" s="1">
        <v>5285.64</v>
      </c>
      <c r="G1631" s="1">
        <v>53.877000000000002</v>
      </c>
      <c r="H1631" s="2">
        <v>90633.26</v>
      </c>
      <c r="I1631" s="2">
        <v>-923.84</v>
      </c>
      <c r="J1631" s="1">
        <v>4795013.54</v>
      </c>
      <c r="K1631" s="1">
        <v>277934.39600000001</v>
      </c>
    </row>
    <row r="1632" spans="1:11">
      <c r="A1632" t="s">
        <v>1</v>
      </c>
      <c r="B1632" s="3">
        <v>41866</v>
      </c>
      <c r="C1632" s="3">
        <v>41866</v>
      </c>
      <c r="D1632" t="s">
        <v>7</v>
      </c>
      <c r="E1632" s="1">
        <v>23.0411</v>
      </c>
      <c r="F1632" s="1">
        <v>7169.5590000000002</v>
      </c>
      <c r="G1632" s="1">
        <v>6787.7730000000001</v>
      </c>
      <c r="H1632" s="2">
        <v>164331.31</v>
      </c>
      <c r="I1632" s="2">
        <v>-155580.51</v>
      </c>
      <c r="J1632" s="1">
        <v>274370549.48000002</v>
      </c>
      <c r="K1632" s="1">
        <v>11907890.536</v>
      </c>
    </row>
    <row r="1633" spans="1:11">
      <c r="A1633" t="s">
        <v>1</v>
      </c>
      <c r="B1633" s="3">
        <v>41866</v>
      </c>
      <c r="C1633" s="3">
        <v>41866</v>
      </c>
      <c r="D1633" t="s">
        <v>12</v>
      </c>
      <c r="E1633" s="1">
        <v>18.266999999999999</v>
      </c>
      <c r="F1633" s="1">
        <v>0</v>
      </c>
      <c r="G1633" s="1">
        <v>1023.53</v>
      </c>
      <c r="H1633" s="2">
        <v>0</v>
      </c>
      <c r="I1633" s="2">
        <v>-18599.89</v>
      </c>
      <c r="J1633" s="1">
        <v>8389640.0199999996</v>
      </c>
      <c r="K1633" s="1">
        <v>459277.76799999998</v>
      </c>
    </row>
    <row r="1634" spans="1:11">
      <c r="A1634" t="s">
        <v>1</v>
      </c>
      <c r="B1634" s="3">
        <v>41866</v>
      </c>
      <c r="C1634" s="3">
        <v>41866</v>
      </c>
      <c r="D1634" t="s">
        <v>6</v>
      </c>
      <c r="E1634" s="1">
        <v>18.981100000000001</v>
      </c>
      <c r="F1634" s="1">
        <v>6663.2330000000002</v>
      </c>
      <c r="G1634" s="1">
        <v>6196.34</v>
      </c>
      <c r="H1634" s="2">
        <v>125819.83</v>
      </c>
      <c r="I1634" s="2">
        <v>-117003.63</v>
      </c>
      <c r="J1634" s="1">
        <v>33715562.109999999</v>
      </c>
      <c r="K1634" s="1">
        <v>1776273.2549999999</v>
      </c>
    </row>
    <row r="1635" spans="1:11">
      <c r="A1635" t="s">
        <v>1</v>
      </c>
      <c r="B1635" s="3">
        <v>41866</v>
      </c>
      <c r="C1635" s="3">
        <v>41866</v>
      </c>
      <c r="D1635" t="s">
        <v>5</v>
      </c>
      <c r="E1635" s="1">
        <v>17.7883</v>
      </c>
      <c r="F1635" s="1">
        <v>14347</v>
      </c>
      <c r="G1635" s="1">
        <v>0</v>
      </c>
      <c r="H1635" s="2">
        <v>253870.17</v>
      </c>
      <c r="I1635" s="2">
        <v>0</v>
      </c>
      <c r="J1635" s="1">
        <v>14779025.140000001</v>
      </c>
      <c r="K1635" s="1">
        <v>830826.68400000001</v>
      </c>
    </row>
    <row r="1636" spans="1:11">
      <c r="A1636" t="s">
        <v>1</v>
      </c>
      <c r="B1636" s="3">
        <v>41866</v>
      </c>
      <c r="C1636" s="3">
        <v>41866</v>
      </c>
      <c r="D1636" t="s">
        <v>4</v>
      </c>
      <c r="E1636" s="1">
        <v>11.230399999999999</v>
      </c>
      <c r="F1636" s="1">
        <v>53.670999999999999</v>
      </c>
      <c r="G1636" s="1">
        <v>0</v>
      </c>
      <c r="H1636" s="2">
        <v>599.6</v>
      </c>
      <c r="I1636" s="2">
        <v>0</v>
      </c>
      <c r="J1636" s="1">
        <v>1899207.95</v>
      </c>
      <c r="K1636" s="1">
        <v>169112.861</v>
      </c>
    </row>
    <row r="1637" spans="1:11">
      <c r="A1637" t="s">
        <v>1</v>
      </c>
      <c r="B1637" s="3">
        <v>41866</v>
      </c>
      <c r="C1637" s="3">
        <v>41866</v>
      </c>
      <c r="D1637" t="s">
        <v>2</v>
      </c>
      <c r="E1637" s="1">
        <v>17.397099999999998</v>
      </c>
      <c r="F1637" s="1">
        <v>5080.799</v>
      </c>
      <c r="G1637" s="1">
        <v>1032.9749999999999</v>
      </c>
      <c r="H1637" s="2">
        <v>87927.94</v>
      </c>
      <c r="I1637" s="2">
        <v>-17876.580000000002</v>
      </c>
      <c r="J1637" s="1">
        <v>69687804.599999994</v>
      </c>
      <c r="K1637" s="1">
        <v>4005709.3960000002</v>
      </c>
    </row>
    <row r="1638" spans="1:11">
      <c r="A1638" t="s">
        <v>1</v>
      </c>
      <c r="B1638" s="3">
        <v>41866</v>
      </c>
      <c r="C1638" s="3">
        <v>41866</v>
      </c>
      <c r="D1638" t="s">
        <v>0</v>
      </c>
      <c r="E1638" s="1">
        <v>17.343399999999999</v>
      </c>
      <c r="F1638" s="1">
        <v>4718.1390000000001</v>
      </c>
      <c r="G1638" s="1">
        <v>27.225000000000001</v>
      </c>
      <c r="H1638" s="2">
        <v>81399.11</v>
      </c>
      <c r="I1638" s="2">
        <v>-469.7</v>
      </c>
      <c r="J1638" s="1">
        <v>4901675.2300000004</v>
      </c>
      <c r="K1638" s="1">
        <v>282625.31</v>
      </c>
    </row>
    <row r="1639" spans="1:11">
      <c r="A1639" t="s">
        <v>1</v>
      </c>
      <c r="B1639" s="3">
        <v>41869</v>
      </c>
      <c r="C1639" s="3">
        <v>41869</v>
      </c>
      <c r="D1639" t="s">
        <v>7</v>
      </c>
      <c r="E1639" s="1">
        <v>22.973700000000001</v>
      </c>
      <c r="F1639" s="1">
        <v>199.63800000000001</v>
      </c>
      <c r="G1639" s="1">
        <v>4323.6270000000004</v>
      </c>
      <c r="H1639" s="2">
        <v>4599.87</v>
      </c>
      <c r="I1639" s="2">
        <v>-99621.13</v>
      </c>
      <c r="J1639" s="1">
        <v>273473385.80000001</v>
      </c>
      <c r="K1639" s="1">
        <v>11903766.547</v>
      </c>
    </row>
    <row r="1640" spans="1:11">
      <c r="A1640" t="s">
        <v>1</v>
      </c>
      <c r="B1640" s="3">
        <v>41869</v>
      </c>
      <c r="C1640" s="3">
        <v>41869</v>
      </c>
      <c r="D1640" t="s">
        <v>12</v>
      </c>
      <c r="E1640" s="1">
        <v>18.211400000000001</v>
      </c>
      <c r="F1640" s="1">
        <v>0</v>
      </c>
      <c r="G1640" s="1">
        <v>3735.1280000000002</v>
      </c>
      <c r="H1640" s="2">
        <v>0</v>
      </c>
      <c r="I1640" s="2">
        <v>-68229.59</v>
      </c>
      <c r="J1640" s="1">
        <v>8296047.8200000003</v>
      </c>
      <c r="K1640" s="1">
        <v>455542.64</v>
      </c>
    </row>
    <row r="1641" spans="1:11">
      <c r="A1641" t="s">
        <v>1</v>
      </c>
      <c r="B1641" s="3">
        <v>41869</v>
      </c>
      <c r="C1641" s="3">
        <v>41869</v>
      </c>
      <c r="D1641" t="s">
        <v>6</v>
      </c>
      <c r="E1641" s="1">
        <v>18.923200000000001</v>
      </c>
      <c r="F1641" s="1">
        <v>14117.841</v>
      </c>
      <c r="G1641" s="1">
        <v>24888.592000000001</v>
      </c>
      <c r="H1641" s="2">
        <v>267972.09000000003</v>
      </c>
      <c r="I1641" s="2">
        <v>-472412.86</v>
      </c>
      <c r="J1641" s="1">
        <v>33408983.649999999</v>
      </c>
      <c r="K1641" s="1">
        <v>1765502.504</v>
      </c>
    </row>
    <row r="1642" spans="1:11">
      <c r="A1642" t="s">
        <v>1</v>
      </c>
      <c r="B1642" s="3">
        <v>41869</v>
      </c>
      <c r="C1642" s="3">
        <v>41869</v>
      </c>
      <c r="D1642" t="s">
        <v>4</v>
      </c>
      <c r="E1642" s="1">
        <v>11.1976</v>
      </c>
      <c r="F1642" s="1">
        <v>44522.012000000002</v>
      </c>
      <c r="G1642" s="1">
        <v>179.91800000000001</v>
      </c>
      <c r="H1642" s="2">
        <v>500000</v>
      </c>
      <c r="I1642" s="2">
        <v>-2020.55</v>
      </c>
      <c r="J1642" s="1">
        <v>2390176.63</v>
      </c>
      <c r="K1642" s="1">
        <v>213454.95499999999</v>
      </c>
    </row>
    <row r="1643" spans="1:11">
      <c r="A1643" t="s">
        <v>1</v>
      </c>
      <c r="B1643" s="3">
        <v>41869</v>
      </c>
      <c r="C1643" s="3">
        <v>41869</v>
      </c>
      <c r="D1643" t="s">
        <v>3</v>
      </c>
      <c r="E1643" s="1">
        <v>10.878299999999999</v>
      </c>
      <c r="F1643" s="1">
        <v>0</v>
      </c>
      <c r="G1643" s="1">
        <v>5792.6980000000003</v>
      </c>
      <c r="H1643" s="2">
        <v>0</v>
      </c>
      <c r="I1643" s="2">
        <v>-63207.03</v>
      </c>
      <c r="J1643" s="1">
        <v>1828101.52</v>
      </c>
      <c r="K1643" s="1">
        <v>168050.429</v>
      </c>
    </row>
    <row r="1644" spans="1:11">
      <c r="A1644" t="s">
        <v>1</v>
      </c>
      <c r="B1644" s="3">
        <v>41869</v>
      </c>
      <c r="C1644" s="3">
        <v>41869</v>
      </c>
      <c r="D1644" t="s">
        <v>2</v>
      </c>
      <c r="E1644" s="1">
        <v>17.347300000000001</v>
      </c>
      <c r="F1644" s="1">
        <v>0</v>
      </c>
      <c r="G1644" s="1">
        <v>2751.058</v>
      </c>
      <c r="H1644" s="2">
        <v>0</v>
      </c>
      <c r="I1644" s="2">
        <v>-47860.51</v>
      </c>
      <c r="J1644" s="1">
        <v>69440568.930000007</v>
      </c>
      <c r="K1644" s="1">
        <v>4002958.338</v>
      </c>
    </row>
    <row r="1645" spans="1:11">
      <c r="A1645" t="s">
        <v>1</v>
      </c>
      <c r="B1645" s="3">
        <v>41869</v>
      </c>
      <c r="C1645" s="3">
        <v>41869</v>
      </c>
      <c r="D1645" t="s">
        <v>0</v>
      </c>
      <c r="E1645" s="1">
        <v>17.293900000000001</v>
      </c>
      <c r="F1645" s="1">
        <v>4301.4709999999995</v>
      </c>
      <c r="G1645" s="1">
        <v>318.99299999999999</v>
      </c>
      <c r="H1645" s="2">
        <v>74602.12</v>
      </c>
      <c r="I1645" s="2">
        <v>-5532.44</v>
      </c>
      <c r="J1645" s="1">
        <v>4956575.25</v>
      </c>
      <c r="K1645" s="1">
        <v>286607.788</v>
      </c>
    </row>
    <row r="1646" spans="1:11">
      <c r="A1646" t="s">
        <v>1</v>
      </c>
      <c r="B1646" s="3">
        <v>41870</v>
      </c>
      <c r="C1646" s="3">
        <v>41870</v>
      </c>
      <c r="D1646" t="s">
        <v>7</v>
      </c>
      <c r="E1646" s="1">
        <v>23.164400000000001</v>
      </c>
      <c r="F1646" s="1">
        <v>83950.630999999994</v>
      </c>
      <c r="G1646" s="1">
        <v>3573.0929999999998</v>
      </c>
      <c r="H1646" s="2">
        <v>1928656.63</v>
      </c>
      <c r="I1646" s="2">
        <v>-82087.16</v>
      </c>
      <c r="J1646" s="1">
        <v>277605664.88</v>
      </c>
      <c r="K1646" s="1">
        <v>11984144.085000001</v>
      </c>
    </row>
    <row r="1647" spans="1:11">
      <c r="A1647" t="s">
        <v>1</v>
      </c>
      <c r="B1647" s="3">
        <v>41870</v>
      </c>
      <c r="C1647" s="3">
        <v>41870</v>
      </c>
      <c r="D1647" t="s">
        <v>12</v>
      </c>
      <c r="E1647" s="1">
        <v>18.361799999999999</v>
      </c>
      <c r="F1647" s="1">
        <v>6684.6629999999996</v>
      </c>
      <c r="G1647" s="1">
        <v>0</v>
      </c>
      <c r="H1647" s="2">
        <v>121737.08</v>
      </c>
      <c r="I1647" s="2">
        <v>0</v>
      </c>
      <c r="J1647" s="1">
        <v>8487323.4900000002</v>
      </c>
      <c r="K1647" s="1">
        <v>462227.30300000001</v>
      </c>
    </row>
    <row r="1648" spans="1:11">
      <c r="A1648" t="s">
        <v>1</v>
      </c>
      <c r="B1648" s="3">
        <v>41870</v>
      </c>
      <c r="C1648" s="3">
        <v>41870</v>
      </c>
      <c r="D1648" t="s">
        <v>6</v>
      </c>
      <c r="E1648" s="1">
        <v>19.079499999999999</v>
      </c>
      <c r="F1648" s="1">
        <v>96616.168999999994</v>
      </c>
      <c r="G1648" s="1">
        <v>10501.394</v>
      </c>
      <c r="H1648" s="2">
        <v>1828286.98</v>
      </c>
      <c r="I1648" s="2">
        <v>-198719.98</v>
      </c>
      <c r="J1648" s="1">
        <v>35328001.159999996</v>
      </c>
      <c r="K1648" s="1">
        <v>1851617.2790000001</v>
      </c>
    </row>
    <row r="1649" spans="1:11">
      <c r="A1649" t="s">
        <v>1</v>
      </c>
      <c r="B1649" s="3">
        <v>41870</v>
      </c>
      <c r="C1649" s="3">
        <v>41870</v>
      </c>
      <c r="D1649" t="s">
        <v>10</v>
      </c>
      <c r="E1649" s="1">
        <v>18.374700000000001</v>
      </c>
      <c r="F1649" s="1">
        <v>0</v>
      </c>
      <c r="G1649" s="1">
        <v>2940</v>
      </c>
      <c r="H1649" s="2">
        <v>0</v>
      </c>
      <c r="I1649" s="2">
        <v>-53740.45</v>
      </c>
      <c r="J1649" s="1">
        <v>5071153.28</v>
      </c>
      <c r="K1649" s="1">
        <v>275986.33600000001</v>
      </c>
    </row>
    <row r="1650" spans="1:11">
      <c r="A1650" t="s">
        <v>1</v>
      </c>
      <c r="B1650" s="3">
        <v>41870</v>
      </c>
      <c r="C1650" s="3">
        <v>41870</v>
      </c>
      <c r="D1650" t="s">
        <v>5</v>
      </c>
      <c r="E1650" s="1">
        <v>17.885000000000002</v>
      </c>
      <c r="F1650" s="1">
        <v>25370.121999999999</v>
      </c>
      <c r="G1650" s="1">
        <v>0</v>
      </c>
      <c r="H1650" s="2">
        <v>450000</v>
      </c>
      <c r="I1650" s="2">
        <v>0</v>
      </c>
      <c r="J1650" s="1">
        <v>15313105.960000001</v>
      </c>
      <c r="K1650" s="1">
        <v>856196.80599999998</v>
      </c>
    </row>
    <row r="1651" spans="1:11">
      <c r="A1651" t="s">
        <v>1</v>
      </c>
      <c r="B1651" s="3">
        <v>41870</v>
      </c>
      <c r="C1651" s="3">
        <v>41870</v>
      </c>
      <c r="D1651" t="s">
        <v>4</v>
      </c>
      <c r="E1651" s="1">
        <v>11.2905</v>
      </c>
      <c r="F1651" s="1">
        <v>237977.704</v>
      </c>
      <c r="G1651" s="1">
        <v>0</v>
      </c>
      <c r="H1651" s="2">
        <v>2664779.14</v>
      </c>
      <c r="I1651" s="2">
        <v>0</v>
      </c>
      <c r="J1651" s="1">
        <v>5096922.07</v>
      </c>
      <c r="K1651" s="1">
        <v>451432.65899999999</v>
      </c>
    </row>
    <row r="1652" spans="1:11">
      <c r="A1652" t="s">
        <v>1</v>
      </c>
      <c r="B1652" s="3">
        <v>41870</v>
      </c>
      <c r="C1652" s="3">
        <v>41870</v>
      </c>
      <c r="D1652" t="s">
        <v>3</v>
      </c>
      <c r="E1652" s="1">
        <v>10.9682</v>
      </c>
      <c r="F1652" s="1">
        <v>0</v>
      </c>
      <c r="G1652" s="1">
        <v>444.81099999999998</v>
      </c>
      <c r="H1652" s="2">
        <v>0</v>
      </c>
      <c r="I1652" s="2">
        <v>-4838.79</v>
      </c>
      <c r="J1652" s="1">
        <v>1838324.54</v>
      </c>
      <c r="K1652" s="1">
        <v>167605.61799999999</v>
      </c>
    </row>
    <row r="1653" spans="1:11">
      <c r="A1653" t="s">
        <v>1</v>
      </c>
      <c r="B1653" s="3">
        <v>41870</v>
      </c>
      <c r="C1653" s="3">
        <v>41870</v>
      </c>
      <c r="D1653" t="s">
        <v>2</v>
      </c>
      <c r="E1653" s="1">
        <v>17.491700000000002</v>
      </c>
      <c r="F1653" s="1">
        <v>9650.52</v>
      </c>
      <c r="G1653" s="1">
        <v>1400</v>
      </c>
      <c r="H1653" s="2">
        <v>167410.98000000001</v>
      </c>
      <c r="I1653" s="2">
        <v>-24286.3</v>
      </c>
      <c r="J1653" s="1">
        <v>70162808.079999998</v>
      </c>
      <c r="K1653" s="1">
        <v>4011208.858</v>
      </c>
    </row>
    <row r="1654" spans="1:11">
      <c r="A1654" t="s">
        <v>1</v>
      </c>
      <c r="B1654" s="3">
        <v>41870</v>
      </c>
      <c r="C1654" s="3">
        <v>41870</v>
      </c>
      <c r="D1654" t="s">
        <v>0</v>
      </c>
      <c r="E1654" s="1">
        <v>17.437899999999999</v>
      </c>
      <c r="F1654" s="1">
        <v>4959.4880000000003</v>
      </c>
      <c r="G1654" s="1">
        <v>66.683999999999997</v>
      </c>
      <c r="H1654" s="2">
        <v>85768.55</v>
      </c>
      <c r="I1654" s="2">
        <v>-1153.22</v>
      </c>
      <c r="J1654" s="1">
        <v>5083166.8899999997</v>
      </c>
      <c r="K1654" s="1">
        <v>291500.592</v>
      </c>
    </row>
    <row r="1655" spans="1:11">
      <c r="A1655" t="s">
        <v>1</v>
      </c>
      <c r="B1655" s="3">
        <v>41871</v>
      </c>
      <c r="C1655" s="3">
        <v>41871</v>
      </c>
      <c r="D1655" t="s">
        <v>7</v>
      </c>
      <c r="E1655" s="1">
        <v>23.261700000000001</v>
      </c>
      <c r="F1655" s="1">
        <v>10076.618</v>
      </c>
      <c r="G1655" s="1">
        <v>15032.221</v>
      </c>
      <c r="H1655" s="2">
        <v>233418.81</v>
      </c>
      <c r="I1655" s="2">
        <v>-348212.37</v>
      </c>
      <c r="J1655" s="1">
        <v>278656085.26999998</v>
      </c>
      <c r="K1655" s="1">
        <v>11979188.482000001</v>
      </c>
    </row>
    <row r="1656" spans="1:11">
      <c r="A1656" t="s">
        <v>1</v>
      </c>
      <c r="B1656" s="3">
        <v>41871</v>
      </c>
      <c r="C1656" s="3">
        <v>41871</v>
      </c>
      <c r="D1656" t="s">
        <v>6</v>
      </c>
      <c r="E1656" s="1">
        <v>19.158899999999999</v>
      </c>
      <c r="F1656" s="1">
        <v>9614.7260000000006</v>
      </c>
      <c r="G1656" s="1">
        <v>3424.98</v>
      </c>
      <c r="H1656" s="2">
        <v>183444.16</v>
      </c>
      <c r="I1656" s="2">
        <v>-65346.91</v>
      </c>
      <c r="J1656" s="1">
        <v>35593483.68</v>
      </c>
      <c r="K1656" s="1">
        <v>1857807.0249999999</v>
      </c>
    </row>
    <row r="1657" spans="1:11">
      <c r="A1657" t="s">
        <v>1</v>
      </c>
      <c r="B1657" s="3">
        <v>41871</v>
      </c>
      <c r="C1657" s="3">
        <v>41871</v>
      </c>
      <c r="D1657" t="s">
        <v>5</v>
      </c>
      <c r="E1657" s="1">
        <v>17.9605</v>
      </c>
      <c r="F1657" s="1">
        <v>40089.46</v>
      </c>
      <c r="G1657" s="1">
        <v>0</v>
      </c>
      <c r="H1657" s="2">
        <v>717000</v>
      </c>
      <c r="I1657" s="2">
        <v>0</v>
      </c>
      <c r="J1657" s="1">
        <v>16097747.51</v>
      </c>
      <c r="K1657" s="1">
        <v>896286.26599999995</v>
      </c>
    </row>
    <row r="1658" spans="1:11">
      <c r="A1658" t="s">
        <v>1</v>
      </c>
      <c r="B1658" s="3">
        <v>41871</v>
      </c>
      <c r="C1658" s="3">
        <v>41871</v>
      </c>
      <c r="D1658" t="s">
        <v>4</v>
      </c>
      <c r="E1658" s="1">
        <v>11.337999999999999</v>
      </c>
      <c r="F1658" s="1">
        <v>0</v>
      </c>
      <c r="G1658" s="1">
        <v>179.82</v>
      </c>
      <c r="H1658" s="2">
        <v>0</v>
      </c>
      <c r="I1658" s="2">
        <v>-2030.26</v>
      </c>
      <c r="J1658" s="1">
        <v>5116285.79</v>
      </c>
      <c r="K1658" s="1">
        <v>451252.83899999998</v>
      </c>
    </row>
    <row r="1659" spans="1:11">
      <c r="A1659" t="s">
        <v>1</v>
      </c>
      <c r="B1659" s="3">
        <v>41871</v>
      </c>
      <c r="C1659" s="3">
        <v>41871</v>
      </c>
      <c r="D1659" t="s">
        <v>3</v>
      </c>
      <c r="E1659" s="1">
        <v>11.0138</v>
      </c>
      <c r="F1659" s="1">
        <v>0</v>
      </c>
      <c r="G1659" s="1">
        <v>764.654</v>
      </c>
      <c r="H1659" s="2">
        <v>0</v>
      </c>
      <c r="I1659" s="2">
        <v>-8386.8799999999992</v>
      </c>
      <c r="J1659" s="1">
        <v>1837546.57</v>
      </c>
      <c r="K1659" s="1">
        <v>166840.96400000001</v>
      </c>
    </row>
    <row r="1660" spans="1:11">
      <c r="A1660" t="s">
        <v>1</v>
      </c>
      <c r="B1660" s="3">
        <v>41871</v>
      </c>
      <c r="C1660" s="3">
        <v>41871</v>
      </c>
      <c r="D1660" t="s">
        <v>2</v>
      </c>
      <c r="E1660" s="1">
        <v>17.5655</v>
      </c>
      <c r="F1660" s="1">
        <v>3808.3150000000001</v>
      </c>
      <c r="G1660" s="1">
        <v>0</v>
      </c>
      <c r="H1660" s="2">
        <v>66613.98</v>
      </c>
      <c r="I1660" s="2">
        <v>0</v>
      </c>
      <c r="J1660" s="1">
        <v>70525766</v>
      </c>
      <c r="K1660" s="1">
        <v>4015017.173</v>
      </c>
    </row>
    <row r="1661" spans="1:11">
      <c r="A1661" t="s">
        <v>1</v>
      </c>
      <c r="B1661" s="3">
        <v>41871</v>
      </c>
      <c r="C1661" s="3">
        <v>41871</v>
      </c>
      <c r="D1661" t="s">
        <v>9</v>
      </c>
      <c r="E1661" s="1">
        <v>18.930399999999999</v>
      </c>
      <c r="F1661" s="1">
        <v>0</v>
      </c>
      <c r="G1661" s="1">
        <v>698.53</v>
      </c>
      <c r="H1661" s="2">
        <v>0</v>
      </c>
      <c r="I1661" s="2">
        <v>-13167.79</v>
      </c>
      <c r="J1661" s="1">
        <v>1103024.6000000001</v>
      </c>
      <c r="K1661" s="1">
        <v>58267.317999999999</v>
      </c>
    </row>
    <row r="1662" spans="1:11">
      <c r="A1662" t="s">
        <v>1</v>
      </c>
      <c r="B1662" s="3">
        <v>41871</v>
      </c>
      <c r="C1662" s="3">
        <v>41871</v>
      </c>
      <c r="D1662" t="s">
        <v>0</v>
      </c>
      <c r="E1662" s="1">
        <v>17.511600000000001</v>
      </c>
      <c r="F1662" s="1">
        <v>2661.518</v>
      </c>
      <c r="G1662" s="1">
        <v>66.45</v>
      </c>
      <c r="H1662" s="2">
        <v>46411.41</v>
      </c>
      <c r="I1662" s="2">
        <v>-1158.75</v>
      </c>
      <c r="J1662" s="1">
        <v>5150080.79</v>
      </c>
      <c r="K1662" s="1">
        <v>294095.65999999997</v>
      </c>
    </row>
    <row r="1663" spans="1:11">
      <c r="A1663" t="s">
        <v>1</v>
      </c>
      <c r="B1663" s="3">
        <v>41872</v>
      </c>
      <c r="C1663" s="3">
        <v>41872</v>
      </c>
      <c r="D1663" t="s">
        <v>7</v>
      </c>
      <c r="E1663" s="1">
        <v>23.3568</v>
      </c>
      <c r="F1663" s="1">
        <v>174714.27799999999</v>
      </c>
      <c r="G1663" s="1">
        <v>12408.127</v>
      </c>
      <c r="H1663" s="2">
        <v>4064151.13</v>
      </c>
      <c r="I1663" s="2">
        <v>-288634.12</v>
      </c>
      <c r="J1663" s="1">
        <v>283586665.91000003</v>
      </c>
      <c r="K1663" s="1">
        <v>12141494.632999999</v>
      </c>
    </row>
    <row r="1664" spans="1:11">
      <c r="A1664" t="s">
        <v>1</v>
      </c>
      <c r="B1664" s="3">
        <v>41872</v>
      </c>
      <c r="C1664" s="3">
        <v>41872</v>
      </c>
      <c r="D1664" t="s">
        <v>12</v>
      </c>
      <c r="E1664" s="1">
        <v>18.512799999999999</v>
      </c>
      <c r="F1664" s="1">
        <v>0</v>
      </c>
      <c r="G1664" s="1">
        <v>8135.6139999999996</v>
      </c>
      <c r="H1664" s="2">
        <v>0</v>
      </c>
      <c r="I1664" s="2">
        <v>-150005.26</v>
      </c>
      <c r="J1664" s="1">
        <v>8406506.0899999999</v>
      </c>
      <c r="K1664" s="1">
        <v>454091.68900000001</v>
      </c>
    </row>
    <row r="1665" spans="1:11">
      <c r="A1665" t="s">
        <v>1</v>
      </c>
      <c r="B1665" s="3">
        <v>41872</v>
      </c>
      <c r="C1665" s="3">
        <v>41872</v>
      </c>
      <c r="D1665" t="s">
        <v>6</v>
      </c>
      <c r="E1665" s="1">
        <v>19.2364</v>
      </c>
      <c r="F1665" s="1">
        <v>110.824</v>
      </c>
      <c r="G1665" s="1">
        <v>53141.394999999997</v>
      </c>
      <c r="H1665" s="2">
        <v>2123.2600000000002</v>
      </c>
      <c r="I1665" s="2">
        <v>-1018130.66</v>
      </c>
      <c r="J1665" s="1">
        <v>34717467.18</v>
      </c>
      <c r="K1665" s="1">
        <v>1804776.4539999999</v>
      </c>
    </row>
    <row r="1666" spans="1:11">
      <c r="A1666" t="s">
        <v>1</v>
      </c>
      <c r="B1666" s="3">
        <v>41872</v>
      </c>
      <c r="C1666" s="3">
        <v>41872</v>
      </c>
      <c r="D1666" t="s">
        <v>10</v>
      </c>
      <c r="E1666" s="1">
        <v>18.408300000000001</v>
      </c>
      <c r="F1666" s="1">
        <v>4000</v>
      </c>
      <c r="G1666" s="1">
        <v>0</v>
      </c>
      <c r="H1666" s="2">
        <v>73430</v>
      </c>
      <c r="I1666" s="2">
        <v>0</v>
      </c>
      <c r="J1666" s="1">
        <v>5154077.92</v>
      </c>
      <c r="K1666" s="1">
        <v>279986.33600000001</v>
      </c>
    </row>
    <row r="1667" spans="1:11">
      <c r="A1667" t="s">
        <v>1</v>
      </c>
      <c r="B1667" s="3">
        <v>41872</v>
      </c>
      <c r="C1667" s="3">
        <v>41872</v>
      </c>
      <c r="D1667" t="s">
        <v>5</v>
      </c>
      <c r="E1667" s="1">
        <v>18.034300000000002</v>
      </c>
      <c r="F1667" s="1">
        <v>0</v>
      </c>
      <c r="G1667" s="1">
        <v>62005.201000000001</v>
      </c>
      <c r="H1667" s="2">
        <v>0</v>
      </c>
      <c r="I1667" s="2">
        <v>-1113644.4099999999</v>
      </c>
      <c r="J1667" s="1">
        <v>15045691.630000001</v>
      </c>
      <c r="K1667" s="1">
        <v>834281.06499999994</v>
      </c>
    </row>
    <row r="1668" spans="1:11">
      <c r="A1668" t="s">
        <v>1</v>
      </c>
      <c r="B1668" s="3">
        <v>41872</v>
      </c>
      <c r="C1668" s="3">
        <v>41872</v>
      </c>
      <c r="D1668" t="s">
        <v>3</v>
      </c>
      <c r="E1668" s="1">
        <v>11.058400000000001</v>
      </c>
      <c r="F1668" s="1">
        <v>0</v>
      </c>
      <c r="G1668" s="1">
        <v>4890.47</v>
      </c>
      <c r="H1668" s="2">
        <v>0</v>
      </c>
      <c r="I1668" s="2">
        <v>-53862.66</v>
      </c>
      <c r="J1668" s="1">
        <v>1790905.37</v>
      </c>
      <c r="K1668" s="1">
        <v>161950.49400000001</v>
      </c>
    </row>
    <row r="1669" spans="1:11">
      <c r="A1669" t="s">
        <v>1</v>
      </c>
      <c r="B1669" s="3">
        <v>41872</v>
      </c>
      <c r="C1669" s="3">
        <v>41872</v>
      </c>
      <c r="D1669" t="s">
        <v>2</v>
      </c>
      <c r="E1669" s="1">
        <v>17.637699999999999</v>
      </c>
      <c r="F1669" s="1">
        <v>6013.5129999999999</v>
      </c>
      <c r="G1669" s="1">
        <v>1761.77</v>
      </c>
      <c r="H1669" s="2">
        <v>105630.29</v>
      </c>
      <c r="I1669" s="2">
        <v>-30946.36</v>
      </c>
      <c r="J1669" s="1">
        <v>70890636.060000002</v>
      </c>
      <c r="K1669" s="1">
        <v>4019268.9160000002</v>
      </c>
    </row>
    <row r="1670" spans="1:11">
      <c r="A1670" t="s">
        <v>1</v>
      </c>
      <c r="B1670" s="3">
        <v>41872</v>
      </c>
      <c r="C1670" s="3">
        <v>41872</v>
      </c>
      <c r="D1670" t="s">
        <v>9</v>
      </c>
      <c r="E1670" s="1">
        <v>19.008400000000002</v>
      </c>
      <c r="F1670" s="1">
        <v>21.36</v>
      </c>
      <c r="G1670" s="1">
        <v>328.86900000000003</v>
      </c>
      <c r="H1670" s="2">
        <v>404.36</v>
      </c>
      <c r="I1670" s="2">
        <v>-6225.64</v>
      </c>
      <c r="J1670" s="1">
        <v>1101723.77</v>
      </c>
      <c r="K1670" s="1">
        <v>57959.809000000001</v>
      </c>
    </row>
    <row r="1671" spans="1:11">
      <c r="A1671" t="s">
        <v>1</v>
      </c>
      <c r="B1671" s="3">
        <v>41872</v>
      </c>
      <c r="C1671" s="3">
        <v>41872</v>
      </c>
      <c r="D1671" t="s">
        <v>0</v>
      </c>
      <c r="E1671" s="1">
        <v>17.583600000000001</v>
      </c>
      <c r="F1671" s="1">
        <v>3129.2649999999999</v>
      </c>
      <c r="G1671" s="1">
        <v>17.821999999999999</v>
      </c>
      <c r="H1671" s="2">
        <v>54798.37</v>
      </c>
      <c r="I1671" s="2">
        <v>-312.08999999999997</v>
      </c>
      <c r="J1671" s="1">
        <v>5225980.58</v>
      </c>
      <c r="K1671" s="1">
        <v>297207.103</v>
      </c>
    </row>
    <row r="1672" spans="1:11">
      <c r="A1672" t="s">
        <v>1</v>
      </c>
      <c r="B1672" s="3">
        <v>41873</v>
      </c>
      <c r="C1672" s="3">
        <v>41873</v>
      </c>
      <c r="D1672" t="s">
        <v>7</v>
      </c>
      <c r="E1672" s="1">
        <v>23.4666</v>
      </c>
      <c r="F1672" s="1">
        <v>4011.68</v>
      </c>
      <c r="G1672" s="1">
        <v>41334.332999999999</v>
      </c>
      <c r="H1672" s="2">
        <v>93700</v>
      </c>
      <c r="I1672" s="2">
        <v>-965437.75</v>
      </c>
      <c r="J1672" s="1">
        <v>284043624.31</v>
      </c>
      <c r="K1672" s="1">
        <v>12104171.98</v>
      </c>
    </row>
    <row r="1673" spans="1:11">
      <c r="A1673" t="s">
        <v>1</v>
      </c>
      <c r="B1673" s="3">
        <v>41873</v>
      </c>
      <c r="C1673" s="3">
        <v>41873</v>
      </c>
      <c r="D1673" t="s">
        <v>12</v>
      </c>
      <c r="E1673" s="1">
        <v>18.599</v>
      </c>
      <c r="F1673" s="1">
        <v>0</v>
      </c>
      <c r="G1673" s="1">
        <v>1463.6780000000001</v>
      </c>
      <c r="H1673" s="2">
        <v>0</v>
      </c>
      <c r="I1673" s="2">
        <v>-27096.77</v>
      </c>
      <c r="J1673" s="1">
        <v>8418446.2899999991</v>
      </c>
      <c r="K1673" s="1">
        <v>452628.011</v>
      </c>
    </row>
    <row r="1674" spans="1:11">
      <c r="A1674" t="s">
        <v>1</v>
      </c>
      <c r="B1674" s="3">
        <v>41873</v>
      </c>
      <c r="C1674" s="3">
        <v>41873</v>
      </c>
      <c r="D1674" t="s">
        <v>6</v>
      </c>
      <c r="E1674" s="1">
        <v>19.3261</v>
      </c>
      <c r="F1674" s="1">
        <v>8514.2129999999997</v>
      </c>
      <c r="G1674" s="1">
        <v>9781.8559999999998</v>
      </c>
      <c r="H1674" s="2">
        <v>163782.81</v>
      </c>
      <c r="I1674" s="2">
        <v>-188167.7</v>
      </c>
      <c r="J1674" s="1">
        <v>34854706.189999998</v>
      </c>
      <c r="K1674" s="1">
        <v>1803508.811</v>
      </c>
    </row>
    <row r="1675" spans="1:11">
      <c r="A1675" t="s">
        <v>1</v>
      </c>
      <c r="B1675" s="3">
        <v>41873</v>
      </c>
      <c r="C1675" s="3">
        <v>41873</v>
      </c>
      <c r="D1675" t="s">
        <v>11</v>
      </c>
      <c r="E1675" s="1">
        <v>13.3231</v>
      </c>
      <c r="F1675" s="1">
        <v>25.027999999999999</v>
      </c>
      <c r="G1675" s="1">
        <v>0</v>
      </c>
      <c r="H1675" s="2">
        <v>331.88</v>
      </c>
      <c r="I1675" s="2">
        <v>0</v>
      </c>
      <c r="J1675" s="1">
        <v>333.45</v>
      </c>
      <c r="K1675" s="1">
        <v>25.027999999999999</v>
      </c>
    </row>
    <row r="1676" spans="1:11">
      <c r="A1676" t="s">
        <v>1</v>
      </c>
      <c r="B1676" s="3">
        <v>41873</v>
      </c>
      <c r="C1676" s="3">
        <v>41873</v>
      </c>
      <c r="D1676" t="s">
        <v>10</v>
      </c>
      <c r="E1676" s="1">
        <v>18.509499999999999</v>
      </c>
      <c r="F1676" s="1">
        <v>0</v>
      </c>
      <c r="G1676" s="1">
        <v>519.00300000000004</v>
      </c>
      <c r="H1676" s="2">
        <v>0</v>
      </c>
      <c r="I1676" s="2">
        <v>-9553.99</v>
      </c>
      <c r="J1676" s="1">
        <v>5172805.43</v>
      </c>
      <c r="K1676" s="1">
        <v>279467.33299999998</v>
      </c>
    </row>
    <row r="1677" spans="1:11">
      <c r="A1677" t="s">
        <v>1</v>
      </c>
      <c r="B1677" s="3">
        <v>41873</v>
      </c>
      <c r="C1677" s="3">
        <v>41873</v>
      </c>
      <c r="D1677" t="s">
        <v>5</v>
      </c>
      <c r="E1677" s="1">
        <v>18.119499999999999</v>
      </c>
      <c r="F1677" s="1">
        <v>0</v>
      </c>
      <c r="G1677" s="1">
        <v>155242</v>
      </c>
      <c r="H1677" s="2">
        <v>0</v>
      </c>
      <c r="I1677" s="2">
        <v>-2799680.8</v>
      </c>
      <c r="J1677" s="1">
        <v>12303815.949999999</v>
      </c>
      <c r="K1677" s="1">
        <v>679039.06499999994</v>
      </c>
    </row>
    <row r="1678" spans="1:11">
      <c r="A1678" t="s">
        <v>1</v>
      </c>
      <c r="B1678" s="3">
        <v>41873</v>
      </c>
      <c r="C1678" s="3">
        <v>41873</v>
      </c>
      <c r="D1678" t="s">
        <v>14</v>
      </c>
      <c r="E1678" s="1">
        <v>11.2842</v>
      </c>
      <c r="F1678" s="1">
        <v>0</v>
      </c>
      <c r="G1678" s="1">
        <v>204.55799999999999</v>
      </c>
      <c r="H1678" s="2">
        <v>0</v>
      </c>
      <c r="I1678" s="2">
        <v>-2297.58</v>
      </c>
      <c r="J1678" s="1">
        <v>477260.86</v>
      </c>
      <c r="K1678" s="1">
        <v>42294.574999999997</v>
      </c>
    </row>
    <row r="1679" spans="1:11">
      <c r="A1679" t="s">
        <v>1</v>
      </c>
      <c r="B1679" s="3">
        <v>41873</v>
      </c>
      <c r="C1679" s="3">
        <v>41873</v>
      </c>
      <c r="D1679" t="s">
        <v>2</v>
      </c>
      <c r="E1679" s="1">
        <v>17.7209</v>
      </c>
      <c r="F1679" s="1">
        <v>3013.2179999999998</v>
      </c>
      <c r="G1679" s="1">
        <v>453.50099999999998</v>
      </c>
      <c r="H1679" s="2">
        <v>53146.1</v>
      </c>
      <c r="I1679" s="2">
        <v>-7998.69</v>
      </c>
      <c r="J1679" s="1">
        <v>71270623.180000007</v>
      </c>
      <c r="K1679" s="1">
        <v>4021828.6329999999</v>
      </c>
    </row>
    <row r="1680" spans="1:11">
      <c r="A1680" t="s">
        <v>1</v>
      </c>
      <c r="B1680" s="3">
        <v>41873</v>
      </c>
      <c r="C1680" s="3">
        <v>41873</v>
      </c>
      <c r="D1680" t="s">
        <v>0</v>
      </c>
      <c r="E1680" s="1">
        <v>17.666699999999999</v>
      </c>
      <c r="F1680" s="1">
        <v>1754.8209999999999</v>
      </c>
      <c r="G1680" s="1">
        <v>21.437000000000001</v>
      </c>
      <c r="H1680" s="2">
        <v>30856.03</v>
      </c>
      <c r="I1680" s="2">
        <v>-376.95</v>
      </c>
      <c r="J1680" s="1">
        <v>5281293.43</v>
      </c>
      <c r="K1680" s="1">
        <v>298940.48700000002</v>
      </c>
    </row>
    <row r="1681" spans="1:11">
      <c r="A1681" t="s">
        <v>1</v>
      </c>
      <c r="B1681" s="3">
        <v>41876</v>
      </c>
      <c r="C1681" s="3">
        <v>41876</v>
      </c>
      <c r="D1681" t="s">
        <v>7</v>
      </c>
      <c r="E1681" s="1">
        <v>23.429300000000001</v>
      </c>
      <c r="F1681" s="1">
        <v>605836.85499999998</v>
      </c>
      <c r="G1681" s="1">
        <v>9553.2780000000002</v>
      </c>
      <c r="H1681" s="2">
        <v>14216931.140000001</v>
      </c>
      <c r="I1681" s="2">
        <v>-224182.95</v>
      </c>
      <c r="J1681" s="1">
        <v>297562437.58999997</v>
      </c>
      <c r="K1681" s="1">
        <v>12700455.557</v>
      </c>
    </row>
    <row r="1682" spans="1:11">
      <c r="A1682" t="s">
        <v>1</v>
      </c>
      <c r="B1682" s="3">
        <v>41876</v>
      </c>
      <c r="C1682" s="3">
        <v>41876</v>
      </c>
      <c r="D1682" t="s">
        <v>12</v>
      </c>
      <c r="E1682" s="1">
        <v>18.5672</v>
      </c>
      <c r="F1682" s="1">
        <v>0</v>
      </c>
      <c r="G1682" s="1">
        <v>5140.0870000000004</v>
      </c>
      <c r="H1682" s="2">
        <v>0</v>
      </c>
      <c r="I1682" s="2">
        <v>-95600.48</v>
      </c>
      <c r="J1682" s="1">
        <v>8308584.7800000003</v>
      </c>
      <c r="K1682" s="1">
        <v>447487.924</v>
      </c>
    </row>
    <row r="1683" spans="1:11">
      <c r="A1683" t="s">
        <v>1</v>
      </c>
      <c r="B1683" s="3">
        <v>41876</v>
      </c>
      <c r="C1683" s="3">
        <v>41876</v>
      </c>
      <c r="D1683" t="s">
        <v>6</v>
      </c>
      <c r="E1683" s="1">
        <v>19.292899999999999</v>
      </c>
      <c r="F1683" s="1">
        <v>5.0670000000000002</v>
      </c>
      <c r="G1683" s="1">
        <v>27242.399000000001</v>
      </c>
      <c r="H1683" s="2">
        <v>97.93</v>
      </c>
      <c r="I1683" s="2">
        <v>-526489.30000000005</v>
      </c>
      <c r="J1683" s="1">
        <v>34269493.969999999</v>
      </c>
      <c r="K1683" s="1">
        <v>1776271.4790000001</v>
      </c>
    </row>
    <row r="1684" spans="1:11">
      <c r="A1684" t="s">
        <v>1</v>
      </c>
      <c r="B1684" s="3">
        <v>41876</v>
      </c>
      <c r="C1684" s="3">
        <v>41876</v>
      </c>
      <c r="D1684" t="s">
        <v>4</v>
      </c>
      <c r="E1684" s="1">
        <v>11.419600000000001</v>
      </c>
      <c r="F1684" s="1">
        <v>66.995000000000005</v>
      </c>
      <c r="G1684" s="1">
        <v>0</v>
      </c>
      <c r="H1684" s="2">
        <v>766.28</v>
      </c>
      <c r="I1684" s="2">
        <v>0</v>
      </c>
      <c r="J1684" s="1">
        <v>5153911.17</v>
      </c>
      <c r="K1684" s="1">
        <v>451319.83399999997</v>
      </c>
    </row>
    <row r="1685" spans="1:11">
      <c r="A1685" t="s">
        <v>1</v>
      </c>
      <c r="B1685" s="3">
        <v>41876</v>
      </c>
      <c r="C1685" s="3">
        <v>41876</v>
      </c>
      <c r="D1685" t="s">
        <v>3</v>
      </c>
      <c r="E1685" s="1">
        <v>11.0908</v>
      </c>
      <c r="F1685" s="1">
        <v>373.57400000000001</v>
      </c>
      <c r="G1685" s="1">
        <v>0</v>
      </c>
      <c r="H1685" s="2">
        <v>4150.37</v>
      </c>
      <c r="I1685" s="2">
        <v>0</v>
      </c>
      <c r="J1685" s="1">
        <v>1800308.88</v>
      </c>
      <c r="K1685" s="1">
        <v>162324.068</v>
      </c>
    </row>
    <row r="1686" spans="1:11">
      <c r="A1686" t="s">
        <v>1</v>
      </c>
      <c r="B1686" s="3">
        <v>41876</v>
      </c>
      <c r="C1686" s="3">
        <v>41876</v>
      </c>
      <c r="D1686" t="s">
        <v>2</v>
      </c>
      <c r="E1686" s="1">
        <v>17.693899999999999</v>
      </c>
      <c r="F1686" s="1">
        <v>4587.9570000000003</v>
      </c>
      <c r="G1686" s="1">
        <v>0</v>
      </c>
      <c r="H1686" s="2">
        <v>81303.009999999995</v>
      </c>
      <c r="I1686" s="2">
        <v>0</v>
      </c>
      <c r="J1686" s="1">
        <v>71242861.349999994</v>
      </c>
      <c r="K1686" s="1">
        <v>4026416.59</v>
      </c>
    </row>
    <row r="1687" spans="1:11">
      <c r="A1687" t="s">
        <v>1</v>
      </c>
      <c r="B1687" s="3">
        <v>41876</v>
      </c>
      <c r="C1687" s="3">
        <v>41876</v>
      </c>
      <c r="D1687" t="s">
        <v>0</v>
      </c>
      <c r="E1687" s="1">
        <v>17.639900000000001</v>
      </c>
      <c r="F1687" s="1">
        <v>2503.8580000000002</v>
      </c>
      <c r="G1687" s="1">
        <v>33.854999999999997</v>
      </c>
      <c r="H1687" s="2">
        <v>44235.05</v>
      </c>
      <c r="I1687" s="2">
        <v>-598.11</v>
      </c>
      <c r="J1687" s="1">
        <v>5316856.62</v>
      </c>
      <c r="K1687" s="1">
        <v>301410.49</v>
      </c>
    </row>
    <row r="1688" spans="1:11">
      <c r="A1688" t="s">
        <v>1</v>
      </c>
      <c r="B1688" s="3">
        <v>41877</v>
      </c>
      <c r="C1688" s="3">
        <v>41877</v>
      </c>
      <c r="D1688" t="s">
        <v>7</v>
      </c>
      <c r="E1688" s="1">
        <v>23.567399999999999</v>
      </c>
      <c r="F1688" s="1">
        <v>92946.769</v>
      </c>
      <c r="G1688" s="1">
        <v>6761.8069999999998</v>
      </c>
      <c r="H1688" s="2">
        <v>2177677.7000000002</v>
      </c>
      <c r="I1688" s="2">
        <v>-158424.39000000001</v>
      </c>
      <c r="J1688" s="1">
        <v>301348188.11000001</v>
      </c>
      <c r="K1688" s="1">
        <v>12786640.518999999</v>
      </c>
    </row>
    <row r="1689" spans="1:11">
      <c r="A1689" t="s">
        <v>1</v>
      </c>
      <c r="B1689" s="3">
        <v>41877</v>
      </c>
      <c r="C1689" s="3">
        <v>41877</v>
      </c>
      <c r="D1689" t="s">
        <v>12</v>
      </c>
      <c r="E1689" s="1">
        <v>18.675899999999999</v>
      </c>
      <c r="F1689" s="1">
        <v>3781.277</v>
      </c>
      <c r="G1689" s="1">
        <v>0</v>
      </c>
      <c r="H1689" s="2">
        <v>70207.73</v>
      </c>
      <c r="I1689" s="2">
        <v>0</v>
      </c>
      <c r="J1689" s="1">
        <v>8427854.1300000008</v>
      </c>
      <c r="K1689" s="1">
        <v>451269.201</v>
      </c>
    </row>
    <row r="1690" spans="1:11">
      <c r="A1690" t="s">
        <v>1</v>
      </c>
      <c r="B1690" s="3">
        <v>41877</v>
      </c>
      <c r="C1690" s="3">
        <v>41877</v>
      </c>
      <c r="D1690" t="s">
        <v>6</v>
      </c>
      <c r="E1690" s="1">
        <v>19.405899999999999</v>
      </c>
      <c r="F1690" s="1">
        <v>69939.726999999999</v>
      </c>
      <c r="G1690" s="1">
        <v>192.59399999999999</v>
      </c>
      <c r="H1690" s="2">
        <v>1349340.19</v>
      </c>
      <c r="I1690" s="2">
        <v>-3715.7</v>
      </c>
      <c r="J1690" s="1">
        <v>35823661.020000003</v>
      </c>
      <c r="K1690" s="1">
        <v>1846018.612</v>
      </c>
    </row>
    <row r="1691" spans="1:11">
      <c r="A1691" t="s">
        <v>1</v>
      </c>
      <c r="B1691" s="3">
        <v>41877</v>
      </c>
      <c r="C1691" s="3">
        <v>41877</v>
      </c>
      <c r="D1691" t="s">
        <v>10</v>
      </c>
      <c r="E1691" s="1">
        <v>18.487400000000001</v>
      </c>
      <c r="F1691" s="1">
        <v>5744.98</v>
      </c>
      <c r="G1691" s="1">
        <v>0</v>
      </c>
      <c r="H1691" s="2">
        <v>105604</v>
      </c>
      <c r="I1691" s="2">
        <v>0</v>
      </c>
      <c r="J1691" s="1">
        <v>5272831.0999999996</v>
      </c>
      <c r="K1691" s="1">
        <v>285212.31300000002</v>
      </c>
    </row>
    <row r="1692" spans="1:11">
      <c r="A1692" t="s">
        <v>1</v>
      </c>
      <c r="B1692" s="3">
        <v>41877</v>
      </c>
      <c r="C1692" s="3">
        <v>41877</v>
      </c>
      <c r="D1692" t="s">
        <v>4</v>
      </c>
      <c r="E1692" s="1">
        <v>11.487</v>
      </c>
      <c r="F1692" s="1">
        <v>8.7520000000000007</v>
      </c>
      <c r="G1692" s="1">
        <v>9.0709999999999997</v>
      </c>
      <c r="H1692" s="2">
        <v>99.94</v>
      </c>
      <c r="I1692" s="2">
        <v>-103.59</v>
      </c>
      <c r="J1692" s="1">
        <v>5184297.78</v>
      </c>
      <c r="K1692" s="1">
        <v>451319.51500000001</v>
      </c>
    </row>
    <row r="1693" spans="1:11">
      <c r="A1693" t="s">
        <v>1</v>
      </c>
      <c r="B1693" s="3">
        <v>41877</v>
      </c>
      <c r="C1693" s="3">
        <v>41877</v>
      </c>
      <c r="D1693" t="s">
        <v>2</v>
      </c>
      <c r="E1693" s="1">
        <v>17.7986</v>
      </c>
      <c r="F1693" s="1">
        <v>1850</v>
      </c>
      <c r="G1693" s="1">
        <v>0</v>
      </c>
      <c r="H1693" s="2">
        <v>32733.62</v>
      </c>
      <c r="I1693" s="2">
        <v>0</v>
      </c>
      <c r="J1693" s="1">
        <v>71697339.420000002</v>
      </c>
      <c r="K1693" s="1">
        <v>4028266.59</v>
      </c>
    </row>
    <row r="1694" spans="1:11">
      <c r="A1694" t="s">
        <v>1</v>
      </c>
      <c r="B1694" s="3">
        <v>41878</v>
      </c>
      <c r="C1694" s="3">
        <v>41878</v>
      </c>
      <c r="D1694" t="s">
        <v>7</v>
      </c>
      <c r="E1694" s="1">
        <v>23.562999999999999</v>
      </c>
      <c r="F1694" s="1">
        <v>27143.266</v>
      </c>
      <c r="G1694" s="1">
        <v>4625.41</v>
      </c>
      <c r="H1694" s="2">
        <v>639696.22</v>
      </c>
      <c r="I1694" s="2">
        <v>-109008.89</v>
      </c>
      <c r="J1694" s="1">
        <v>301822307.38</v>
      </c>
      <c r="K1694" s="1">
        <v>12809158.375</v>
      </c>
    </row>
    <row r="1695" spans="1:11">
      <c r="A1695" t="s">
        <v>1</v>
      </c>
      <c r="B1695" s="3">
        <v>41878</v>
      </c>
      <c r="C1695" s="3">
        <v>41878</v>
      </c>
      <c r="D1695" t="s">
        <v>12</v>
      </c>
      <c r="E1695" s="1">
        <v>18.671600000000002</v>
      </c>
      <c r="F1695" s="1">
        <v>0</v>
      </c>
      <c r="G1695" s="1">
        <v>1525.3109999999999</v>
      </c>
      <c r="H1695" s="2">
        <v>0</v>
      </c>
      <c r="I1695" s="2">
        <v>-28486.560000000001</v>
      </c>
      <c r="J1695" s="1">
        <v>8397448.4700000007</v>
      </c>
      <c r="K1695" s="1">
        <v>449743.89</v>
      </c>
    </row>
    <row r="1696" spans="1:11">
      <c r="A1696" t="s">
        <v>1</v>
      </c>
      <c r="B1696" s="3">
        <v>41878</v>
      </c>
      <c r="C1696" s="3">
        <v>41878</v>
      </c>
      <c r="D1696" t="s">
        <v>6</v>
      </c>
      <c r="E1696" s="1">
        <v>19.401499999999999</v>
      </c>
      <c r="F1696" s="1">
        <v>338.65199999999999</v>
      </c>
      <c r="G1696" s="1">
        <v>16566.037</v>
      </c>
      <c r="H1696" s="2">
        <v>6571.84</v>
      </c>
      <c r="I1696" s="2">
        <v>-321478.86</v>
      </c>
      <c r="J1696" s="1">
        <v>35500640.859999999</v>
      </c>
      <c r="K1696" s="1">
        <v>1829791.227</v>
      </c>
    </row>
    <row r="1697" spans="1:11">
      <c r="A1697" t="s">
        <v>1</v>
      </c>
      <c r="B1697" s="3">
        <v>41878</v>
      </c>
      <c r="C1697" s="3">
        <v>41878</v>
      </c>
      <c r="D1697" t="s">
        <v>4</v>
      </c>
      <c r="E1697" s="1">
        <v>11.4848</v>
      </c>
      <c r="F1697" s="1">
        <v>29.03</v>
      </c>
      <c r="G1697" s="1">
        <v>0</v>
      </c>
      <c r="H1697" s="2">
        <v>333.47</v>
      </c>
      <c r="I1697" s="2">
        <v>0</v>
      </c>
      <c r="J1697" s="1">
        <v>5183659.74</v>
      </c>
      <c r="K1697" s="1">
        <v>451348.54499999998</v>
      </c>
    </row>
    <row r="1698" spans="1:11">
      <c r="A1698" t="s">
        <v>1</v>
      </c>
      <c r="B1698" s="3">
        <v>41878</v>
      </c>
      <c r="C1698" s="3">
        <v>41878</v>
      </c>
      <c r="D1698" t="s">
        <v>3</v>
      </c>
      <c r="E1698" s="1">
        <v>11.1532</v>
      </c>
      <c r="F1698" s="1">
        <v>0</v>
      </c>
      <c r="G1698" s="1">
        <v>771.06</v>
      </c>
      <c r="H1698" s="2">
        <v>0</v>
      </c>
      <c r="I1698" s="2">
        <v>-8601.7900000000009</v>
      </c>
      <c r="J1698" s="1">
        <v>1801836.92</v>
      </c>
      <c r="K1698" s="1">
        <v>161553.008</v>
      </c>
    </row>
    <row r="1699" spans="1:11">
      <c r="A1699" t="s">
        <v>1</v>
      </c>
      <c r="B1699" s="3">
        <v>41878</v>
      </c>
      <c r="C1699" s="3">
        <v>41878</v>
      </c>
      <c r="D1699" t="s">
        <v>2</v>
      </c>
      <c r="E1699" s="1">
        <v>17.7956</v>
      </c>
      <c r="F1699" s="1">
        <v>6238.652</v>
      </c>
      <c r="G1699" s="1">
        <v>0</v>
      </c>
      <c r="H1699" s="2">
        <v>111039.1</v>
      </c>
      <c r="I1699" s="2">
        <v>0</v>
      </c>
      <c r="J1699" s="1">
        <v>71796398.099999994</v>
      </c>
      <c r="K1699" s="1">
        <v>4034505.2420000001</v>
      </c>
    </row>
    <row r="1700" spans="1:11">
      <c r="A1700" t="s">
        <v>1</v>
      </c>
      <c r="B1700" s="3">
        <v>41878</v>
      </c>
      <c r="C1700" s="3">
        <v>41878</v>
      </c>
      <c r="D1700" t="s">
        <v>0</v>
      </c>
      <c r="E1700" s="1">
        <v>17.741499999999998</v>
      </c>
      <c r="F1700" s="1">
        <v>5138.5410000000002</v>
      </c>
      <c r="G1700" s="1">
        <v>92.947999999999993</v>
      </c>
      <c r="H1700" s="2">
        <v>91180.22</v>
      </c>
      <c r="I1700" s="2">
        <v>-1649.31</v>
      </c>
      <c r="J1700" s="1">
        <v>5436984.8300000001</v>
      </c>
      <c r="K1700" s="1">
        <v>306456.08299999998</v>
      </c>
    </row>
    <row r="1701" spans="1:11">
      <c r="A1701" t="s">
        <v>1</v>
      </c>
      <c r="B1701" s="3">
        <v>41879</v>
      </c>
      <c r="C1701" s="3">
        <v>41879</v>
      </c>
      <c r="D1701" t="s">
        <v>7</v>
      </c>
      <c r="E1701" s="1">
        <v>23.567299999999999</v>
      </c>
      <c r="F1701" s="1">
        <v>18162.157999999999</v>
      </c>
      <c r="G1701" s="1">
        <v>13530.25</v>
      </c>
      <c r="H1701" s="2">
        <v>427954.94</v>
      </c>
      <c r="I1701" s="2">
        <v>-318813.26</v>
      </c>
      <c r="J1701" s="1">
        <v>301986227.94</v>
      </c>
      <c r="K1701" s="1">
        <v>12813790.283</v>
      </c>
    </row>
    <row r="1702" spans="1:11">
      <c r="A1702" t="s">
        <v>1</v>
      </c>
      <c r="B1702" s="3">
        <v>41879</v>
      </c>
      <c r="C1702" s="3">
        <v>41879</v>
      </c>
      <c r="D1702" t="s">
        <v>12</v>
      </c>
      <c r="E1702" s="1">
        <v>18.674199999999999</v>
      </c>
      <c r="F1702" s="1">
        <v>0</v>
      </c>
      <c r="G1702" s="1">
        <v>2673.9360000000001</v>
      </c>
      <c r="H1702" s="2">
        <v>0</v>
      </c>
      <c r="I1702" s="2">
        <v>-49926.67</v>
      </c>
      <c r="J1702" s="1">
        <v>8348693.2300000004</v>
      </c>
      <c r="K1702" s="1">
        <v>447069.95400000003</v>
      </c>
    </row>
    <row r="1703" spans="1:11">
      <c r="A1703" t="s">
        <v>1</v>
      </c>
      <c r="B1703" s="3">
        <v>41879</v>
      </c>
      <c r="C1703" s="3">
        <v>41879</v>
      </c>
      <c r="D1703" t="s">
        <v>6</v>
      </c>
      <c r="E1703" s="1">
        <v>19.404199999999999</v>
      </c>
      <c r="F1703" s="1">
        <v>1315.6110000000001</v>
      </c>
      <c r="G1703" s="1">
        <v>40016.614999999998</v>
      </c>
      <c r="H1703" s="2">
        <v>25524.83</v>
      </c>
      <c r="I1703" s="2">
        <v>-776382.34</v>
      </c>
      <c r="J1703" s="1">
        <v>34754659.880000003</v>
      </c>
      <c r="K1703" s="1">
        <v>1791090.223</v>
      </c>
    </row>
    <row r="1704" spans="1:11">
      <c r="A1704" t="s">
        <v>1</v>
      </c>
      <c r="B1704" s="3">
        <v>41879</v>
      </c>
      <c r="C1704" s="3">
        <v>41879</v>
      </c>
      <c r="D1704" t="s">
        <v>11</v>
      </c>
      <c r="E1704" s="1">
        <v>13.3809</v>
      </c>
      <c r="F1704" s="1">
        <v>29.850999999999999</v>
      </c>
      <c r="G1704" s="1">
        <v>0</v>
      </c>
      <c r="H1704" s="2">
        <v>399.36</v>
      </c>
      <c r="I1704" s="2">
        <v>0</v>
      </c>
      <c r="J1704" s="1">
        <v>734.33</v>
      </c>
      <c r="K1704" s="1">
        <v>54.878999999999998</v>
      </c>
    </row>
    <row r="1705" spans="1:11">
      <c r="A1705" t="s">
        <v>1</v>
      </c>
      <c r="B1705" s="3">
        <v>41879</v>
      </c>
      <c r="C1705" s="3">
        <v>41879</v>
      </c>
      <c r="D1705" t="s">
        <v>4</v>
      </c>
      <c r="E1705" s="1">
        <v>11.4869</v>
      </c>
      <c r="F1705" s="1">
        <v>1192897</v>
      </c>
      <c r="G1705" s="1">
        <v>0</v>
      </c>
      <c r="H1705" s="2">
        <v>13700183.470000001</v>
      </c>
      <c r="I1705" s="2">
        <v>0</v>
      </c>
      <c r="J1705" s="1">
        <v>18887269.280000001</v>
      </c>
      <c r="K1705" s="1">
        <v>1644245.5449999999</v>
      </c>
    </row>
    <row r="1706" spans="1:11">
      <c r="A1706" t="s">
        <v>1</v>
      </c>
      <c r="B1706" s="3">
        <v>41879</v>
      </c>
      <c r="C1706" s="3">
        <v>41879</v>
      </c>
      <c r="D1706" t="s">
        <v>2</v>
      </c>
      <c r="E1706" s="1">
        <v>17.799199999999999</v>
      </c>
      <c r="F1706" s="1">
        <v>4437.2299999999996</v>
      </c>
      <c r="G1706" s="1">
        <v>1049.4169999999999</v>
      </c>
      <c r="H1706" s="2">
        <v>78963.38</v>
      </c>
      <c r="I1706" s="2">
        <v>-18675.05</v>
      </c>
      <c r="J1706" s="1">
        <v>71871199.780000001</v>
      </c>
      <c r="K1706" s="1">
        <v>4037893.0550000002</v>
      </c>
    </row>
    <row r="1707" spans="1:11">
      <c r="A1707" t="s">
        <v>1</v>
      </c>
      <c r="B1707" s="3">
        <v>41879</v>
      </c>
      <c r="C1707" s="3">
        <v>41879</v>
      </c>
      <c r="D1707" t="s">
        <v>0</v>
      </c>
      <c r="E1707" s="1">
        <v>17.745100000000001</v>
      </c>
      <c r="F1707" s="1">
        <v>3491.0219999999999</v>
      </c>
      <c r="G1707" s="1">
        <v>196.59299999999999</v>
      </c>
      <c r="H1707" s="2">
        <v>61935.72</v>
      </c>
      <c r="I1707" s="2">
        <v>-3487.85</v>
      </c>
      <c r="J1707" s="1">
        <v>5496565.2400000002</v>
      </c>
      <c r="K1707" s="1">
        <v>309750.51199999999</v>
      </c>
    </row>
    <row r="1708" spans="1:11">
      <c r="A1708" t="s">
        <v>1</v>
      </c>
      <c r="B1708" s="3">
        <v>41880</v>
      </c>
      <c r="C1708" s="3">
        <v>41880</v>
      </c>
      <c r="D1708" t="s">
        <v>7</v>
      </c>
      <c r="E1708" s="1">
        <v>23.521100000000001</v>
      </c>
      <c r="F1708" s="1">
        <v>6160.3429999999998</v>
      </c>
      <c r="G1708" s="1">
        <v>83182.929000000004</v>
      </c>
      <c r="H1708" s="2">
        <v>145182.64000000001</v>
      </c>
      <c r="I1708" s="2">
        <v>-1960397.05</v>
      </c>
      <c r="J1708" s="1">
        <v>299582635.43000001</v>
      </c>
      <c r="K1708" s="1">
        <v>12736767.697000001</v>
      </c>
    </row>
    <row r="1709" spans="1:11">
      <c r="A1709" t="s">
        <v>1</v>
      </c>
      <c r="B1709" s="3">
        <v>41880</v>
      </c>
      <c r="C1709" s="3">
        <v>41880</v>
      </c>
      <c r="D1709" t="s">
        <v>12</v>
      </c>
      <c r="E1709" s="1">
        <v>18.636900000000001</v>
      </c>
      <c r="F1709" s="1">
        <v>0</v>
      </c>
      <c r="G1709" s="1">
        <v>8700.9840000000004</v>
      </c>
      <c r="H1709" s="2">
        <v>0</v>
      </c>
      <c r="I1709" s="2">
        <v>-162483.93</v>
      </c>
      <c r="J1709" s="1">
        <v>8169826.7400000002</v>
      </c>
      <c r="K1709" s="1">
        <v>438368.97</v>
      </c>
    </row>
    <row r="1710" spans="1:11">
      <c r="A1710" t="s">
        <v>1</v>
      </c>
      <c r="B1710" s="3">
        <v>41880</v>
      </c>
      <c r="C1710" s="3">
        <v>41880</v>
      </c>
      <c r="D1710" t="s">
        <v>6</v>
      </c>
      <c r="E1710" s="1">
        <v>19.365400000000001</v>
      </c>
      <c r="F1710" s="1">
        <v>121.08499999999999</v>
      </c>
      <c r="G1710" s="1">
        <v>11520.652</v>
      </c>
      <c r="H1710" s="2">
        <v>2349.56</v>
      </c>
      <c r="I1710" s="2">
        <v>-223549.05</v>
      </c>
      <c r="J1710" s="1">
        <v>34464350.710000001</v>
      </c>
      <c r="K1710" s="1">
        <v>1779690.656</v>
      </c>
    </row>
    <row r="1711" spans="1:11">
      <c r="A1711" t="s">
        <v>1</v>
      </c>
      <c r="B1711" s="3">
        <v>41880</v>
      </c>
      <c r="C1711" s="3">
        <v>41880</v>
      </c>
      <c r="D1711" t="s">
        <v>10</v>
      </c>
      <c r="E1711" s="1">
        <v>18.433800000000002</v>
      </c>
      <c r="F1711" s="1">
        <v>0</v>
      </c>
      <c r="G1711" s="1">
        <v>4000</v>
      </c>
      <c r="H1711" s="2">
        <v>0</v>
      </c>
      <c r="I1711" s="2">
        <v>-73813.17</v>
      </c>
      <c r="J1711" s="1">
        <v>5183816.17</v>
      </c>
      <c r="K1711" s="1">
        <v>281212.31300000002</v>
      </c>
    </row>
    <row r="1712" spans="1:11">
      <c r="A1712" t="s">
        <v>1</v>
      </c>
      <c r="B1712" s="3">
        <v>41880</v>
      </c>
      <c r="C1712" s="3">
        <v>41880</v>
      </c>
      <c r="D1712" t="s">
        <v>5</v>
      </c>
      <c r="E1712" s="1">
        <v>18.164100000000001</v>
      </c>
      <c r="F1712" s="1">
        <v>139459.10200000001</v>
      </c>
      <c r="G1712" s="1">
        <v>0</v>
      </c>
      <c r="H1712" s="2">
        <v>2538071.98</v>
      </c>
      <c r="I1712" s="2">
        <v>0</v>
      </c>
      <c r="J1712" s="1">
        <v>14867313.67</v>
      </c>
      <c r="K1712" s="1">
        <v>818498.16700000002</v>
      </c>
    </row>
    <row r="1713" spans="1:11">
      <c r="A1713" t="s">
        <v>1</v>
      </c>
      <c r="B1713" s="3">
        <v>41880</v>
      </c>
      <c r="C1713" s="3">
        <v>41880</v>
      </c>
      <c r="D1713" t="s">
        <v>4</v>
      </c>
      <c r="E1713" s="1">
        <v>11.464399999999999</v>
      </c>
      <c r="F1713" s="1">
        <v>52.32</v>
      </c>
      <c r="G1713" s="1">
        <v>1512.0519999999999</v>
      </c>
      <c r="H1713" s="2">
        <v>601</v>
      </c>
      <c r="I1713" s="2">
        <v>-17368.79</v>
      </c>
      <c r="J1713" s="1">
        <v>18833512.609999999</v>
      </c>
      <c r="K1713" s="1">
        <v>1642785.8130000001</v>
      </c>
    </row>
    <row r="1714" spans="1:11">
      <c r="A1714" t="s">
        <v>1</v>
      </c>
      <c r="B1714" s="3">
        <v>41880</v>
      </c>
      <c r="C1714" s="3">
        <v>41880</v>
      </c>
      <c r="D1714" t="s">
        <v>2</v>
      </c>
      <c r="E1714" s="1">
        <v>17.764700000000001</v>
      </c>
      <c r="F1714" s="1">
        <v>21167.446</v>
      </c>
      <c r="G1714" s="1">
        <v>10270</v>
      </c>
      <c r="H1714" s="2">
        <v>376764.76</v>
      </c>
      <c r="I1714" s="2">
        <v>-182798.34</v>
      </c>
      <c r="J1714" s="1">
        <v>71925388.959999993</v>
      </c>
      <c r="K1714" s="1">
        <v>4048790.5010000002</v>
      </c>
    </row>
    <row r="1715" spans="1:11">
      <c r="A1715" t="s">
        <v>1</v>
      </c>
      <c r="B1715" s="3">
        <v>41880</v>
      </c>
      <c r="C1715" s="3">
        <v>41880</v>
      </c>
      <c r="D1715" t="s">
        <v>0</v>
      </c>
      <c r="E1715" s="1">
        <v>17.710799999999999</v>
      </c>
      <c r="F1715" s="1">
        <v>3882.0880000000002</v>
      </c>
      <c r="G1715" s="1">
        <v>54.215000000000003</v>
      </c>
      <c r="H1715" s="2">
        <v>68887.81</v>
      </c>
      <c r="I1715" s="2">
        <v>-962.04</v>
      </c>
      <c r="J1715" s="1">
        <v>5553721.0199999996</v>
      </c>
      <c r="K1715" s="1">
        <v>313578.38500000001</v>
      </c>
    </row>
    <row r="1716" spans="1:11">
      <c r="A1716" t="s">
        <v>1</v>
      </c>
      <c r="B1716" s="3">
        <v>41884</v>
      </c>
      <c r="C1716" s="3">
        <v>41884</v>
      </c>
      <c r="D1716" t="s">
        <v>7</v>
      </c>
      <c r="E1716" s="1">
        <v>23.572700000000001</v>
      </c>
      <c r="F1716" s="1">
        <v>82604.142999999996</v>
      </c>
      <c r="G1716" s="1">
        <v>15498.989</v>
      </c>
      <c r="H1716" s="2">
        <v>1942940.32</v>
      </c>
      <c r="I1716" s="2">
        <v>-364553.27</v>
      </c>
      <c r="J1716" s="1">
        <v>301822484.95999998</v>
      </c>
      <c r="K1716" s="1">
        <v>12803872.851</v>
      </c>
    </row>
    <row r="1717" spans="1:11">
      <c r="A1717" t="s">
        <v>1</v>
      </c>
      <c r="B1717" s="3">
        <v>41884</v>
      </c>
      <c r="C1717" s="3">
        <v>41884</v>
      </c>
      <c r="D1717" t="s">
        <v>12</v>
      </c>
      <c r="E1717" s="1">
        <v>18.674700000000001</v>
      </c>
      <c r="F1717" s="1">
        <v>899.84900000000005</v>
      </c>
      <c r="G1717" s="1">
        <v>0</v>
      </c>
      <c r="H1717" s="2">
        <v>16770.39</v>
      </c>
      <c r="I1717" s="2">
        <v>0</v>
      </c>
      <c r="J1717" s="1">
        <v>8203232.25</v>
      </c>
      <c r="K1717" s="1">
        <v>439268.81900000002</v>
      </c>
    </row>
    <row r="1718" spans="1:11">
      <c r="A1718" t="s">
        <v>1</v>
      </c>
      <c r="B1718" s="3">
        <v>41884</v>
      </c>
      <c r="C1718" s="3">
        <v>41884</v>
      </c>
      <c r="D1718" t="s">
        <v>6</v>
      </c>
      <c r="E1718" s="1">
        <v>19.404699999999998</v>
      </c>
      <c r="F1718" s="1">
        <v>19201.421999999999</v>
      </c>
      <c r="G1718" s="1">
        <v>2172.71</v>
      </c>
      <c r="H1718" s="2">
        <v>371843.22</v>
      </c>
      <c r="I1718" s="2">
        <v>-42075.4</v>
      </c>
      <c r="J1718" s="1">
        <v>34864819.869999997</v>
      </c>
      <c r="K1718" s="1">
        <v>1796719.368</v>
      </c>
    </row>
    <row r="1719" spans="1:11">
      <c r="A1719" t="s">
        <v>1</v>
      </c>
      <c r="B1719" s="3">
        <v>41884</v>
      </c>
      <c r="C1719" s="3">
        <v>41884</v>
      </c>
      <c r="D1719" t="s">
        <v>10</v>
      </c>
      <c r="E1719" s="1">
        <v>18.374700000000001</v>
      </c>
      <c r="F1719" s="1">
        <v>61287.811999999998</v>
      </c>
      <c r="G1719" s="1">
        <v>0</v>
      </c>
      <c r="H1719" s="2">
        <v>1129769.1100000001</v>
      </c>
      <c r="I1719" s="2">
        <v>0</v>
      </c>
      <c r="J1719" s="1">
        <v>6293332.25</v>
      </c>
      <c r="K1719" s="1">
        <v>342500.125</v>
      </c>
    </row>
    <row r="1720" spans="1:11">
      <c r="A1720" t="s">
        <v>1</v>
      </c>
      <c r="B1720" s="3">
        <v>41884</v>
      </c>
      <c r="C1720" s="3">
        <v>41884</v>
      </c>
      <c r="D1720" t="s">
        <v>2</v>
      </c>
      <c r="E1720" s="1">
        <v>17.805099999999999</v>
      </c>
      <c r="F1720" s="1">
        <v>9514.857</v>
      </c>
      <c r="G1720" s="1">
        <v>2580</v>
      </c>
      <c r="H1720" s="2">
        <v>169029.14</v>
      </c>
      <c r="I1720" s="2">
        <v>-45833.1</v>
      </c>
      <c r="J1720" s="1">
        <v>72212752.5</v>
      </c>
      <c r="K1720" s="1">
        <v>4055725.358</v>
      </c>
    </row>
    <row r="1721" spans="1:11">
      <c r="A1721" t="s">
        <v>1</v>
      </c>
      <c r="B1721" s="3">
        <v>41884</v>
      </c>
      <c r="C1721" s="3">
        <v>41884</v>
      </c>
      <c r="D1721" t="s">
        <v>0</v>
      </c>
      <c r="E1721" s="1">
        <v>17.7514</v>
      </c>
      <c r="F1721" s="1">
        <v>3355.0659999999998</v>
      </c>
      <c r="G1721" s="1">
        <v>27.879000000000001</v>
      </c>
      <c r="H1721" s="2">
        <v>59421.01</v>
      </c>
      <c r="I1721" s="2">
        <v>-493.76</v>
      </c>
      <c r="J1721" s="1">
        <v>5625529.3399999999</v>
      </c>
      <c r="K1721" s="1">
        <v>316905.57199999999</v>
      </c>
    </row>
    <row r="1722" spans="1:11">
      <c r="A1722" t="s">
        <v>1</v>
      </c>
      <c r="B1722" s="3">
        <v>41885</v>
      </c>
      <c r="C1722" s="3">
        <v>41885</v>
      </c>
      <c r="D1722" t="s">
        <v>7</v>
      </c>
      <c r="E1722" s="1">
        <v>23.562899999999999</v>
      </c>
      <c r="F1722" s="1">
        <v>71919.778000000006</v>
      </c>
      <c r="G1722" s="1">
        <v>16843.146000000001</v>
      </c>
      <c r="H1722" s="2">
        <v>1695343.31</v>
      </c>
      <c r="I1722" s="2">
        <v>-397038.41</v>
      </c>
      <c r="J1722" s="1">
        <v>302994279.13999999</v>
      </c>
      <c r="K1722" s="1">
        <v>12858949.482999999</v>
      </c>
    </row>
    <row r="1723" spans="1:11">
      <c r="A1723" t="s">
        <v>1</v>
      </c>
      <c r="B1723" s="3">
        <v>41885</v>
      </c>
      <c r="C1723" s="3">
        <v>41885</v>
      </c>
      <c r="D1723" t="s">
        <v>12</v>
      </c>
      <c r="E1723" s="1">
        <v>18.6662</v>
      </c>
      <c r="F1723" s="1">
        <v>9800.5329999999994</v>
      </c>
      <c r="G1723" s="1">
        <v>2202.2429999999999</v>
      </c>
      <c r="H1723" s="2">
        <v>183022.01</v>
      </c>
      <c r="I1723" s="2">
        <v>-41126.230000000003</v>
      </c>
      <c r="J1723" s="1">
        <v>8341302.1600000001</v>
      </c>
      <c r="K1723" s="1">
        <v>446867.109</v>
      </c>
    </row>
    <row r="1724" spans="1:11">
      <c r="A1724" t="s">
        <v>1</v>
      </c>
      <c r="B1724" s="3">
        <v>41885</v>
      </c>
      <c r="C1724" s="3">
        <v>41885</v>
      </c>
      <c r="D1724" t="s">
        <v>6</v>
      </c>
      <c r="E1724" s="1">
        <v>19.395800000000001</v>
      </c>
      <c r="F1724" s="1">
        <v>41961.03</v>
      </c>
      <c r="G1724" s="1">
        <v>3018.8229999999999</v>
      </c>
      <c r="H1724" s="2">
        <v>814241.07</v>
      </c>
      <c r="I1724" s="2">
        <v>-58579.35</v>
      </c>
      <c r="J1724" s="1">
        <v>35604151.130000003</v>
      </c>
      <c r="K1724" s="1">
        <v>1835661.575</v>
      </c>
    </row>
    <row r="1725" spans="1:11">
      <c r="A1725" t="s">
        <v>1</v>
      </c>
      <c r="B1725" s="3">
        <v>41885</v>
      </c>
      <c r="C1725" s="3">
        <v>41885</v>
      </c>
      <c r="D1725" t="s">
        <v>5</v>
      </c>
      <c r="E1725" s="1">
        <v>18.1983</v>
      </c>
      <c r="F1725" s="1">
        <v>133776</v>
      </c>
      <c r="G1725" s="1">
        <v>0</v>
      </c>
      <c r="H1725" s="2">
        <v>2435458.9700000002</v>
      </c>
      <c r="I1725" s="2">
        <v>0</v>
      </c>
      <c r="J1725" s="1">
        <v>17329769.390000001</v>
      </c>
      <c r="K1725" s="1">
        <v>952274.16700000002</v>
      </c>
    </row>
    <row r="1726" spans="1:11">
      <c r="A1726" t="s">
        <v>1</v>
      </c>
      <c r="B1726" s="3">
        <v>41885</v>
      </c>
      <c r="C1726" s="3">
        <v>41885</v>
      </c>
      <c r="D1726" t="s">
        <v>2</v>
      </c>
      <c r="E1726" s="1">
        <v>17.798100000000002</v>
      </c>
      <c r="F1726" s="1">
        <v>21266.495999999999</v>
      </c>
      <c r="G1726" s="1">
        <v>770</v>
      </c>
      <c r="H1726" s="2">
        <v>378653.79</v>
      </c>
      <c r="I1726" s="2">
        <v>-13709.98</v>
      </c>
      <c r="J1726" s="1">
        <v>72548896.540000007</v>
      </c>
      <c r="K1726" s="1">
        <v>4076221.8539999998</v>
      </c>
    </row>
    <row r="1727" spans="1:11">
      <c r="A1727" t="s">
        <v>1</v>
      </c>
      <c r="B1727" s="3">
        <v>41885</v>
      </c>
      <c r="C1727" s="3">
        <v>41885</v>
      </c>
      <c r="D1727" t="s">
        <v>9</v>
      </c>
      <c r="E1727" s="1">
        <v>19.183599999999998</v>
      </c>
      <c r="F1727" s="1">
        <v>0</v>
      </c>
      <c r="G1727" s="1">
        <v>25.378</v>
      </c>
      <c r="H1727" s="2">
        <v>0</v>
      </c>
      <c r="I1727" s="2">
        <v>-487.03</v>
      </c>
      <c r="J1727" s="1">
        <v>1111390.8899999999</v>
      </c>
      <c r="K1727" s="1">
        <v>57934.430999999997</v>
      </c>
    </row>
    <row r="1728" spans="1:11">
      <c r="A1728" t="s">
        <v>1</v>
      </c>
      <c r="B1728" s="3">
        <v>41885</v>
      </c>
      <c r="C1728" s="3">
        <v>41885</v>
      </c>
      <c r="D1728" t="s">
        <v>0</v>
      </c>
      <c r="E1728" s="1">
        <v>17.744499999999999</v>
      </c>
      <c r="F1728" s="1">
        <v>6198.6859999999997</v>
      </c>
      <c r="G1728" s="1">
        <v>26.204999999999998</v>
      </c>
      <c r="H1728" s="2">
        <v>110035.57</v>
      </c>
      <c r="I1728" s="2">
        <v>-465.17</v>
      </c>
      <c r="J1728" s="1">
        <v>5732847.54</v>
      </c>
      <c r="K1728" s="1">
        <v>323078.05300000001</v>
      </c>
    </row>
    <row r="1729" spans="1:11">
      <c r="A1729" t="s">
        <v>1</v>
      </c>
      <c r="B1729" s="3">
        <v>41886</v>
      </c>
      <c r="C1729" s="3">
        <v>41886</v>
      </c>
      <c r="D1729" t="s">
        <v>7</v>
      </c>
      <c r="E1729" s="1">
        <v>23.6311</v>
      </c>
      <c r="F1729" s="1">
        <v>41128.616999999998</v>
      </c>
      <c r="G1729" s="1">
        <v>3578.9650000000001</v>
      </c>
      <c r="H1729" s="2">
        <v>969109.49</v>
      </c>
      <c r="I1729" s="2">
        <v>-84330.81</v>
      </c>
      <c r="J1729" s="1">
        <v>304757947.19999999</v>
      </c>
      <c r="K1729" s="1">
        <v>12896499.135</v>
      </c>
    </row>
    <row r="1730" spans="1:11">
      <c r="A1730" t="s">
        <v>1</v>
      </c>
      <c r="B1730" s="3">
        <v>41886</v>
      </c>
      <c r="C1730" s="3">
        <v>41886</v>
      </c>
      <c r="D1730" t="s">
        <v>12</v>
      </c>
      <c r="E1730" s="1">
        <v>18.7194</v>
      </c>
      <c r="F1730" s="1">
        <v>274.66699999999997</v>
      </c>
      <c r="G1730" s="1">
        <v>0</v>
      </c>
      <c r="H1730" s="2">
        <v>5126.9799999999996</v>
      </c>
      <c r="I1730" s="2">
        <v>0</v>
      </c>
      <c r="J1730" s="1">
        <v>8370225.9800000004</v>
      </c>
      <c r="K1730" s="1">
        <v>447141.77600000001</v>
      </c>
    </row>
    <row r="1731" spans="1:11">
      <c r="A1731" t="s">
        <v>1</v>
      </c>
      <c r="B1731" s="3">
        <v>41886</v>
      </c>
      <c r="C1731" s="3">
        <v>41886</v>
      </c>
      <c r="D1731" t="s">
        <v>6</v>
      </c>
      <c r="E1731" s="1">
        <v>19.4511</v>
      </c>
      <c r="F1731" s="1">
        <v>48446.656999999999</v>
      </c>
      <c r="G1731" s="1">
        <v>6210.6229999999996</v>
      </c>
      <c r="H1731" s="2">
        <v>939661.44</v>
      </c>
      <c r="I1731" s="2">
        <v>-120460.01</v>
      </c>
      <c r="J1731" s="1">
        <v>36527200.579999998</v>
      </c>
      <c r="K1731" s="1">
        <v>1877897.6089999999</v>
      </c>
    </row>
    <row r="1732" spans="1:11">
      <c r="A1732" t="s">
        <v>1</v>
      </c>
      <c r="B1732" s="3">
        <v>41886</v>
      </c>
      <c r="C1732" s="3">
        <v>41886</v>
      </c>
      <c r="D1732" t="s">
        <v>10</v>
      </c>
      <c r="E1732" s="1">
        <v>18.435700000000001</v>
      </c>
      <c r="F1732" s="1">
        <v>28500</v>
      </c>
      <c r="G1732" s="1">
        <v>0</v>
      </c>
      <c r="H1732" s="2">
        <v>524728.76</v>
      </c>
      <c r="I1732" s="2">
        <v>0</v>
      </c>
      <c r="J1732" s="1">
        <v>6839643.1299999999</v>
      </c>
      <c r="K1732" s="1">
        <v>371000.125</v>
      </c>
    </row>
    <row r="1733" spans="1:11">
      <c r="A1733" t="s">
        <v>1</v>
      </c>
      <c r="B1733" s="3">
        <v>41886</v>
      </c>
      <c r="C1733" s="3">
        <v>41886</v>
      </c>
      <c r="D1733" t="s">
        <v>5</v>
      </c>
      <c r="E1733" s="1">
        <v>18.251300000000001</v>
      </c>
      <c r="F1733" s="1">
        <v>0</v>
      </c>
      <c r="G1733" s="1">
        <v>254116</v>
      </c>
      <c r="H1733" s="2">
        <v>0</v>
      </c>
      <c r="I1733" s="2">
        <v>-4624479.2</v>
      </c>
      <c r="J1733" s="1">
        <v>12742297.949999999</v>
      </c>
      <c r="K1733" s="1">
        <v>698158.16700000002</v>
      </c>
    </row>
    <row r="1734" spans="1:11">
      <c r="A1734" t="s">
        <v>1</v>
      </c>
      <c r="B1734" s="3">
        <v>41886</v>
      </c>
      <c r="C1734" s="3">
        <v>41886</v>
      </c>
      <c r="D1734" t="s">
        <v>3</v>
      </c>
      <c r="E1734" s="1">
        <v>11.181800000000001</v>
      </c>
      <c r="F1734" s="1">
        <v>0</v>
      </c>
      <c r="G1734" s="1">
        <v>1246.232</v>
      </c>
      <c r="H1734" s="2">
        <v>0</v>
      </c>
      <c r="I1734" s="2">
        <v>-13895.49</v>
      </c>
      <c r="J1734" s="1">
        <v>1792512.33</v>
      </c>
      <c r="K1734" s="1">
        <v>160306.77600000001</v>
      </c>
    </row>
    <row r="1735" spans="1:11">
      <c r="A1735" t="s">
        <v>1</v>
      </c>
      <c r="B1735" s="3">
        <v>41886</v>
      </c>
      <c r="C1735" s="3">
        <v>41886</v>
      </c>
      <c r="D1735" t="s">
        <v>2</v>
      </c>
      <c r="E1735" s="1">
        <v>17.849900000000002</v>
      </c>
      <c r="F1735" s="1">
        <v>9865.1980000000003</v>
      </c>
      <c r="G1735" s="1">
        <v>4665</v>
      </c>
      <c r="H1735" s="2">
        <v>175582.24</v>
      </c>
      <c r="I1735" s="2">
        <v>-83028.36</v>
      </c>
      <c r="J1735" s="1">
        <v>72853039.140000001</v>
      </c>
      <c r="K1735" s="1">
        <v>4081422.0520000001</v>
      </c>
    </row>
    <row r="1736" spans="1:11">
      <c r="A1736" t="s">
        <v>1</v>
      </c>
      <c r="B1736" s="3">
        <v>41886</v>
      </c>
      <c r="C1736" s="3">
        <v>41886</v>
      </c>
      <c r="D1736" t="s">
        <v>0</v>
      </c>
      <c r="E1736" s="1">
        <v>17.796199999999999</v>
      </c>
      <c r="F1736" s="1">
        <v>3762.0369999999998</v>
      </c>
      <c r="G1736" s="1">
        <v>94.492000000000004</v>
      </c>
      <c r="H1736" s="2">
        <v>66755.34</v>
      </c>
      <c r="I1736" s="2">
        <v>-1676.72</v>
      </c>
      <c r="J1736" s="1">
        <v>5814838.0499999998</v>
      </c>
      <c r="K1736" s="1">
        <v>326745.598</v>
      </c>
    </row>
    <row r="1737" spans="1:11">
      <c r="A1737" t="s">
        <v>1</v>
      </c>
      <c r="B1737" s="3">
        <v>41887</v>
      </c>
      <c r="C1737" s="3">
        <v>41887</v>
      </c>
      <c r="D1737" t="s">
        <v>8</v>
      </c>
      <c r="E1737" s="1">
        <v>19.061399999999999</v>
      </c>
      <c r="F1737" s="1">
        <v>13919.593000000001</v>
      </c>
      <c r="G1737" s="1">
        <v>117410.40300000001</v>
      </c>
      <c r="H1737" s="2">
        <v>266016.88</v>
      </c>
      <c r="I1737" s="2">
        <v>-2243826.27</v>
      </c>
      <c r="J1737" s="1">
        <v>3899540.24</v>
      </c>
      <c r="K1737" s="1">
        <v>204577.511</v>
      </c>
    </row>
    <row r="1738" spans="1:11">
      <c r="A1738" t="s">
        <v>1</v>
      </c>
      <c r="B1738" s="3">
        <v>41887</v>
      </c>
      <c r="C1738" s="3">
        <v>41887</v>
      </c>
      <c r="D1738" t="s">
        <v>7</v>
      </c>
      <c r="E1738" s="1">
        <v>23.569700000000001</v>
      </c>
      <c r="F1738" s="1">
        <v>23759.974999999999</v>
      </c>
      <c r="G1738" s="1">
        <v>30671.494999999999</v>
      </c>
      <c r="H1738" s="2">
        <v>561474.36</v>
      </c>
      <c r="I1738" s="2">
        <v>-724801.15</v>
      </c>
      <c r="J1738" s="1">
        <v>303803703.30000001</v>
      </c>
      <c r="K1738" s="1">
        <v>12889587.615</v>
      </c>
    </row>
    <row r="1739" spans="1:11">
      <c r="A1739" t="s">
        <v>1</v>
      </c>
      <c r="B1739" s="3">
        <v>41887</v>
      </c>
      <c r="C1739" s="3">
        <v>41887</v>
      </c>
      <c r="D1739" t="s">
        <v>12</v>
      </c>
      <c r="E1739" s="1">
        <v>18.670000000000002</v>
      </c>
      <c r="F1739" s="1">
        <v>0</v>
      </c>
      <c r="G1739" s="1">
        <v>12634.022000000001</v>
      </c>
      <c r="H1739" s="2">
        <v>0</v>
      </c>
      <c r="I1739" s="2">
        <v>-236501.33</v>
      </c>
      <c r="J1739" s="1">
        <v>8112270.1799999997</v>
      </c>
      <c r="K1739" s="1">
        <v>434507.75400000002</v>
      </c>
    </row>
    <row r="1740" spans="1:11">
      <c r="A1740" t="s">
        <v>1</v>
      </c>
      <c r="B1740" s="3">
        <v>41887</v>
      </c>
      <c r="C1740" s="3">
        <v>41887</v>
      </c>
      <c r="D1740" t="s">
        <v>6</v>
      </c>
      <c r="E1740" s="1">
        <v>19.399799999999999</v>
      </c>
      <c r="F1740" s="1">
        <v>0</v>
      </c>
      <c r="G1740" s="1">
        <v>43921.947</v>
      </c>
      <c r="H1740" s="2">
        <v>0</v>
      </c>
      <c r="I1740" s="2">
        <v>-854330.13</v>
      </c>
      <c r="J1740" s="1">
        <v>35578775.469999999</v>
      </c>
      <c r="K1740" s="1">
        <v>1833975.662</v>
      </c>
    </row>
    <row r="1741" spans="1:11">
      <c r="A1741" t="s">
        <v>1</v>
      </c>
      <c r="B1741" s="3">
        <v>41887</v>
      </c>
      <c r="C1741" s="3">
        <v>41887</v>
      </c>
      <c r="D1741" t="s">
        <v>5</v>
      </c>
      <c r="E1741" s="1">
        <v>18.2043</v>
      </c>
      <c r="F1741" s="1">
        <v>0</v>
      </c>
      <c r="G1741" s="1">
        <v>83397</v>
      </c>
      <c r="H1741" s="2">
        <v>0</v>
      </c>
      <c r="I1741" s="2">
        <v>-1522103.67</v>
      </c>
      <c r="J1741" s="1">
        <v>11191290.24</v>
      </c>
      <c r="K1741" s="1">
        <v>614761.16700000002</v>
      </c>
    </row>
    <row r="1742" spans="1:11">
      <c r="A1742" t="s">
        <v>1</v>
      </c>
      <c r="B1742" s="3">
        <v>41887</v>
      </c>
      <c r="C1742" s="3">
        <v>41887</v>
      </c>
      <c r="D1742" t="s">
        <v>4</v>
      </c>
      <c r="E1742" s="1">
        <v>11.488099999999999</v>
      </c>
      <c r="F1742" s="1">
        <v>4429.0309999999999</v>
      </c>
      <c r="G1742" s="1">
        <v>1077</v>
      </c>
      <c r="H1742" s="2">
        <v>51013.58</v>
      </c>
      <c r="I1742" s="2">
        <v>-12404.89</v>
      </c>
      <c r="J1742" s="1">
        <v>18910944.449999999</v>
      </c>
      <c r="K1742" s="1">
        <v>1646137.844</v>
      </c>
    </row>
    <row r="1743" spans="1:11">
      <c r="A1743" t="s">
        <v>1</v>
      </c>
      <c r="B1743" s="3">
        <v>41887</v>
      </c>
      <c r="C1743" s="3">
        <v>41887</v>
      </c>
      <c r="D1743" t="s">
        <v>3</v>
      </c>
      <c r="E1743" s="1">
        <v>11.1523</v>
      </c>
      <c r="F1743" s="1">
        <v>0</v>
      </c>
      <c r="G1743" s="1">
        <v>2925.415</v>
      </c>
      <c r="H1743" s="2">
        <v>0</v>
      </c>
      <c r="I1743" s="2">
        <v>-32711.41</v>
      </c>
      <c r="J1743" s="1">
        <v>1755159.06</v>
      </c>
      <c r="K1743" s="1">
        <v>157381.361</v>
      </c>
    </row>
    <row r="1744" spans="1:11">
      <c r="A1744" t="s">
        <v>1</v>
      </c>
      <c r="B1744" s="3">
        <v>41887</v>
      </c>
      <c r="C1744" s="3">
        <v>41887</v>
      </c>
      <c r="D1744" t="s">
        <v>2</v>
      </c>
      <c r="E1744" s="1">
        <v>17.803899999999999</v>
      </c>
      <c r="F1744" s="1">
        <v>4199.5029999999997</v>
      </c>
      <c r="G1744" s="1">
        <v>0</v>
      </c>
      <c r="H1744" s="2">
        <v>74961.03</v>
      </c>
      <c r="I1744" s="2">
        <v>0</v>
      </c>
      <c r="J1744" s="1">
        <v>72740132.260000005</v>
      </c>
      <c r="K1744" s="1">
        <v>4085621.5550000002</v>
      </c>
    </row>
    <row r="1745" spans="1:11">
      <c r="A1745" t="s">
        <v>1</v>
      </c>
      <c r="B1745" s="3">
        <v>41887</v>
      </c>
      <c r="C1745" s="3">
        <v>41887</v>
      </c>
      <c r="D1745" t="s">
        <v>0</v>
      </c>
      <c r="E1745" s="1">
        <v>17.750499999999999</v>
      </c>
      <c r="F1745" s="1">
        <v>3524.3649999999998</v>
      </c>
      <c r="G1745" s="1">
        <v>124.25700000000001</v>
      </c>
      <c r="H1745" s="2">
        <v>62720.34</v>
      </c>
      <c r="I1745" s="2">
        <v>-2211.3000000000002</v>
      </c>
      <c r="J1745" s="1">
        <v>5860235.8899999997</v>
      </c>
      <c r="K1745" s="1">
        <v>330145.70600000001</v>
      </c>
    </row>
    <row r="1746" spans="1:11">
      <c r="A1746" t="s">
        <v>1</v>
      </c>
      <c r="B1746" s="3">
        <v>41890</v>
      </c>
      <c r="C1746" s="3">
        <v>41890</v>
      </c>
      <c r="D1746" t="s">
        <v>8</v>
      </c>
      <c r="E1746" s="1">
        <v>19.1434</v>
      </c>
      <c r="F1746" s="1">
        <v>362621.29399999999</v>
      </c>
      <c r="G1746" s="1">
        <v>0</v>
      </c>
      <c r="H1746" s="2">
        <v>6912062.6200000001</v>
      </c>
      <c r="I1746" s="2">
        <v>0</v>
      </c>
      <c r="J1746" s="1">
        <v>10858102.369999999</v>
      </c>
      <c r="K1746" s="1">
        <v>567198.80500000005</v>
      </c>
    </row>
    <row r="1747" spans="1:11">
      <c r="A1747" t="s">
        <v>1</v>
      </c>
      <c r="B1747" s="3">
        <v>41890</v>
      </c>
      <c r="C1747" s="3">
        <v>41890</v>
      </c>
      <c r="D1747" t="s">
        <v>7</v>
      </c>
      <c r="E1747" s="1">
        <v>23.671099999999999</v>
      </c>
      <c r="F1747" s="1">
        <v>6255.6480000000001</v>
      </c>
      <c r="G1747" s="1">
        <v>2980.7979999999998</v>
      </c>
      <c r="H1747" s="2">
        <v>147443.78</v>
      </c>
      <c r="I1747" s="2">
        <v>-70256.490000000005</v>
      </c>
      <c r="J1747" s="1">
        <v>305187849.22000003</v>
      </c>
      <c r="K1747" s="1">
        <v>12892862.465</v>
      </c>
    </row>
    <row r="1748" spans="1:11">
      <c r="A1748" t="s">
        <v>1</v>
      </c>
      <c r="B1748" s="3">
        <v>41890</v>
      </c>
      <c r="C1748" s="3">
        <v>41890</v>
      </c>
      <c r="D1748" t="s">
        <v>12</v>
      </c>
      <c r="E1748" s="1">
        <v>18.748000000000001</v>
      </c>
      <c r="F1748" s="1">
        <v>0</v>
      </c>
      <c r="G1748" s="1">
        <v>1722.2080000000001</v>
      </c>
      <c r="H1748" s="2">
        <v>0</v>
      </c>
      <c r="I1748" s="2">
        <v>-32153.63</v>
      </c>
      <c r="J1748" s="1">
        <v>8113872.0700000003</v>
      </c>
      <c r="K1748" s="1">
        <v>432785.54599999997</v>
      </c>
    </row>
    <row r="1749" spans="1:11">
      <c r="A1749" t="s">
        <v>1</v>
      </c>
      <c r="B1749" s="3">
        <v>41890</v>
      </c>
      <c r="C1749" s="3">
        <v>41890</v>
      </c>
      <c r="D1749" t="s">
        <v>6</v>
      </c>
      <c r="E1749" s="1">
        <v>19.480899999999998</v>
      </c>
      <c r="F1749" s="1">
        <v>0</v>
      </c>
      <c r="G1749" s="1">
        <v>829.93700000000001</v>
      </c>
      <c r="H1749" s="2">
        <v>0</v>
      </c>
      <c r="I1749" s="2">
        <v>-16100.6</v>
      </c>
      <c r="J1749" s="1">
        <v>35711241.600000001</v>
      </c>
      <c r="K1749" s="1">
        <v>1833145.7250000001</v>
      </c>
    </row>
    <row r="1750" spans="1:11">
      <c r="A1750" t="s">
        <v>1</v>
      </c>
      <c r="B1750" s="3">
        <v>41890</v>
      </c>
      <c r="C1750" s="3">
        <v>41890</v>
      </c>
      <c r="D1750" t="s">
        <v>5</v>
      </c>
      <c r="E1750" s="1">
        <v>18.2837</v>
      </c>
      <c r="F1750" s="1">
        <v>70607</v>
      </c>
      <c r="G1750" s="1">
        <v>0</v>
      </c>
      <c r="H1750" s="2">
        <v>1285351.01</v>
      </c>
      <c r="I1750" s="2">
        <v>0</v>
      </c>
      <c r="J1750" s="1">
        <v>12531071.039999999</v>
      </c>
      <c r="K1750" s="1">
        <v>685368.16700000002</v>
      </c>
    </row>
    <row r="1751" spans="1:11">
      <c r="A1751" t="s">
        <v>1</v>
      </c>
      <c r="B1751" s="3">
        <v>41890</v>
      </c>
      <c r="C1751" s="3">
        <v>41890</v>
      </c>
      <c r="D1751" t="s">
        <v>4</v>
      </c>
      <c r="E1751" s="1">
        <v>11.5375</v>
      </c>
      <c r="F1751" s="1">
        <v>350</v>
      </c>
      <c r="G1751" s="1">
        <v>14.377000000000001</v>
      </c>
      <c r="H1751" s="2">
        <v>4020.84</v>
      </c>
      <c r="I1751" s="2">
        <v>-165.16</v>
      </c>
      <c r="J1751" s="1">
        <v>18996150.620000001</v>
      </c>
      <c r="K1751" s="1">
        <v>1646473.4669999999</v>
      </c>
    </row>
    <row r="1752" spans="1:11">
      <c r="A1752" t="s">
        <v>1</v>
      </c>
      <c r="B1752" s="3">
        <v>41890</v>
      </c>
      <c r="C1752" s="3">
        <v>41890</v>
      </c>
      <c r="D1752" t="s">
        <v>2</v>
      </c>
      <c r="E1752" s="1">
        <v>17.881599999999999</v>
      </c>
      <c r="F1752" s="1">
        <v>4586.93</v>
      </c>
      <c r="G1752" s="1">
        <v>2240</v>
      </c>
      <c r="H1752" s="2">
        <v>81665</v>
      </c>
      <c r="I1752" s="2">
        <v>-39880.620000000003</v>
      </c>
      <c r="J1752" s="1">
        <v>73099430.319999993</v>
      </c>
      <c r="K1752" s="1">
        <v>4087968.4849999999</v>
      </c>
    </row>
    <row r="1753" spans="1:11">
      <c r="A1753" t="s">
        <v>1</v>
      </c>
      <c r="B1753" s="3">
        <v>41890</v>
      </c>
      <c r="C1753" s="3">
        <v>41890</v>
      </c>
      <c r="D1753" t="s">
        <v>9</v>
      </c>
      <c r="E1753" s="1">
        <v>19.2745</v>
      </c>
      <c r="F1753" s="1">
        <v>0</v>
      </c>
      <c r="G1753" s="1">
        <v>5.633</v>
      </c>
      <c r="H1753" s="2">
        <v>0</v>
      </c>
      <c r="I1753" s="2">
        <v>-108.09</v>
      </c>
      <c r="J1753" s="1">
        <v>1116549.17</v>
      </c>
      <c r="K1753" s="1">
        <v>57928.798000000003</v>
      </c>
    </row>
    <row r="1754" spans="1:11">
      <c r="A1754" t="s">
        <v>1</v>
      </c>
      <c r="B1754" s="3">
        <v>41890</v>
      </c>
      <c r="C1754" s="3">
        <v>41890</v>
      </c>
      <c r="D1754" t="s">
        <v>0</v>
      </c>
      <c r="E1754" s="1">
        <v>17.828099999999999</v>
      </c>
      <c r="F1754" s="1">
        <v>3567.1149999999998</v>
      </c>
      <c r="G1754" s="1">
        <v>250.47300000000001</v>
      </c>
      <c r="H1754" s="2">
        <v>63318.080000000002</v>
      </c>
      <c r="I1754" s="2">
        <v>-4446.03</v>
      </c>
      <c r="J1754" s="1">
        <v>5945003.2400000002</v>
      </c>
      <c r="K1754" s="1">
        <v>333462.348</v>
      </c>
    </row>
    <row r="1755" spans="1:11">
      <c r="A1755" t="s">
        <v>1</v>
      </c>
      <c r="B1755" s="3">
        <v>41891</v>
      </c>
      <c r="C1755" s="3">
        <v>41891</v>
      </c>
      <c r="D1755" t="s">
        <v>7</v>
      </c>
      <c r="E1755" s="1">
        <v>23.574400000000001</v>
      </c>
      <c r="F1755" s="1">
        <v>14677.181</v>
      </c>
      <c r="G1755" s="1">
        <v>1873.829</v>
      </c>
      <c r="H1755" s="2">
        <v>347425</v>
      </c>
      <c r="I1755" s="2">
        <v>-44355.6</v>
      </c>
      <c r="J1755" s="1">
        <v>304243188.83999997</v>
      </c>
      <c r="K1755" s="1">
        <v>12905665.817</v>
      </c>
    </row>
    <row r="1756" spans="1:11">
      <c r="A1756" t="s">
        <v>1</v>
      </c>
      <c r="B1756" s="3">
        <v>41891</v>
      </c>
      <c r="C1756" s="3">
        <v>41891</v>
      </c>
      <c r="D1756" t="s">
        <v>6</v>
      </c>
      <c r="E1756" s="1">
        <v>19.400500000000001</v>
      </c>
      <c r="F1756" s="1">
        <v>173.887</v>
      </c>
      <c r="G1756" s="1">
        <v>161.57400000000001</v>
      </c>
      <c r="H1756" s="2">
        <v>3387.47</v>
      </c>
      <c r="I1756" s="2">
        <v>-3147.62</v>
      </c>
      <c r="J1756" s="1">
        <v>35564155.909999996</v>
      </c>
      <c r="K1756" s="1">
        <v>1833158.0379999999</v>
      </c>
    </row>
    <row r="1757" spans="1:11">
      <c r="A1757" t="s">
        <v>1</v>
      </c>
      <c r="B1757" s="3">
        <v>41891</v>
      </c>
      <c r="C1757" s="3">
        <v>41891</v>
      </c>
      <c r="D1757" t="s">
        <v>5</v>
      </c>
      <c r="E1757" s="1">
        <v>18.209399999999999</v>
      </c>
      <c r="F1757" s="1">
        <v>66370</v>
      </c>
      <c r="G1757" s="1">
        <v>0</v>
      </c>
      <c r="H1757" s="2">
        <v>1213489.17</v>
      </c>
      <c r="I1757" s="2">
        <v>0</v>
      </c>
      <c r="J1757" s="1">
        <v>13688705.15</v>
      </c>
      <c r="K1757" s="1">
        <v>751738.16700000002</v>
      </c>
    </row>
    <row r="1758" spans="1:11">
      <c r="A1758" t="s">
        <v>1</v>
      </c>
      <c r="B1758" s="3">
        <v>41891</v>
      </c>
      <c r="C1758" s="3">
        <v>41891</v>
      </c>
      <c r="D1758" t="s">
        <v>2</v>
      </c>
      <c r="E1758" s="1">
        <v>17.808900000000001</v>
      </c>
      <c r="F1758" s="1">
        <v>2112.931</v>
      </c>
      <c r="G1758" s="1">
        <v>3830</v>
      </c>
      <c r="H1758" s="2">
        <v>37782.53</v>
      </c>
      <c r="I1758" s="2">
        <v>-68486.429999999993</v>
      </c>
      <c r="J1758" s="1">
        <v>72771790.079999998</v>
      </c>
      <c r="K1758" s="1">
        <v>4086251.4160000002</v>
      </c>
    </row>
    <row r="1759" spans="1:11">
      <c r="A1759" t="s">
        <v>1</v>
      </c>
      <c r="B1759" s="3">
        <v>41891</v>
      </c>
      <c r="C1759" s="3">
        <v>41891</v>
      </c>
      <c r="D1759" t="s">
        <v>0</v>
      </c>
      <c r="E1759" s="1">
        <v>17.755700000000001</v>
      </c>
      <c r="F1759" s="1">
        <v>2887.6179999999999</v>
      </c>
      <c r="G1759" s="1">
        <v>0</v>
      </c>
      <c r="H1759" s="2">
        <v>51480.59</v>
      </c>
      <c r="I1759" s="2">
        <v>0</v>
      </c>
      <c r="J1759" s="1">
        <v>5972139.9800000004</v>
      </c>
      <c r="K1759" s="1">
        <v>336349.96600000001</v>
      </c>
    </row>
    <row r="1760" spans="1:11">
      <c r="A1760" t="s">
        <v>1</v>
      </c>
      <c r="B1760" s="3">
        <v>41892</v>
      </c>
      <c r="C1760" s="3">
        <v>41892</v>
      </c>
      <c r="D1760" t="s">
        <v>7</v>
      </c>
      <c r="E1760" s="1">
        <v>23.493200000000002</v>
      </c>
      <c r="F1760" s="1">
        <v>193751.70600000001</v>
      </c>
      <c r="G1760" s="1">
        <v>206496.98300000001</v>
      </c>
      <c r="H1760" s="2">
        <v>4567580.1900000004</v>
      </c>
      <c r="I1760" s="2">
        <v>-4868042.49</v>
      </c>
      <c r="J1760" s="1">
        <v>302895603.48000002</v>
      </c>
      <c r="K1760" s="1">
        <v>12892920.539999999</v>
      </c>
    </row>
    <row r="1761" spans="1:11">
      <c r="A1761" t="s">
        <v>1</v>
      </c>
      <c r="B1761" s="3">
        <v>41892</v>
      </c>
      <c r="C1761" s="3">
        <v>41892</v>
      </c>
      <c r="D1761" t="s">
        <v>12</v>
      </c>
      <c r="E1761" s="1">
        <v>18.605599999999999</v>
      </c>
      <c r="F1761" s="1">
        <v>448.92200000000003</v>
      </c>
      <c r="G1761" s="1">
        <v>0</v>
      </c>
      <c r="H1761" s="2">
        <v>8381.68</v>
      </c>
      <c r="I1761" s="2">
        <v>0</v>
      </c>
      <c r="J1761" s="1">
        <v>8060581.1299999999</v>
      </c>
      <c r="K1761" s="1">
        <v>433234.46799999999</v>
      </c>
    </row>
    <row r="1762" spans="1:11">
      <c r="A1762" t="s">
        <v>1</v>
      </c>
      <c r="B1762" s="3">
        <v>41892</v>
      </c>
      <c r="C1762" s="3">
        <v>41892</v>
      </c>
      <c r="D1762" t="s">
        <v>6</v>
      </c>
      <c r="E1762" s="1">
        <v>19.332899999999999</v>
      </c>
      <c r="F1762" s="1">
        <v>8048.165</v>
      </c>
      <c r="G1762" s="1">
        <v>4521.7950000000001</v>
      </c>
      <c r="H1762" s="2">
        <v>156138.39000000001</v>
      </c>
      <c r="I1762" s="2">
        <v>-87725.08</v>
      </c>
      <c r="J1762" s="1">
        <v>35508345.939999998</v>
      </c>
      <c r="K1762" s="1">
        <v>1836684.4080000001</v>
      </c>
    </row>
    <row r="1763" spans="1:11">
      <c r="A1763" t="s">
        <v>1</v>
      </c>
      <c r="B1763" s="3">
        <v>41892</v>
      </c>
      <c r="C1763" s="3">
        <v>41892</v>
      </c>
      <c r="D1763" t="s">
        <v>4</v>
      </c>
      <c r="E1763" s="1">
        <v>11.450799999999999</v>
      </c>
      <c r="F1763" s="1">
        <v>206.07900000000001</v>
      </c>
      <c r="G1763" s="1">
        <v>0</v>
      </c>
      <c r="H1763" s="2">
        <v>2367.9299999999998</v>
      </c>
      <c r="I1763" s="2">
        <v>0</v>
      </c>
      <c r="J1763" s="1">
        <v>18855746.629999999</v>
      </c>
      <c r="K1763" s="1">
        <v>1646679.5460000001</v>
      </c>
    </row>
    <row r="1764" spans="1:11">
      <c r="A1764" t="s">
        <v>1</v>
      </c>
      <c r="B1764" s="3">
        <v>41892</v>
      </c>
      <c r="C1764" s="3">
        <v>41892</v>
      </c>
      <c r="D1764" t="s">
        <v>2</v>
      </c>
      <c r="E1764" s="1">
        <v>17.747900000000001</v>
      </c>
      <c r="F1764" s="1">
        <v>5028.6880000000001</v>
      </c>
      <c r="G1764" s="1">
        <v>1635.2149999999999</v>
      </c>
      <c r="H1764" s="2">
        <v>89555.1</v>
      </c>
      <c r="I1764" s="2">
        <v>-29121.279999999999</v>
      </c>
      <c r="J1764" s="1">
        <v>72582803.769999996</v>
      </c>
      <c r="K1764" s="1">
        <v>4089644.889</v>
      </c>
    </row>
    <row r="1765" spans="1:11">
      <c r="A1765" t="s">
        <v>1</v>
      </c>
      <c r="B1765" s="3">
        <v>41892</v>
      </c>
      <c r="C1765" s="3">
        <v>41892</v>
      </c>
      <c r="D1765" t="s">
        <v>9</v>
      </c>
      <c r="E1765" s="1">
        <v>19.130800000000001</v>
      </c>
      <c r="F1765" s="1">
        <v>1.891</v>
      </c>
      <c r="G1765" s="1">
        <v>4.0999999999999996</v>
      </c>
      <c r="H1765" s="2">
        <v>36.31</v>
      </c>
      <c r="I1765" s="2">
        <v>-78.709999999999994</v>
      </c>
      <c r="J1765" s="1">
        <v>1108181.42</v>
      </c>
      <c r="K1765" s="1">
        <v>57926.589</v>
      </c>
    </row>
    <row r="1766" spans="1:11">
      <c r="A1766" t="s">
        <v>1</v>
      </c>
      <c r="B1766" s="3">
        <v>41892</v>
      </c>
      <c r="C1766" s="3">
        <v>41892</v>
      </c>
      <c r="D1766" t="s">
        <v>0</v>
      </c>
      <c r="E1766" s="1">
        <v>17.695</v>
      </c>
      <c r="F1766" s="1">
        <v>3038.9879999999998</v>
      </c>
      <c r="G1766" s="1">
        <v>230.94300000000001</v>
      </c>
      <c r="H1766" s="2">
        <v>53959.57</v>
      </c>
      <c r="I1766" s="2">
        <v>-4100.57</v>
      </c>
      <c r="J1766" s="1">
        <v>6001400.9100000001</v>
      </c>
      <c r="K1766" s="1">
        <v>339158.011</v>
      </c>
    </row>
    <row r="1767" spans="1:11">
      <c r="A1767" t="s">
        <v>1</v>
      </c>
      <c r="B1767" s="3">
        <v>41893</v>
      </c>
      <c r="C1767" s="3">
        <v>41893</v>
      </c>
      <c r="D1767" t="s">
        <v>7</v>
      </c>
      <c r="E1767" s="1">
        <v>23.617899999999999</v>
      </c>
      <c r="F1767" s="1">
        <v>12837.763000000001</v>
      </c>
      <c r="G1767" s="1">
        <v>125265.087</v>
      </c>
      <c r="H1767" s="2">
        <v>301600.14</v>
      </c>
      <c r="I1767" s="2">
        <v>-2942877.75</v>
      </c>
      <c r="J1767" s="1">
        <v>301848970.70999998</v>
      </c>
      <c r="K1767" s="1">
        <v>12780493.216</v>
      </c>
    </row>
    <row r="1768" spans="1:11">
      <c r="A1768" t="s">
        <v>1</v>
      </c>
      <c r="B1768" s="3">
        <v>41893</v>
      </c>
      <c r="C1768" s="3">
        <v>41893</v>
      </c>
      <c r="D1768" t="s">
        <v>6</v>
      </c>
      <c r="E1768" s="1">
        <v>19.434699999999999</v>
      </c>
      <c r="F1768" s="1">
        <v>33.154000000000003</v>
      </c>
      <c r="G1768" s="1">
        <v>40860.561999999998</v>
      </c>
      <c r="H1768" s="2">
        <v>640.96</v>
      </c>
      <c r="I1768" s="2">
        <v>-789953.15</v>
      </c>
      <c r="J1768" s="1">
        <v>34901999.030000001</v>
      </c>
      <c r="K1768" s="1">
        <v>1795857</v>
      </c>
    </row>
    <row r="1769" spans="1:11">
      <c r="A1769" t="s">
        <v>1</v>
      </c>
      <c r="B1769" s="3">
        <v>41893</v>
      </c>
      <c r="C1769" s="3">
        <v>41893</v>
      </c>
      <c r="D1769" t="s">
        <v>10</v>
      </c>
      <c r="E1769" s="1">
        <v>18.127099999999999</v>
      </c>
      <c r="F1769" s="1">
        <v>0</v>
      </c>
      <c r="G1769" s="1">
        <v>5243</v>
      </c>
      <c r="H1769" s="2">
        <v>0</v>
      </c>
      <c r="I1769" s="2">
        <v>-94797.43</v>
      </c>
      <c r="J1769" s="1">
        <v>6630125.2000000002</v>
      </c>
      <c r="K1769" s="1">
        <v>365757.125</v>
      </c>
    </row>
    <row r="1770" spans="1:11">
      <c r="A1770" t="s">
        <v>1</v>
      </c>
      <c r="B1770" s="3">
        <v>41893</v>
      </c>
      <c r="C1770" s="3">
        <v>41893</v>
      </c>
      <c r="D1770" t="s">
        <v>5</v>
      </c>
      <c r="E1770" s="1">
        <v>18.2438</v>
      </c>
      <c r="F1770" s="1">
        <v>119016</v>
      </c>
      <c r="G1770" s="1">
        <v>0</v>
      </c>
      <c r="H1770" s="2">
        <v>2159783.35</v>
      </c>
      <c r="I1770" s="2">
        <v>0</v>
      </c>
      <c r="J1770" s="1">
        <v>15885857.130000001</v>
      </c>
      <c r="K1770" s="1">
        <v>870754.16700000002</v>
      </c>
    </row>
    <row r="1771" spans="1:11">
      <c r="A1771" t="s">
        <v>1</v>
      </c>
      <c r="B1771" s="3">
        <v>41893</v>
      </c>
      <c r="C1771" s="3">
        <v>41893</v>
      </c>
      <c r="D1771" t="s">
        <v>2</v>
      </c>
      <c r="E1771" s="1">
        <v>17.842600000000001</v>
      </c>
      <c r="F1771" s="1">
        <v>2485.4569999999999</v>
      </c>
      <c r="G1771" s="1">
        <v>290</v>
      </c>
      <c r="H1771" s="2">
        <v>44111.61</v>
      </c>
      <c r="I1771" s="2">
        <v>-5146.8900000000003</v>
      </c>
      <c r="J1771" s="1">
        <v>73008953.530000001</v>
      </c>
      <c r="K1771" s="1">
        <v>4091840.3459999999</v>
      </c>
    </row>
    <row r="1772" spans="1:11">
      <c r="A1772" t="s">
        <v>1</v>
      </c>
      <c r="B1772" s="3">
        <v>41893</v>
      </c>
      <c r="C1772" s="3">
        <v>41893</v>
      </c>
      <c r="D1772" t="s">
        <v>9</v>
      </c>
      <c r="E1772" s="1">
        <v>19.233000000000001</v>
      </c>
      <c r="F1772" s="1">
        <v>12.129</v>
      </c>
      <c r="G1772" s="1">
        <v>0</v>
      </c>
      <c r="H1772" s="2">
        <v>232.05</v>
      </c>
      <c r="I1772" s="2">
        <v>0</v>
      </c>
      <c r="J1772" s="1">
        <v>1114333.1000000001</v>
      </c>
      <c r="K1772" s="1">
        <v>57938.718000000001</v>
      </c>
    </row>
    <row r="1773" spans="1:11">
      <c r="A1773" t="s">
        <v>1</v>
      </c>
      <c r="B1773" s="3">
        <v>41893</v>
      </c>
      <c r="C1773" s="3">
        <v>41893</v>
      </c>
      <c r="D1773" t="s">
        <v>0</v>
      </c>
      <c r="E1773" s="1">
        <v>17.789400000000001</v>
      </c>
      <c r="F1773" s="1">
        <v>2393.328</v>
      </c>
      <c r="G1773" s="1">
        <v>258.62700000000001</v>
      </c>
      <c r="H1773" s="2">
        <v>42349.93</v>
      </c>
      <c r="I1773" s="2">
        <v>-4576.38</v>
      </c>
      <c r="J1773" s="1">
        <v>6071397.3099999996</v>
      </c>
      <c r="K1773" s="1">
        <v>341292.712</v>
      </c>
    </row>
    <row r="1774" spans="1:11">
      <c r="A1774" t="s">
        <v>1</v>
      </c>
      <c r="B1774" s="3">
        <v>41894</v>
      </c>
      <c r="C1774" s="3">
        <v>41894</v>
      </c>
      <c r="D1774" t="s">
        <v>7</v>
      </c>
      <c r="E1774" s="1">
        <v>23.6419</v>
      </c>
      <c r="F1774" s="1">
        <v>16387.966</v>
      </c>
      <c r="G1774" s="1">
        <v>599543.93299999996</v>
      </c>
      <c r="H1774" s="2">
        <v>387049.36</v>
      </c>
      <c r="I1774" s="2">
        <v>-14159968.65</v>
      </c>
      <c r="J1774" s="1">
        <v>288368161.19999999</v>
      </c>
      <c r="K1774" s="1">
        <v>12197337.249</v>
      </c>
    </row>
    <row r="1775" spans="1:11">
      <c r="A1775" t="s">
        <v>1</v>
      </c>
      <c r="B1775" s="3">
        <v>41894</v>
      </c>
      <c r="C1775" s="3">
        <v>41894</v>
      </c>
      <c r="D1775" t="s">
        <v>6</v>
      </c>
      <c r="E1775" s="1">
        <v>19.453600000000002</v>
      </c>
      <c r="F1775" s="1">
        <v>10.183999999999999</v>
      </c>
      <c r="G1775" s="1">
        <v>38913.482000000004</v>
      </c>
      <c r="H1775" s="2">
        <v>197.93</v>
      </c>
      <c r="I1775" s="2">
        <v>-756271.85</v>
      </c>
      <c r="J1775" s="1">
        <v>34179145.890000001</v>
      </c>
      <c r="K1775" s="1">
        <v>1756953.702</v>
      </c>
    </row>
    <row r="1776" spans="1:11">
      <c r="A1776" t="s">
        <v>1</v>
      </c>
      <c r="B1776" s="3">
        <v>41894</v>
      </c>
      <c r="C1776" s="3">
        <v>41894</v>
      </c>
      <c r="D1776" t="s">
        <v>10</v>
      </c>
      <c r="E1776" s="1">
        <v>18.165199999999999</v>
      </c>
      <c r="F1776" s="1">
        <v>0</v>
      </c>
      <c r="G1776" s="1">
        <v>88500</v>
      </c>
      <c r="H1776" s="2">
        <v>0</v>
      </c>
      <c r="I1776" s="2">
        <v>-1604253.89</v>
      </c>
      <c r="J1776" s="1">
        <v>5036431.4400000004</v>
      </c>
      <c r="K1776" s="1">
        <v>277257.125</v>
      </c>
    </row>
    <row r="1777" spans="1:11">
      <c r="A1777" t="s">
        <v>1</v>
      </c>
      <c r="B1777" s="3">
        <v>41894</v>
      </c>
      <c r="C1777" s="3">
        <v>41894</v>
      </c>
      <c r="D1777" t="s">
        <v>5</v>
      </c>
      <c r="E1777" s="1">
        <v>18.262699999999999</v>
      </c>
      <c r="F1777" s="1">
        <v>141569</v>
      </c>
      <c r="G1777" s="1">
        <v>0</v>
      </c>
      <c r="H1777" s="2">
        <v>2582756.52</v>
      </c>
      <c r="I1777" s="2">
        <v>0</v>
      </c>
      <c r="J1777" s="1">
        <v>18487720.34</v>
      </c>
      <c r="K1777" s="1">
        <v>1012323.167</v>
      </c>
    </row>
    <row r="1778" spans="1:11">
      <c r="A1778" t="s">
        <v>1</v>
      </c>
      <c r="B1778" s="3">
        <v>41894</v>
      </c>
      <c r="C1778" s="3">
        <v>41894</v>
      </c>
      <c r="D1778" t="s">
        <v>2</v>
      </c>
      <c r="E1778" s="1">
        <v>17.861000000000001</v>
      </c>
      <c r="F1778" s="1">
        <v>9432.3279999999995</v>
      </c>
      <c r="G1778" s="1">
        <v>1368.8820000000001</v>
      </c>
      <c r="H1778" s="2">
        <v>168297.19</v>
      </c>
      <c r="I1778" s="2">
        <v>-24424.41</v>
      </c>
      <c r="J1778" s="1">
        <v>73228506.579999998</v>
      </c>
      <c r="K1778" s="1">
        <v>4099903.7919999999</v>
      </c>
    </row>
    <row r="1779" spans="1:11">
      <c r="A1779" t="s">
        <v>1</v>
      </c>
      <c r="B1779" s="3">
        <v>41894</v>
      </c>
      <c r="C1779" s="3">
        <v>41894</v>
      </c>
      <c r="D1779" t="s">
        <v>0</v>
      </c>
      <c r="E1779" s="1">
        <v>17.8079</v>
      </c>
      <c r="F1779" s="1">
        <v>2880.585</v>
      </c>
      <c r="G1779" s="1">
        <v>18.890999999999998</v>
      </c>
      <c r="H1779" s="2">
        <v>51244.09</v>
      </c>
      <c r="I1779" s="2">
        <v>-336.07</v>
      </c>
      <c r="J1779" s="1">
        <v>6128664.3099999996</v>
      </c>
      <c r="K1779" s="1">
        <v>344154.40600000002</v>
      </c>
    </row>
    <row r="1780" spans="1:11">
      <c r="A1780" t="s">
        <v>1</v>
      </c>
      <c r="B1780" s="3">
        <v>41897</v>
      </c>
      <c r="C1780" s="3">
        <v>41897</v>
      </c>
      <c r="D1780" t="s">
        <v>7</v>
      </c>
      <c r="E1780" s="1">
        <v>23.571000000000002</v>
      </c>
      <c r="F1780" s="1">
        <v>4486.3469999999998</v>
      </c>
      <c r="G1780" s="1">
        <v>19303.245999999999</v>
      </c>
      <c r="H1780" s="2">
        <v>106065.77</v>
      </c>
      <c r="I1780" s="2">
        <v>-456365.39</v>
      </c>
      <c r="J1780" s="1">
        <v>287154469.88999999</v>
      </c>
      <c r="K1780" s="1">
        <v>12182520.35</v>
      </c>
    </row>
    <row r="1781" spans="1:11">
      <c r="A1781" t="s">
        <v>1</v>
      </c>
      <c r="B1781" s="3">
        <v>41897</v>
      </c>
      <c r="C1781" s="3">
        <v>41897</v>
      </c>
      <c r="D1781" t="s">
        <v>12</v>
      </c>
      <c r="E1781" s="1">
        <v>18.663399999999999</v>
      </c>
      <c r="F1781" s="1">
        <v>508.77699999999999</v>
      </c>
      <c r="G1781" s="1">
        <v>2300.5070000000001</v>
      </c>
      <c r="H1781" s="2">
        <v>9525.2199999999993</v>
      </c>
      <c r="I1781" s="2">
        <v>-43069.63</v>
      </c>
      <c r="J1781" s="1">
        <v>8052189.1200000001</v>
      </c>
      <c r="K1781" s="1">
        <v>431442.73800000001</v>
      </c>
    </row>
    <row r="1782" spans="1:11">
      <c r="A1782" t="s">
        <v>1</v>
      </c>
      <c r="B1782" s="3">
        <v>41897</v>
      </c>
      <c r="C1782" s="3">
        <v>41897</v>
      </c>
      <c r="D1782" t="s">
        <v>6</v>
      </c>
      <c r="E1782" s="1">
        <v>19.392900000000001</v>
      </c>
      <c r="F1782" s="1">
        <v>1244.242</v>
      </c>
      <c r="G1782" s="1">
        <v>45642.027999999998</v>
      </c>
      <c r="H1782" s="2">
        <v>24204.98</v>
      </c>
      <c r="I1782" s="2">
        <v>-887901.77</v>
      </c>
      <c r="J1782" s="1">
        <v>33211471.940000001</v>
      </c>
      <c r="K1782" s="1">
        <v>1712555.916</v>
      </c>
    </row>
    <row r="1783" spans="1:11">
      <c r="A1783" t="s">
        <v>1</v>
      </c>
      <c r="B1783" s="3">
        <v>41897</v>
      </c>
      <c r="C1783" s="3">
        <v>41897</v>
      </c>
      <c r="D1783" t="s">
        <v>5</v>
      </c>
      <c r="E1783" s="1">
        <v>18.209</v>
      </c>
      <c r="F1783" s="1">
        <v>0</v>
      </c>
      <c r="G1783" s="1">
        <v>108666</v>
      </c>
      <c r="H1783" s="2">
        <v>0</v>
      </c>
      <c r="I1783" s="2">
        <v>-1984534.56</v>
      </c>
      <c r="J1783" s="1">
        <v>16454731.470000001</v>
      </c>
      <c r="K1783" s="1">
        <v>903657.16700000002</v>
      </c>
    </row>
    <row r="1784" spans="1:11">
      <c r="A1784" t="s">
        <v>1</v>
      </c>
      <c r="B1784" s="3">
        <v>41897</v>
      </c>
      <c r="C1784" s="3">
        <v>41897</v>
      </c>
      <c r="D1784" t="s">
        <v>4</v>
      </c>
      <c r="E1784" s="1">
        <v>11.4887</v>
      </c>
      <c r="F1784" s="1">
        <v>0</v>
      </c>
      <c r="G1784" s="1">
        <v>117833</v>
      </c>
      <c r="H1784" s="2">
        <v>0</v>
      </c>
      <c r="I1784" s="2">
        <v>-1357825.01</v>
      </c>
      <c r="J1784" s="1">
        <v>17564474.02</v>
      </c>
      <c r="K1784" s="1">
        <v>1528846.5460000001</v>
      </c>
    </row>
    <row r="1785" spans="1:11">
      <c r="A1785" t="s">
        <v>1</v>
      </c>
      <c r="B1785" s="3">
        <v>41897</v>
      </c>
      <c r="C1785" s="3">
        <v>41897</v>
      </c>
      <c r="D1785" t="s">
        <v>2</v>
      </c>
      <c r="E1785" s="1">
        <v>17.808599999999998</v>
      </c>
      <c r="F1785" s="1">
        <v>4065</v>
      </c>
      <c r="G1785" s="1">
        <v>0</v>
      </c>
      <c r="H1785" s="2">
        <v>72604.89</v>
      </c>
      <c r="I1785" s="2">
        <v>0</v>
      </c>
      <c r="J1785" s="1">
        <v>73085895.140000001</v>
      </c>
      <c r="K1785" s="1">
        <v>4103968.7919999999</v>
      </c>
    </row>
    <row r="1786" spans="1:11">
      <c r="A1786" t="s">
        <v>1</v>
      </c>
      <c r="B1786" s="3">
        <v>41897</v>
      </c>
      <c r="C1786" s="3">
        <v>41897</v>
      </c>
      <c r="D1786" t="s">
        <v>9</v>
      </c>
      <c r="E1786" s="1">
        <v>19.196999999999999</v>
      </c>
      <c r="F1786" s="1">
        <v>0</v>
      </c>
      <c r="G1786" s="1">
        <v>3.9289999999999998</v>
      </c>
      <c r="H1786" s="2">
        <v>0</v>
      </c>
      <c r="I1786" s="2">
        <v>-75.650000000000006</v>
      </c>
      <c r="J1786" s="1">
        <v>1112175.6100000001</v>
      </c>
      <c r="K1786" s="1">
        <v>57934.788999999997</v>
      </c>
    </row>
    <row r="1787" spans="1:11">
      <c r="A1787" t="s">
        <v>1</v>
      </c>
      <c r="B1787" s="3">
        <v>41897</v>
      </c>
      <c r="C1787" s="3">
        <v>41897</v>
      </c>
      <c r="D1787" t="s">
        <v>0</v>
      </c>
      <c r="E1787" s="1">
        <v>17.755800000000001</v>
      </c>
      <c r="F1787" s="1">
        <v>2790.78</v>
      </c>
      <c r="G1787" s="1">
        <v>175.11099999999999</v>
      </c>
      <c r="H1787" s="2">
        <v>49697.86</v>
      </c>
      <c r="I1787" s="2">
        <v>-3118.35</v>
      </c>
      <c r="J1787" s="1">
        <v>6157189.0800000001</v>
      </c>
      <c r="K1787" s="1">
        <v>346770.07500000001</v>
      </c>
    </row>
    <row r="1788" spans="1:11">
      <c r="A1788" t="s">
        <v>1</v>
      </c>
      <c r="B1788" s="3">
        <v>41898</v>
      </c>
      <c r="C1788" s="3">
        <v>41898</v>
      </c>
      <c r="D1788" t="s">
        <v>7</v>
      </c>
      <c r="E1788" s="1">
        <v>23.623699999999999</v>
      </c>
      <c r="F1788" s="1">
        <v>4556.6390000000001</v>
      </c>
      <c r="G1788" s="1">
        <v>23918.746999999999</v>
      </c>
      <c r="H1788" s="2">
        <v>107404.54</v>
      </c>
      <c r="I1788" s="2">
        <v>-563788.78</v>
      </c>
      <c r="J1788" s="1">
        <v>287338338.38999999</v>
      </c>
      <c r="K1788" s="1">
        <v>12163158.242000001</v>
      </c>
    </row>
    <row r="1789" spans="1:11">
      <c r="A1789" t="s">
        <v>1</v>
      </c>
      <c r="B1789" s="3">
        <v>41898</v>
      </c>
      <c r="C1789" s="3">
        <v>41898</v>
      </c>
      <c r="D1789" t="s">
        <v>12</v>
      </c>
      <c r="E1789" s="1">
        <v>18.7043</v>
      </c>
      <c r="F1789" s="1">
        <v>0</v>
      </c>
      <c r="G1789" s="1">
        <v>4820.7110000000002</v>
      </c>
      <c r="H1789" s="2">
        <v>0</v>
      </c>
      <c r="I1789" s="2">
        <v>-89970.87</v>
      </c>
      <c r="J1789" s="1">
        <v>7979672.21</v>
      </c>
      <c r="K1789" s="1">
        <v>426622.027</v>
      </c>
    </row>
    <row r="1790" spans="1:11">
      <c r="A1790" t="s">
        <v>1</v>
      </c>
      <c r="B1790" s="3">
        <v>41898</v>
      </c>
      <c r="C1790" s="3">
        <v>41898</v>
      </c>
      <c r="D1790" t="s">
        <v>6</v>
      </c>
      <c r="E1790" s="1">
        <v>19.435400000000001</v>
      </c>
      <c r="F1790" s="1">
        <v>39.475000000000001</v>
      </c>
      <c r="G1790" s="1">
        <v>12271.138999999999</v>
      </c>
      <c r="H1790" s="2">
        <v>765.54</v>
      </c>
      <c r="I1790" s="2">
        <v>-237972.96</v>
      </c>
      <c r="J1790" s="1">
        <v>33046547.379999999</v>
      </c>
      <c r="K1790" s="1">
        <v>1700324.2520000001</v>
      </c>
    </row>
    <row r="1791" spans="1:11">
      <c r="A1791" t="s">
        <v>1</v>
      </c>
      <c r="B1791" s="3">
        <v>41898</v>
      </c>
      <c r="C1791" s="3">
        <v>41898</v>
      </c>
      <c r="D1791" t="s">
        <v>5</v>
      </c>
      <c r="E1791" s="1">
        <v>18.2501</v>
      </c>
      <c r="F1791" s="1">
        <v>0</v>
      </c>
      <c r="G1791" s="1">
        <v>160030</v>
      </c>
      <c r="H1791" s="2">
        <v>0</v>
      </c>
      <c r="I1791" s="2">
        <v>-2913986.27</v>
      </c>
      <c r="J1791" s="1">
        <v>13571262.560000001</v>
      </c>
      <c r="K1791" s="1">
        <v>743627.16700000002</v>
      </c>
    </row>
    <row r="1792" spans="1:11">
      <c r="A1792" t="s">
        <v>1</v>
      </c>
      <c r="B1792" s="3">
        <v>41898</v>
      </c>
      <c r="C1792" s="3">
        <v>41898</v>
      </c>
      <c r="D1792" t="s">
        <v>4</v>
      </c>
      <c r="E1792" s="1">
        <v>11.5144</v>
      </c>
      <c r="F1792" s="1">
        <v>5883.6859999999997</v>
      </c>
      <c r="G1792" s="1">
        <v>123423.31200000001</v>
      </c>
      <c r="H1792" s="2">
        <v>67595.91</v>
      </c>
      <c r="I1792" s="2">
        <v>-1417973.4</v>
      </c>
      <c r="J1792" s="1">
        <v>16250305.779999999</v>
      </c>
      <c r="K1792" s="1">
        <v>1411306.92</v>
      </c>
    </row>
    <row r="1793" spans="1:11">
      <c r="A1793" t="s">
        <v>1</v>
      </c>
      <c r="B1793" s="3">
        <v>41898</v>
      </c>
      <c r="C1793" s="3">
        <v>41898</v>
      </c>
      <c r="D1793" t="s">
        <v>3</v>
      </c>
      <c r="E1793" s="1">
        <v>11.172800000000001</v>
      </c>
      <c r="F1793" s="1">
        <v>0</v>
      </c>
      <c r="G1793" s="1">
        <v>1495.6949999999999</v>
      </c>
      <c r="H1793" s="2">
        <v>0</v>
      </c>
      <c r="I1793" s="2">
        <v>-16674.46</v>
      </c>
      <c r="J1793" s="1">
        <v>1741671.63</v>
      </c>
      <c r="K1793" s="1">
        <v>155885.666</v>
      </c>
    </row>
    <row r="1794" spans="1:11">
      <c r="A1794" t="s">
        <v>1</v>
      </c>
      <c r="B1794" s="3">
        <v>41898</v>
      </c>
      <c r="C1794" s="3">
        <v>41898</v>
      </c>
      <c r="D1794" t="s">
        <v>2</v>
      </c>
      <c r="E1794" s="1">
        <v>17.848700000000001</v>
      </c>
      <c r="F1794" s="1">
        <v>5350.6719999999996</v>
      </c>
      <c r="G1794" s="1">
        <v>0</v>
      </c>
      <c r="H1794" s="2">
        <v>95287.66</v>
      </c>
      <c r="I1794" s="2">
        <v>0</v>
      </c>
      <c r="J1794" s="1">
        <v>73346114.390000001</v>
      </c>
      <c r="K1794" s="1">
        <v>4109319.4640000002</v>
      </c>
    </row>
    <row r="1795" spans="1:11">
      <c r="A1795" t="s">
        <v>1</v>
      </c>
      <c r="B1795" s="3">
        <v>41898</v>
      </c>
      <c r="C1795" s="3">
        <v>41898</v>
      </c>
      <c r="D1795" t="s">
        <v>9</v>
      </c>
      <c r="E1795" s="1">
        <v>19.240400000000001</v>
      </c>
      <c r="F1795" s="1">
        <v>6683.8</v>
      </c>
      <c r="G1795" s="1">
        <v>0</v>
      </c>
      <c r="H1795" s="2">
        <v>128308.39</v>
      </c>
      <c r="I1795" s="2">
        <v>0</v>
      </c>
      <c r="J1795" s="1">
        <v>1243288.98</v>
      </c>
      <c r="K1795" s="1">
        <v>64618.589</v>
      </c>
    </row>
    <row r="1796" spans="1:11">
      <c r="A1796" t="s">
        <v>1</v>
      </c>
      <c r="B1796" s="3">
        <v>41898</v>
      </c>
      <c r="C1796" s="3">
        <v>41898</v>
      </c>
      <c r="D1796" t="s">
        <v>0</v>
      </c>
      <c r="E1796" s="1">
        <v>17.7959</v>
      </c>
      <c r="F1796" s="1">
        <v>5014.5050000000001</v>
      </c>
      <c r="G1796" s="1">
        <v>0</v>
      </c>
      <c r="H1796" s="2">
        <v>89036.25</v>
      </c>
      <c r="I1796" s="2">
        <v>0</v>
      </c>
      <c r="J1796" s="1">
        <v>6260328.4000000004</v>
      </c>
      <c r="K1796" s="1">
        <v>351784.58</v>
      </c>
    </row>
    <row r="1797" spans="1:11">
      <c r="A1797" t="s">
        <v>1</v>
      </c>
      <c r="B1797" s="3">
        <v>41899</v>
      </c>
      <c r="C1797" s="3">
        <v>41899</v>
      </c>
      <c r="D1797" t="s">
        <v>7</v>
      </c>
      <c r="E1797" s="1">
        <v>23.783300000000001</v>
      </c>
      <c r="F1797" s="1">
        <v>11340.002</v>
      </c>
      <c r="G1797" s="1">
        <v>41493.724999999999</v>
      </c>
      <c r="H1797" s="2">
        <v>267892.84000000003</v>
      </c>
      <c r="I1797" s="2">
        <v>-980235.31</v>
      </c>
      <c r="J1797" s="1">
        <v>288563058</v>
      </c>
      <c r="K1797" s="1">
        <v>12133004.518999999</v>
      </c>
    </row>
    <row r="1798" spans="1:11">
      <c r="A1798" t="s">
        <v>1</v>
      </c>
      <c r="B1798" s="3">
        <v>41899</v>
      </c>
      <c r="C1798" s="3">
        <v>41899</v>
      </c>
      <c r="D1798" t="s">
        <v>6</v>
      </c>
      <c r="E1798" s="1">
        <v>19.565999999999999</v>
      </c>
      <c r="F1798" s="1">
        <v>0</v>
      </c>
      <c r="G1798" s="1">
        <v>552.58799999999997</v>
      </c>
      <c r="H1798" s="2">
        <v>0</v>
      </c>
      <c r="I1798" s="2">
        <v>-10739.76</v>
      </c>
      <c r="J1798" s="1">
        <v>33257711</v>
      </c>
      <c r="K1798" s="1">
        <v>1699771.6640000001</v>
      </c>
    </row>
    <row r="1799" spans="1:11">
      <c r="A1799" t="s">
        <v>1</v>
      </c>
      <c r="B1799" s="3">
        <v>41899</v>
      </c>
      <c r="C1799" s="3">
        <v>41899</v>
      </c>
      <c r="D1799" t="s">
        <v>5</v>
      </c>
      <c r="E1799" s="1">
        <v>18.373799999999999</v>
      </c>
      <c r="F1799" s="1">
        <v>0</v>
      </c>
      <c r="G1799" s="1">
        <v>23536</v>
      </c>
      <c r="H1799" s="2">
        <v>0</v>
      </c>
      <c r="I1799" s="2">
        <v>-429534.35</v>
      </c>
      <c r="J1799" s="1">
        <v>13230812.050000001</v>
      </c>
      <c r="K1799" s="1">
        <v>720091.16700000002</v>
      </c>
    </row>
    <row r="1800" spans="1:11">
      <c r="A1800" t="s">
        <v>1</v>
      </c>
      <c r="B1800" s="3">
        <v>41899</v>
      </c>
      <c r="C1800" s="3">
        <v>41899</v>
      </c>
      <c r="D1800" t="s">
        <v>4</v>
      </c>
      <c r="E1800" s="1">
        <v>11.5922</v>
      </c>
      <c r="F1800" s="1">
        <v>25.891999999999999</v>
      </c>
      <c r="G1800" s="1">
        <v>1769.875</v>
      </c>
      <c r="H1800" s="2">
        <v>298.13</v>
      </c>
      <c r="I1800" s="2">
        <v>-20379.05</v>
      </c>
      <c r="J1800" s="1">
        <v>16339911.16</v>
      </c>
      <c r="K1800" s="1">
        <v>1409562.9369999999</v>
      </c>
    </row>
    <row r="1801" spans="1:11">
      <c r="A1801" t="s">
        <v>1</v>
      </c>
      <c r="B1801" s="3">
        <v>41899</v>
      </c>
      <c r="C1801" s="3">
        <v>41899</v>
      </c>
      <c r="D1801" t="s">
        <v>3</v>
      </c>
      <c r="E1801" s="1">
        <v>11.2478</v>
      </c>
      <c r="F1801" s="1">
        <v>0</v>
      </c>
      <c r="G1801" s="1">
        <v>4706.9449999999997</v>
      </c>
      <c r="H1801" s="2">
        <v>0</v>
      </c>
      <c r="I1801" s="2">
        <v>-52589.760000000002</v>
      </c>
      <c r="J1801" s="1">
        <v>1700427.52</v>
      </c>
      <c r="K1801" s="1">
        <v>151178.72099999999</v>
      </c>
    </row>
    <row r="1802" spans="1:11">
      <c r="A1802" t="s">
        <v>1</v>
      </c>
      <c r="B1802" s="3">
        <v>41899</v>
      </c>
      <c r="C1802" s="3">
        <v>41899</v>
      </c>
      <c r="D1802" t="s">
        <v>2</v>
      </c>
      <c r="E1802" s="1">
        <v>17.9697</v>
      </c>
      <c r="F1802" s="1">
        <v>10657.744000000001</v>
      </c>
      <c r="G1802" s="1">
        <v>0</v>
      </c>
      <c r="H1802" s="2">
        <v>190226.58</v>
      </c>
      <c r="I1802" s="2">
        <v>0</v>
      </c>
      <c r="J1802" s="1">
        <v>74034821.760000005</v>
      </c>
      <c r="K1802" s="1">
        <v>4119977.2080000001</v>
      </c>
    </row>
    <row r="1803" spans="1:11">
      <c r="A1803" t="s">
        <v>1</v>
      </c>
      <c r="B1803" s="3">
        <v>41899</v>
      </c>
      <c r="C1803" s="3">
        <v>41899</v>
      </c>
      <c r="D1803" t="s">
        <v>0</v>
      </c>
      <c r="E1803" s="1">
        <v>17.916599999999999</v>
      </c>
      <c r="F1803" s="1">
        <v>6771.7179999999998</v>
      </c>
      <c r="G1803" s="1">
        <v>277.60399999999998</v>
      </c>
      <c r="H1803" s="2">
        <v>120508.7</v>
      </c>
      <c r="I1803" s="2">
        <v>-4940.2</v>
      </c>
      <c r="J1803" s="1">
        <v>6419143.3899999997</v>
      </c>
      <c r="K1803" s="1">
        <v>358278.69400000002</v>
      </c>
    </row>
    <row r="1804" spans="1:11">
      <c r="A1804" t="s">
        <v>1</v>
      </c>
      <c r="B1804" s="3">
        <v>41900</v>
      </c>
      <c r="C1804" s="3">
        <v>41900</v>
      </c>
      <c r="D1804" t="s">
        <v>8</v>
      </c>
      <c r="E1804" s="1">
        <v>19.3001</v>
      </c>
      <c r="F1804" s="1">
        <v>0</v>
      </c>
      <c r="G1804" s="1">
        <v>336.80900000000003</v>
      </c>
      <c r="H1804" s="2">
        <v>0</v>
      </c>
      <c r="I1804" s="2">
        <v>-6478.25</v>
      </c>
      <c r="J1804" s="1">
        <v>10940514.24</v>
      </c>
      <c r="K1804" s="1">
        <v>566861.99600000004</v>
      </c>
    </row>
    <row r="1805" spans="1:11">
      <c r="A1805" t="s">
        <v>1</v>
      </c>
      <c r="B1805" s="3">
        <v>41900</v>
      </c>
      <c r="C1805" s="3">
        <v>41900</v>
      </c>
      <c r="D1805" t="s">
        <v>7</v>
      </c>
      <c r="E1805" s="1">
        <v>23.864899999999999</v>
      </c>
      <c r="F1805" s="1">
        <v>1265.5940000000001</v>
      </c>
      <c r="G1805" s="1">
        <v>3924.1529999999998</v>
      </c>
      <c r="H1805" s="2">
        <v>30100</v>
      </c>
      <c r="I1805" s="2">
        <v>-93329.31</v>
      </c>
      <c r="J1805" s="1">
        <v>289489543.26999998</v>
      </c>
      <c r="K1805" s="1">
        <v>12130345.960000001</v>
      </c>
    </row>
    <row r="1806" spans="1:11">
      <c r="A1806" t="s">
        <v>1</v>
      </c>
      <c r="B1806" s="3">
        <v>41900</v>
      </c>
      <c r="C1806" s="3">
        <v>41900</v>
      </c>
      <c r="D1806" t="s">
        <v>12</v>
      </c>
      <c r="E1806" s="1">
        <v>18.893799999999999</v>
      </c>
      <c r="F1806" s="1">
        <v>764.57399999999996</v>
      </c>
      <c r="G1806" s="1">
        <v>1802.336</v>
      </c>
      <c r="H1806" s="2">
        <v>14396.93</v>
      </c>
      <c r="I1806" s="2">
        <v>-33937.99</v>
      </c>
      <c r="J1806" s="1">
        <v>8040893.2699999996</v>
      </c>
      <c r="K1806" s="1">
        <v>425584.26500000001</v>
      </c>
    </row>
    <row r="1807" spans="1:11">
      <c r="A1807" t="s">
        <v>1</v>
      </c>
      <c r="B1807" s="3">
        <v>41900</v>
      </c>
      <c r="C1807" s="3">
        <v>41900</v>
      </c>
      <c r="D1807" t="s">
        <v>6</v>
      </c>
      <c r="E1807" s="1">
        <v>19.632300000000001</v>
      </c>
      <c r="F1807" s="1">
        <v>45191.275000000001</v>
      </c>
      <c r="G1807" s="1">
        <v>4778.0079999999998</v>
      </c>
      <c r="H1807" s="2">
        <v>884212.4</v>
      </c>
      <c r="I1807" s="2">
        <v>-93486.51</v>
      </c>
      <c r="J1807" s="1">
        <v>34163842.719999999</v>
      </c>
      <c r="K1807" s="1">
        <v>1740184.9310000001</v>
      </c>
    </row>
    <row r="1808" spans="1:11">
      <c r="A1808" t="s">
        <v>1</v>
      </c>
      <c r="B1808" s="3">
        <v>41900</v>
      </c>
      <c r="C1808" s="3">
        <v>41900</v>
      </c>
      <c r="D1808" t="s">
        <v>5</v>
      </c>
      <c r="E1808" s="1">
        <v>18.437200000000001</v>
      </c>
      <c r="F1808" s="1">
        <v>5442.5320000000002</v>
      </c>
      <c r="G1808" s="1">
        <v>0</v>
      </c>
      <c r="H1808" s="2">
        <v>100000</v>
      </c>
      <c r="I1808" s="2">
        <v>0</v>
      </c>
      <c r="J1808" s="1">
        <v>13376818.07</v>
      </c>
      <c r="K1808" s="1">
        <v>725533.69900000002</v>
      </c>
    </row>
    <row r="1809" spans="1:11">
      <c r="A1809" t="s">
        <v>1</v>
      </c>
      <c r="B1809" s="3">
        <v>41900</v>
      </c>
      <c r="C1809" s="3">
        <v>41900</v>
      </c>
      <c r="D1809" t="s">
        <v>13</v>
      </c>
      <c r="E1809" s="1">
        <v>10.0345</v>
      </c>
      <c r="F1809" s="1">
        <v>5062.5</v>
      </c>
      <c r="G1809" s="1">
        <v>0</v>
      </c>
      <c r="H1809" s="2">
        <v>50625</v>
      </c>
      <c r="I1809" s="2">
        <v>0</v>
      </c>
      <c r="J1809" s="1">
        <v>50799.72</v>
      </c>
      <c r="K1809" s="1">
        <v>5062.5</v>
      </c>
    </row>
    <row r="1810" spans="1:11">
      <c r="A1810" t="s">
        <v>1</v>
      </c>
      <c r="B1810" s="3">
        <v>41900</v>
      </c>
      <c r="C1810" s="3">
        <v>41900</v>
      </c>
      <c r="D1810" t="s">
        <v>2</v>
      </c>
      <c r="E1810" s="1">
        <v>18.031700000000001</v>
      </c>
      <c r="F1810" s="1">
        <v>10611.716</v>
      </c>
      <c r="G1810" s="1">
        <v>453.73700000000002</v>
      </c>
      <c r="H1810" s="2">
        <v>190688.95</v>
      </c>
      <c r="I1810" s="2">
        <v>-8153.5</v>
      </c>
      <c r="J1810" s="1">
        <v>74473488.989999995</v>
      </c>
      <c r="K1810" s="1">
        <v>4130135.1869999999</v>
      </c>
    </row>
    <row r="1811" spans="1:11">
      <c r="A1811" t="s">
        <v>1</v>
      </c>
      <c r="B1811" s="3">
        <v>41900</v>
      </c>
      <c r="C1811" s="3">
        <v>41900</v>
      </c>
      <c r="D1811" t="s">
        <v>0</v>
      </c>
      <c r="E1811" s="1">
        <v>17.9785</v>
      </c>
      <c r="F1811" s="1">
        <v>2784.7020000000002</v>
      </c>
      <c r="G1811" s="1">
        <v>99.125</v>
      </c>
      <c r="H1811" s="2">
        <v>49892.57</v>
      </c>
      <c r="I1811" s="2">
        <v>-1775.98</v>
      </c>
      <c r="J1811" s="1">
        <v>6489605.75</v>
      </c>
      <c r="K1811" s="1">
        <v>360964.27100000001</v>
      </c>
    </row>
    <row r="1812" spans="1:11">
      <c r="A1812" t="s">
        <v>1</v>
      </c>
      <c r="B1812" s="3">
        <v>41901</v>
      </c>
      <c r="C1812" s="3">
        <v>41901</v>
      </c>
      <c r="D1812" t="s">
        <v>7</v>
      </c>
      <c r="E1812" s="1">
        <v>24.050699999999999</v>
      </c>
      <c r="F1812" s="1">
        <v>21780.218000000001</v>
      </c>
      <c r="G1812" s="1">
        <v>8114.1559999999999</v>
      </c>
      <c r="H1812" s="2">
        <v>519782.73</v>
      </c>
      <c r="I1812" s="2">
        <v>-193643.51</v>
      </c>
      <c r="J1812" s="1">
        <v>292071999.19999999</v>
      </c>
      <c r="K1812" s="1">
        <v>12144012.022</v>
      </c>
    </row>
    <row r="1813" spans="1:11">
      <c r="A1813" t="s">
        <v>1</v>
      </c>
      <c r="B1813" s="3">
        <v>41901</v>
      </c>
      <c r="C1813" s="3">
        <v>41901</v>
      </c>
      <c r="D1813" t="s">
        <v>12</v>
      </c>
      <c r="E1813" s="1">
        <v>19.040099999999999</v>
      </c>
      <c r="F1813" s="1">
        <v>3996.799</v>
      </c>
      <c r="G1813" s="1">
        <v>0</v>
      </c>
      <c r="H1813" s="2">
        <v>75514.720000000001</v>
      </c>
      <c r="I1813" s="2">
        <v>0</v>
      </c>
      <c r="J1813" s="1">
        <v>8179263.5099999998</v>
      </c>
      <c r="K1813" s="1">
        <v>429581.06400000001</v>
      </c>
    </row>
    <row r="1814" spans="1:11">
      <c r="A1814" t="s">
        <v>1</v>
      </c>
      <c r="B1814" s="3">
        <v>41901</v>
      </c>
      <c r="C1814" s="3">
        <v>41901</v>
      </c>
      <c r="D1814" t="s">
        <v>6</v>
      </c>
      <c r="E1814" s="1">
        <v>19.784300000000002</v>
      </c>
      <c r="F1814" s="1">
        <v>36707.735999999997</v>
      </c>
      <c r="G1814" s="1">
        <v>10607.454</v>
      </c>
      <c r="H1814" s="2">
        <v>720657.16</v>
      </c>
      <c r="I1814" s="2">
        <v>-208248.7</v>
      </c>
      <c r="J1814" s="1">
        <v>34944792.899999999</v>
      </c>
      <c r="K1814" s="1">
        <v>1766285.213</v>
      </c>
    </row>
    <row r="1815" spans="1:11">
      <c r="A1815" t="s">
        <v>1</v>
      </c>
      <c r="B1815" s="3">
        <v>41901</v>
      </c>
      <c r="C1815" s="3">
        <v>41901</v>
      </c>
      <c r="D1815" t="s">
        <v>5</v>
      </c>
      <c r="E1815" s="1">
        <v>18.581099999999999</v>
      </c>
      <c r="F1815" s="1">
        <v>49091</v>
      </c>
      <c r="G1815" s="1">
        <v>0</v>
      </c>
      <c r="H1815" s="2">
        <v>905100.59</v>
      </c>
      <c r="I1815" s="2">
        <v>0</v>
      </c>
      <c r="J1815" s="1">
        <v>14393401.859999999</v>
      </c>
      <c r="K1815" s="1">
        <v>774624.69900000002</v>
      </c>
    </row>
    <row r="1816" spans="1:11">
      <c r="A1816" t="s">
        <v>1</v>
      </c>
      <c r="B1816" s="3">
        <v>41901</v>
      </c>
      <c r="C1816" s="3">
        <v>41901</v>
      </c>
      <c r="D1816" t="s">
        <v>4</v>
      </c>
      <c r="E1816" s="1">
        <v>11.7225</v>
      </c>
      <c r="F1816" s="1">
        <v>6104.0410000000002</v>
      </c>
      <c r="G1816" s="1">
        <v>4482.884</v>
      </c>
      <c r="H1816" s="2">
        <v>71002.210000000006</v>
      </c>
      <c r="I1816" s="2">
        <v>-52144.91</v>
      </c>
      <c r="J1816" s="1">
        <v>16542618.609999999</v>
      </c>
      <c r="K1816" s="1">
        <v>1411184.094</v>
      </c>
    </row>
    <row r="1817" spans="1:11">
      <c r="A1817" t="s">
        <v>1</v>
      </c>
      <c r="B1817" s="3">
        <v>41901</v>
      </c>
      <c r="C1817" s="3">
        <v>41901</v>
      </c>
      <c r="D1817" t="s">
        <v>2</v>
      </c>
      <c r="E1817" s="1">
        <v>18.172499999999999</v>
      </c>
      <c r="F1817" s="1">
        <v>9078.0339999999997</v>
      </c>
      <c r="G1817" s="1">
        <v>0</v>
      </c>
      <c r="H1817" s="2">
        <v>163692.53</v>
      </c>
      <c r="I1817" s="2">
        <v>0</v>
      </c>
      <c r="J1817" s="1">
        <v>75219791.790000007</v>
      </c>
      <c r="K1817" s="1">
        <v>4139213.2209999999</v>
      </c>
    </row>
    <row r="1818" spans="1:11">
      <c r="A1818" t="s">
        <v>1</v>
      </c>
      <c r="B1818" s="3">
        <v>41901</v>
      </c>
      <c r="C1818" s="3">
        <v>41901</v>
      </c>
      <c r="D1818" t="s">
        <v>9</v>
      </c>
      <c r="E1818" s="1">
        <v>19.5899</v>
      </c>
      <c r="F1818" s="1">
        <v>0</v>
      </c>
      <c r="G1818" s="1">
        <v>112.98399999999999</v>
      </c>
      <c r="H1818" s="2">
        <v>0</v>
      </c>
      <c r="I1818" s="2">
        <v>-2196.1799999999998</v>
      </c>
      <c r="J1818" s="1">
        <v>1263655.3600000001</v>
      </c>
      <c r="K1818" s="1">
        <v>64505.605000000003</v>
      </c>
    </row>
    <row r="1819" spans="1:11">
      <c r="A1819" t="s">
        <v>1</v>
      </c>
      <c r="B1819" s="3">
        <v>41901</v>
      </c>
      <c r="C1819" s="3">
        <v>41901</v>
      </c>
      <c r="D1819" t="s">
        <v>0</v>
      </c>
      <c r="E1819" s="1">
        <v>18.1189</v>
      </c>
      <c r="F1819" s="1">
        <v>2333.4279999999999</v>
      </c>
      <c r="G1819" s="1">
        <v>119.44799999999999</v>
      </c>
      <c r="H1819" s="2">
        <v>41951.45</v>
      </c>
      <c r="I1819" s="2">
        <v>-2147.5</v>
      </c>
      <c r="J1819" s="1">
        <v>6580404.4699999997</v>
      </c>
      <c r="K1819" s="1">
        <v>363178.25099999999</v>
      </c>
    </row>
    <row r="1820" spans="1:11">
      <c r="A1820" t="s">
        <v>1</v>
      </c>
      <c r="B1820" s="3">
        <v>41904</v>
      </c>
      <c r="C1820" s="3">
        <v>41904</v>
      </c>
      <c r="D1820" t="s">
        <v>8</v>
      </c>
      <c r="E1820" s="1">
        <v>19.449000000000002</v>
      </c>
      <c r="F1820" s="1">
        <v>108837.23299999999</v>
      </c>
      <c r="G1820" s="1">
        <v>0</v>
      </c>
      <c r="H1820" s="2">
        <v>2116922.5299999998</v>
      </c>
      <c r="I1820" s="2">
        <v>0</v>
      </c>
      <c r="J1820" s="1">
        <v>13141691.970000001</v>
      </c>
      <c r="K1820" s="1">
        <v>675699.22900000005</v>
      </c>
    </row>
    <row r="1821" spans="1:11">
      <c r="A1821" t="s">
        <v>1</v>
      </c>
      <c r="B1821" s="3">
        <v>41904</v>
      </c>
      <c r="C1821" s="3">
        <v>41904</v>
      </c>
      <c r="D1821" t="s">
        <v>7</v>
      </c>
      <c r="E1821" s="1">
        <v>24.048999999999999</v>
      </c>
      <c r="F1821" s="1">
        <v>8845.81</v>
      </c>
      <c r="G1821" s="1">
        <v>33280.436999999998</v>
      </c>
      <c r="H1821" s="2">
        <v>212747.92</v>
      </c>
      <c r="I1821" s="2">
        <v>-800417.81</v>
      </c>
      <c r="J1821" s="1">
        <v>291463912.76999998</v>
      </c>
      <c r="K1821" s="1">
        <v>12119577.395</v>
      </c>
    </row>
    <row r="1822" spans="1:11">
      <c r="A1822" t="s">
        <v>1</v>
      </c>
      <c r="B1822" s="3">
        <v>41904</v>
      </c>
      <c r="C1822" s="3">
        <v>41904</v>
      </c>
      <c r="D1822" t="s">
        <v>12</v>
      </c>
      <c r="E1822" s="1">
        <v>19.0364</v>
      </c>
      <c r="F1822" s="1">
        <v>30826.605</v>
      </c>
      <c r="G1822" s="1">
        <v>1278.9280000000001</v>
      </c>
      <c r="H1822" s="2">
        <v>586941.57999999996</v>
      </c>
      <c r="I1822" s="2">
        <v>-24350.92</v>
      </c>
      <c r="J1822" s="1">
        <v>8740164.0999999996</v>
      </c>
      <c r="K1822" s="1">
        <v>459128.74099999998</v>
      </c>
    </row>
    <row r="1823" spans="1:11">
      <c r="A1823" t="s">
        <v>1</v>
      </c>
      <c r="B1823" s="3">
        <v>41904</v>
      </c>
      <c r="C1823" s="3">
        <v>41904</v>
      </c>
      <c r="D1823" t="s">
        <v>6</v>
      </c>
      <c r="E1823" s="1">
        <v>19.7805</v>
      </c>
      <c r="F1823" s="1">
        <v>80256.210999999996</v>
      </c>
      <c r="G1823" s="1">
        <v>106.145</v>
      </c>
      <c r="H1823" s="2">
        <v>1587812.97</v>
      </c>
      <c r="I1823" s="2">
        <v>-2100</v>
      </c>
      <c r="J1823" s="1">
        <v>36523443.369999997</v>
      </c>
      <c r="K1823" s="1">
        <v>1846435.2790000001</v>
      </c>
    </row>
    <row r="1824" spans="1:11">
      <c r="A1824" t="s">
        <v>1</v>
      </c>
      <c r="B1824" s="3">
        <v>41904</v>
      </c>
      <c r="C1824" s="3">
        <v>41904</v>
      </c>
      <c r="D1824" t="s">
        <v>10</v>
      </c>
      <c r="E1824" s="1">
        <v>18.350899999999999</v>
      </c>
      <c r="F1824" s="1">
        <v>53000</v>
      </c>
      <c r="G1824" s="1">
        <v>0</v>
      </c>
      <c r="H1824" s="2">
        <v>974564.09</v>
      </c>
      <c r="I1824" s="2">
        <v>0</v>
      </c>
      <c r="J1824" s="1">
        <v>6060516.8700000001</v>
      </c>
      <c r="K1824" s="1">
        <v>330257.125</v>
      </c>
    </row>
    <row r="1825" spans="1:11">
      <c r="A1825" t="s">
        <v>1</v>
      </c>
      <c r="B1825" s="3">
        <v>41904</v>
      </c>
      <c r="C1825" s="3">
        <v>41904</v>
      </c>
      <c r="D1825" t="s">
        <v>4</v>
      </c>
      <c r="E1825" s="1">
        <v>11.7217</v>
      </c>
      <c r="F1825" s="1">
        <v>4336</v>
      </c>
      <c r="G1825" s="1">
        <v>0</v>
      </c>
      <c r="H1825" s="2">
        <v>50828.76</v>
      </c>
      <c r="I1825" s="2">
        <v>0</v>
      </c>
      <c r="J1825" s="1">
        <v>16592285.109999999</v>
      </c>
      <c r="K1825" s="1">
        <v>1415520.094</v>
      </c>
    </row>
    <row r="1826" spans="1:11">
      <c r="A1826" t="s">
        <v>1</v>
      </c>
      <c r="B1826" s="3">
        <v>41904</v>
      </c>
      <c r="C1826" s="3">
        <v>41904</v>
      </c>
      <c r="D1826" t="s">
        <v>2</v>
      </c>
      <c r="E1826" s="1">
        <v>18.1723</v>
      </c>
      <c r="F1826" s="1">
        <v>31630.602999999999</v>
      </c>
      <c r="G1826" s="1">
        <v>0</v>
      </c>
      <c r="H1826" s="2">
        <v>574806.04</v>
      </c>
      <c r="I1826" s="2">
        <v>0</v>
      </c>
      <c r="J1826" s="1">
        <v>75793961.200000003</v>
      </c>
      <c r="K1826" s="1">
        <v>4170843.824</v>
      </c>
    </row>
    <row r="1827" spans="1:11">
      <c r="A1827" t="s">
        <v>1</v>
      </c>
      <c r="B1827" s="3">
        <v>41904</v>
      </c>
      <c r="C1827" s="3">
        <v>41904</v>
      </c>
      <c r="D1827" t="s">
        <v>9</v>
      </c>
      <c r="E1827" s="1">
        <v>19.5901</v>
      </c>
      <c r="F1827" s="1">
        <v>0</v>
      </c>
      <c r="G1827" s="1">
        <v>38.25</v>
      </c>
      <c r="H1827" s="2">
        <v>0</v>
      </c>
      <c r="I1827" s="2">
        <v>-749.31</v>
      </c>
      <c r="J1827" s="1">
        <v>1262922.25</v>
      </c>
      <c r="K1827" s="1">
        <v>64467.355000000003</v>
      </c>
    </row>
    <row r="1828" spans="1:11">
      <c r="A1828" t="s">
        <v>1</v>
      </c>
      <c r="B1828" s="3">
        <v>41904</v>
      </c>
      <c r="C1828" s="3">
        <v>41904</v>
      </c>
      <c r="D1828" t="s">
        <v>0</v>
      </c>
      <c r="E1828" s="1">
        <v>18.119</v>
      </c>
      <c r="F1828" s="1">
        <v>2451.5549999999998</v>
      </c>
      <c r="G1828" s="1">
        <v>30.937000000000001</v>
      </c>
      <c r="H1828" s="2">
        <v>44419.43</v>
      </c>
      <c r="I1828" s="2">
        <v>-560.54999999999995</v>
      </c>
      <c r="J1828" s="1">
        <v>6624289.3700000001</v>
      </c>
      <c r="K1828" s="1">
        <v>365598.86900000001</v>
      </c>
    </row>
    <row r="1829" spans="1:11">
      <c r="A1829" t="s">
        <v>1</v>
      </c>
      <c r="B1829" s="3">
        <v>41905</v>
      </c>
      <c r="C1829" s="3">
        <v>41905</v>
      </c>
      <c r="D1829" t="s">
        <v>8</v>
      </c>
      <c r="E1829" s="1">
        <v>19.332899999999999</v>
      </c>
      <c r="F1829" s="1">
        <v>11324.037</v>
      </c>
      <c r="G1829" s="1">
        <v>360390.59399999998</v>
      </c>
      <c r="H1829" s="2">
        <v>220241.39</v>
      </c>
      <c r="I1829" s="2">
        <v>-7009243.0800000001</v>
      </c>
      <c r="J1829" s="1">
        <v>6314745.4800000004</v>
      </c>
      <c r="K1829" s="1">
        <v>326632.67200000002</v>
      </c>
    </row>
    <row r="1830" spans="1:11">
      <c r="A1830" t="s">
        <v>1</v>
      </c>
      <c r="B1830" s="3">
        <v>41905</v>
      </c>
      <c r="C1830" s="3">
        <v>41905</v>
      </c>
      <c r="D1830" t="s">
        <v>7</v>
      </c>
      <c r="E1830" s="1">
        <v>23.9054</v>
      </c>
      <c r="F1830" s="1">
        <v>2991.6010000000001</v>
      </c>
      <c r="G1830" s="1">
        <v>97531.524000000005</v>
      </c>
      <c r="H1830" s="2">
        <v>71944.990000000005</v>
      </c>
      <c r="I1830" s="2">
        <v>-2345535.64</v>
      </c>
      <c r="J1830" s="1">
        <v>287462980.67000002</v>
      </c>
      <c r="K1830" s="1">
        <v>12025037.471999999</v>
      </c>
    </row>
    <row r="1831" spans="1:11">
      <c r="A1831" t="s">
        <v>1</v>
      </c>
      <c r="B1831" s="3">
        <v>41905</v>
      </c>
      <c r="C1831" s="3">
        <v>41905</v>
      </c>
      <c r="D1831" t="s">
        <v>12</v>
      </c>
      <c r="E1831" s="1">
        <v>18.921900000000001</v>
      </c>
      <c r="F1831" s="1">
        <v>0</v>
      </c>
      <c r="G1831" s="1">
        <v>35440.286</v>
      </c>
      <c r="H1831" s="2">
        <v>0</v>
      </c>
      <c r="I1831" s="2">
        <v>-674655.44</v>
      </c>
      <c r="J1831" s="1">
        <v>8017001.71</v>
      </c>
      <c r="K1831" s="1">
        <v>423688.45500000002</v>
      </c>
    </row>
    <row r="1832" spans="1:11">
      <c r="A1832" t="s">
        <v>1</v>
      </c>
      <c r="B1832" s="3">
        <v>41905</v>
      </c>
      <c r="C1832" s="3">
        <v>41905</v>
      </c>
      <c r="D1832" t="s">
        <v>6</v>
      </c>
      <c r="E1832" s="1">
        <v>19.6616</v>
      </c>
      <c r="F1832" s="1">
        <v>10768.106</v>
      </c>
      <c r="G1832" s="1">
        <v>37617.832000000002</v>
      </c>
      <c r="H1832" s="2">
        <v>212998.51</v>
      </c>
      <c r="I1832" s="2">
        <v>-744099.5</v>
      </c>
      <c r="J1832" s="1">
        <v>35775880.030000001</v>
      </c>
      <c r="K1832" s="1">
        <v>1819585.5530000001</v>
      </c>
    </row>
    <row r="1833" spans="1:11">
      <c r="A1833" t="s">
        <v>1</v>
      </c>
      <c r="B1833" s="3">
        <v>41905</v>
      </c>
      <c r="C1833" s="3">
        <v>41905</v>
      </c>
      <c r="D1833" t="s">
        <v>5</v>
      </c>
      <c r="E1833" s="1">
        <v>18.470400000000001</v>
      </c>
      <c r="F1833" s="1">
        <v>185418</v>
      </c>
      <c r="G1833" s="1">
        <v>0</v>
      </c>
      <c r="H1833" s="2">
        <v>3445251.86</v>
      </c>
      <c r="I1833" s="2">
        <v>0</v>
      </c>
      <c r="J1833" s="1">
        <v>17732349.329999998</v>
      </c>
      <c r="K1833" s="1">
        <v>960042.69900000002</v>
      </c>
    </row>
    <row r="1834" spans="1:11">
      <c r="A1834" t="s">
        <v>1</v>
      </c>
      <c r="B1834" s="3">
        <v>41905</v>
      </c>
      <c r="C1834" s="3">
        <v>41905</v>
      </c>
      <c r="D1834" t="s">
        <v>4</v>
      </c>
      <c r="E1834" s="1">
        <v>11.6517</v>
      </c>
      <c r="F1834" s="1">
        <v>76.168000000000006</v>
      </c>
      <c r="G1834" s="1">
        <v>0</v>
      </c>
      <c r="H1834" s="2">
        <v>892.82</v>
      </c>
      <c r="I1834" s="2">
        <v>0</v>
      </c>
      <c r="J1834" s="1">
        <v>16494066.43</v>
      </c>
      <c r="K1834" s="1">
        <v>1415596.2620000001</v>
      </c>
    </row>
    <row r="1835" spans="1:11">
      <c r="A1835" t="s">
        <v>1</v>
      </c>
      <c r="B1835" s="3">
        <v>41905</v>
      </c>
      <c r="C1835" s="3">
        <v>41905</v>
      </c>
      <c r="D1835" t="s">
        <v>2</v>
      </c>
      <c r="E1835" s="1">
        <v>18.0642</v>
      </c>
      <c r="F1835" s="1">
        <v>3129.0740000000001</v>
      </c>
      <c r="G1835" s="1">
        <v>0</v>
      </c>
      <c r="H1835" s="2">
        <v>56862.400000000001</v>
      </c>
      <c r="I1835" s="2">
        <v>0</v>
      </c>
      <c r="J1835" s="1">
        <v>75399323.200000003</v>
      </c>
      <c r="K1835" s="1">
        <v>4173972.898</v>
      </c>
    </row>
    <row r="1836" spans="1:11">
      <c r="A1836" t="s">
        <v>1</v>
      </c>
      <c r="B1836" s="3">
        <v>41905</v>
      </c>
      <c r="C1836" s="3">
        <v>41905</v>
      </c>
      <c r="D1836" t="s">
        <v>9</v>
      </c>
      <c r="E1836" s="1">
        <v>19.473600000000001</v>
      </c>
      <c r="F1836" s="1">
        <v>20.254000000000001</v>
      </c>
      <c r="G1836" s="1">
        <v>0</v>
      </c>
      <c r="H1836" s="2">
        <v>396.76</v>
      </c>
      <c r="I1836" s="2">
        <v>0</v>
      </c>
      <c r="J1836" s="1">
        <v>1255808.1399999999</v>
      </c>
      <c r="K1836" s="1">
        <v>64487.608999999997</v>
      </c>
    </row>
    <row r="1837" spans="1:11">
      <c r="A1837" t="s">
        <v>1</v>
      </c>
      <c r="B1837" s="3">
        <v>41905</v>
      </c>
      <c r="C1837" s="3">
        <v>41905</v>
      </c>
      <c r="D1837" t="s">
        <v>0</v>
      </c>
      <c r="E1837" s="1">
        <v>18.011199999999999</v>
      </c>
      <c r="F1837" s="1">
        <v>2598.3960000000002</v>
      </c>
      <c r="G1837" s="1">
        <v>0</v>
      </c>
      <c r="H1837" s="2">
        <v>47080.47</v>
      </c>
      <c r="I1837" s="2">
        <v>0</v>
      </c>
      <c r="J1837" s="1">
        <v>6631686.0700000003</v>
      </c>
      <c r="K1837" s="1">
        <v>368197.26500000001</v>
      </c>
    </row>
    <row r="1838" spans="1:11">
      <c r="A1838" t="s">
        <v>1</v>
      </c>
      <c r="B1838" s="3">
        <v>41906</v>
      </c>
      <c r="C1838" s="3">
        <v>41906</v>
      </c>
      <c r="D1838" t="s">
        <v>8</v>
      </c>
      <c r="E1838" s="1">
        <v>19.161300000000001</v>
      </c>
      <c r="F1838" s="1">
        <v>0</v>
      </c>
      <c r="G1838" s="1">
        <v>21565.332999999999</v>
      </c>
      <c r="H1838" s="2">
        <v>0</v>
      </c>
      <c r="I1838" s="2">
        <v>-416921.15</v>
      </c>
      <c r="J1838" s="1">
        <v>5845473.54</v>
      </c>
      <c r="K1838" s="1">
        <v>305067.33899999998</v>
      </c>
    </row>
    <row r="1839" spans="1:11">
      <c r="A1839" t="s">
        <v>1</v>
      </c>
      <c r="B1839" s="3">
        <v>41906</v>
      </c>
      <c r="C1839" s="3">
        <v>41906</v>
      </c>
      <c r="D1839" t="s">
        <v>7</v>
      </c>
      <c r="E1839" s="1">
        <v>23.693200000000001</v>
      </c>
      <c r="F1839" s="1">
        <v>4314.5330000000004</v>
      </c>
      <c r="G1839" s="1">
        <v>47722.347000000002</v>
      </c>
      <c r="H1839" s="2">
        <v>103140.65</v>
      </c>
      <c r="I1839" s="2">
        <v>-1140821.8</v>
      </c>
      <c r="J1839" s="1">
        <v>283882906</v>
      </c>
      <c r="K1839" s="1">
        <v>11981629.658</v>
      </c>
    </row>
    <row r="1840" spans="1:11">
      <c r="A1840" t="s">
        <v>1</v>
      </c>
      <c r="B1840" s="3">
        <v>41906</v>
      </c>
      <c r="C1840" s="3">
        <v>41906</v>
      </c>
      <c r="D1840" t="s">
        <v>6</v>
      </c>
      <c r="E1840" s="1">
        <v>19.4862</v>
      </c>
      <c r="F1840" s="1">
        <v>1298.021</v>
      </c>
      <c r="G1840" s="1">
        <v>11992.254999999999</v>
      </c>
      <c r="H1840" s="2">
        <v>25521.17</v>
      </c>
      <c r="I1840" s="2">
        <v>-235786.92</v>
      </c>
      <c r="J1840" s="1">
        <v>35248462.049999997</v>
      </c>
      <c r="K1840" s="1">
        <v>1808891.3189999999</v>
      </c>
    </row>
    <row r="1841" spans="1:11">
      <c r="A1841" t="s">
        <v>1</v>
      </c>
      <c r="B1841" s="3">
        <v>41906</v>
      </c>
      <c r="C1841" s="3">
        <v>41906</v>
      </c>
      <c r="D1841" t="s">
        <v>11</v>
      </c>
      <c r="E1841" s="1">
        <v>13.4535</v>
      </c>
      <c r="F1841" s="1">
        <v>53.420999999999999</v>
      </c>
      <c r="G1841" s="1">
        <v>0</v>
      </c>
      <c r="H1841" s="2">
        <v>725.14</v>
      </c>
      <c r="I1841" s="2">
        <v>0</v>
      </c>
      <c r="J1841" s="1">
        <v>1457.01</v>
      </c>
      <c r="K1841" s="1">
        <v>108.3</v>
      </c>
    </row>
    <row r="1842" spans="1:11">
      <c r="A1842" t="s">
        <v>1</v>
      </c>
      <c r="B1842" s="3">
        <v>41906</v>
      </c>
      <c r="C1842" s="3">
        <v>41906</v>
      </c>
      <c r="D1842" t="s">
        <v>5</v>
      </c>
      <c r="E1842" s="1">
        <v>18.306799999999999</v>
      </c>
      <c r="F1842" s="1">
        <v>175062</v>
      </c>
      <c r="G1842" s="1">
        <v>0</v>
      </c>
      <c r="H1842" s="2">
        <v>3233465.16</v>
      </c>
      <c r="I1842" s="2">
        <v>0</v>
      </c>
      <c r="J1842" s="1">
        <v>20780146.699999999</v>
      </c>
      <c r="K1842" s="1">
        <v>1135104.699</v>
      </c>
    </row>
    <row r="1843" spans="1:11">
      <c r="A1843" t="s">
        <v>1</v>
      </c>
      <c r="B1843" s="3">
        <v>41906</v>
      </c>
      <c r="C1843" s="3">
        <v>41906</v>
      </c>
      <c r="D1843" t="s">
        <v>4</v>
      </c>
      <c r="E1843" s="1">
        <v>11.548299999999999</v>
      </c>
      <c r="F1843" s="1">
        <v>8.5039999999999996</v>
      </c>
      <c r="G1843" s="1">
        <v>885.63</v>
      </c>
      <c r="H1843" s="2">
        <v>99.09</v>
      </c>
      <c r="I1843" s="2">
        <v>-10319.1</v>
      </c>
      <c r="J1843" s="1">
        <v>16337531.039999999</v>
      </c>
      <c r="K1843" s="1">
        <v>1414719.1359999999</v>
      </c>
    </row>
    <row r="1844" spans="1:11">
      <c r="A1844" t="s">
        <v>1</v>
      </c>
      <c r="B1844" s="3">
        <v>41906</v>
      </c>
      <c r="C1844" s="3">
        <v>41906</v>
      </c>
      <c r="D1844" t="s">
        <v>3</v>
      </c>
      <c r="E1844" s="1">
        <v>11.2019</v>
      </c>
      <c r="F1844" s="1">
        <v>857.19899999999996</v>
      </c>
      <c r="G1844" s="1">
        <v>0</v>
      </c>
      <c r="H1844" s="2">
        <v>9688.66</v>
      </c>
      <c r="I1844" s="2">
        <v>0</v>
      </c>
      <c r="J1844" s="1">
        <v>1703097.93</v>
      </c>
      <c r="K1844" s="1">
        <v>152035.92000000001</v>
      </c>
    </row>
    <row r="1845" spans="1:11">
      <c r="A1845" t="s">
        <v>1</v>
      </c>
      <c r="B1845" s="3">
        <v>41906</v>
      </c>
      <c r="C1845" s="3">
        <v>41906</v>
      </c>
      <c r="D1845" t="s">
        <v>2</v>
      </c>
      <c r="E1845" s="1">
        <v>17.904199999999999</v>
      </c>
      <c r="F1845" s="1">
        <v>33662.173000000003</v>
      </c>
      <c r="G1845" s="1">
        <v>0</v>
      </c>
      <c r="H1845" s="2">
        <v>608080.01</v>
      </c>
      <c r="I1845" s="2">
        <v>0</v>
      </c>
      <c r="J1845" s="1">
        <v>75334301.379999995</v>
      </c>
      <c r="K1845" s="1">
        <v>4207635.0710000005</v>
      </c>
    </row>
    <row r="1846" spans="1:11">
      <c r="A1846" t="s">
        <v>1</v>
      </c>
      <c r="B1846" s="3">
        <v>41906</v>
      </c>
      <c r="C1846" s="3">
        <v>41906</v>
      </c>
      <c r="D1846" t="s">
        <v>9</v>
      </c>
      <c r="E1846" s="1">
        <v>19.301300000000001</v>
      </c>
      <c r="F1846" s="1">
        <v>833.00400000000002</v>
      </c>
      <c r="G1846" s="1">
        <v>0</v>
      </c>
      <c r="H1846" s="2">
        <v>16221.65</v>
      </c>
      <c r="I1846" s="2">
        <v>0</v>
      </c>
      <c r="J1846" s="1">
        <v>1260773.9099999999</v>
      </c>
      <c r="K1846" s="1">
        <v>65320.612999999998</v>
      </c>
    </row>
    <row r="1847" spans="1:11">
      <c r="A1847" t="s">
        <v>1</v>
      </c>
      <c r="B1847" s="3">
        <v>41906</v>
      </c>
      <c r="C1847" s="3">
        <v>41906</v>
      </c>
      <c r="D1847" t="s">
        <v>0</v>
      </c>
      <c r="E1847" s="1">
        <v>17.851800000000001</v>
      </c>
      <c r="F1847" s="1">
        <v>1652.4079999999999</v>
      </c>
      <c r="G1847" s="1">
        <v>40.156999999999996</v>
      </c>
      <c r="H1847" s="2">
        <v>29761.97</v>
      </c>
      <c r="I1847" s="2">
        <v>-723.27</v>
      </c>
      <c r="J1847" s="1">
        <v>6601766.5</v>
      </c>
      <c r="K1847" s="1">
        <v>369809.516</v>
      </c>
    </row>
    <row r="1848" spans="1:11">
      <c r="A1848" t="s">
        <v>1</v>
      </c>
      <c r="B1848" s="3">
        <v>41907</v>
      </c>
      <c r="C1848" s="3">
        <v>41907</v>
      </c>
      <c r="D1848" t="s">
        <v>7</v>
      </c>
      <c r="E1848" s="1">
        <v>23.859300000000001</v>
      </c>
      <c r="F1848" s="1">
        <v>3933.585</v>
      </c>
      <c r="G1848" s="1">
        <v>3079.5839999999998</v>
      </c>
      <c r="H1848" s="2">
        <v>93199.24</v>
      </c>
      <c r="I1848" s="2">
        <v>-72965.2</v>
      </c>
      <c r="J1848" s="1">
        <v>285893269.98000002</v>
      </c>
      <c r="K1848" s="1">
        <v>11982483.659</v>
      </c>
    </row>
    <row r="1849" spans="1:11">
      <c r="A1849" t="s">
        <v>1</v>
      </c>
      <c r="B1849" s="3">
        <v>41907</v>
      </c>
      <c r="C1849" s="3">
        <v>41907</v>
      </c>
      <c r="D1849" t="s">
        <v>6</v>
      </c>
      <c r="E1849" s="1">
        <v>19.622</v>
      </c>
      <c r="F1849" s="1">
        <v>6389.45</v>
      </c>
      <c r="G1849" s="1">
        <v>7269.56</v>
      </c>
      <c r="H1849" s="2">
        <v>124506.12</v>
      </c>
      <c r="I1849" s="2">
        <v>-141656.10999999999</v>
      </c>
      <c r="J1849" s="1">
        <v>35476831.850000001</v>
      </c>
      <c r="K1849" s="1">
        <v>1808011.209</v>
      </c>
    </row>
    <row r="1850" spans="1:11">
      <c r="A1850" t="s">
        <v>1</v>
      </c>
      <c r="B1850" s="3">
        <v>41907</v>
      </c>
      <c r="C1850" s="3">
        <v>41907</v>
      </c>
      <c r="D1850" t="s">
        <v>5</v>
      </c>
      <c r="E1850" s="1">
        <v>18.435500000000001</v>
      </c>
      <c r="F1850" s="1">
        <v>0</v>
      </c>
      <c r="G1850" s="1">
        <v>27924</v>
      </c>
      <c r="H1850" s="2">
        <v>0</v>
      </c>
      <c r="I1850" s="2">
        <v>-511199.08</v>
      </c>
      <c r="J1850" s="1">
        <v>20411447.210000001</v>
      </c>
      <c r="K1850" s="1">
        <v>1107180.699</v>
      </c>
    </row>
    <row r="1851" spans="1:11">
      <c r="A1851" t="s">
        <v>1</v>
      </c>
      <c r="B1851" s="3">
        <v>41907</v>
      </c>
      <c r="C1851" s="3">
        <v>41907</v>
      </c>
      <c r="D1851" t="s">
        <v>4</v>
      </c>
      <c r="E1851" s="1">
        <v>11.629200000000001</v>
      </c>
      <c r="F1851" s="1">
        <v>143.06299999999999</v>
      </c>
      <c r="G1851" s="1">
        <v>1159.9369999999999</v>
      </c>
      <c r="H1851" s="2">
        <v>1652.13</v>
      </c>
      <c r="I1851" s="2">
        <v>-13395.3</v>
      </c>
      <c r="J1851" s="1">
        <v>16440229.85</v>
      </c>
      <c r="K1851" s="1">
        <v>1413702.2620000001</v>
      </c>
    </row>
    <row r="1852" spans="1:11">
      <c r="A1852" t="s">
        <v>1</v>
      </c>
      <c r="B1852" s="3">
        <v>41907</v>
      </c>
      <c r="C1852" s="3">
        <v>41907</v>
      </c>
      <c r="D1852" t="s">
        <v>2</v>
      </c>
      <c r="E1852" s="1">
        <v>18.030100000000001</v>
      </c>
      <c r="F1852" s="1">
        <v>18605.012999999999</v>
      </c>
      <c r="G1852" s="1">
        <v>1913.579</v>
      </c>
      <c r="H1852" s="2">
        <v>333107.8</v>
      </c>
      <c r="I1852" s="2">
        <v>-34261.089999999997</v>
      </c>
      <c r="J1852" s="1">
        <v>76164882.280000001</v>
      </c>
      <c r="K1852" s="1">
        <v>4224326.5049999999</v>
      </c>
    </row>
    <row r="1853" spans="1:11">
      <c r="A1853" t="s">
        <v>1</v>
      </c>
      <c r="B1853" s="3">
        <v>41907</v>
      </c>
      <c r="C1853" s="3">
        <v>41907</v>
      </c>
      <c r="D1853" t="s">
        <v>0</v>
      </c>
      <c r="E1853" s="1">
        <v>17.977399999999999</v>
      </c>
      <c r="F1853" s="1">
        <v>3534.3240000000001</v>
      </c>
      <c r="G1853" s="1">
        <v>380.14</v>
      </c>
      <c r="H1853" s="2">
        <v>63094.239999999998</v>
      </c>
      <c r="I1853" s="2">
        <v>-6786.19</v>
      </c>
      <c r="J1853" s="1">
        <v>6704911.0700000003</v>
      </c>
      <c r="K1853" s="1">
        <v>372963.7</v>
      </c>
    </row>
    <row r="1854" spans="1:11">
      <c r="A1854" t="s">
        <v>1</v>
      </c>
      <c r="B1854" s="3">
        <v>41908</v>
      </c>
      <c r="C1854" s="3">
        <v>41908</v>
      </c>
      <c r="D1854" t="s">
        <v>8</v>
      </c>
      <c r="E1854" s="1">
        <v>19.008500000000002</v>
      </c>
      <c r="F1854" s="1">
        <v>329.7</v>
      </c>
      <c r="G1854" s="1">
        <v>0</v>
      </c>
      <c r="H1854" s="2">
        <v>6361.75</v>
      </c>
      <c r="I1854" s="2">
        <v>0</v>
      </c>
      <c r="J1854" s="1">
        <v>5805139.1699999999</v>
      </c>
      <c r="K1854" s="1">
        <v>305397.03899999999</v>
      </c>
    </row>
    <row r="1855" spans="1:11">
      <c r="A1855" t="s">
        <v>1</v>
      </c>
      <c r="B1855" s="3">
        <v>41908</v>
      </c>
      <c r="C1855" s="3">
        <v>41908</v>
      </c>
      <c r="D1855" t="s">
        <v>7</v>
      </c>
      <c r="E1855" s="1">
        <v>23.504300000000001</v>
      </c>
      <c r="F1855" s="1">
        <v>37103.072999999997</v>
      </c>
      <c r="G1855" s="1">
        <v>5355.8119999999999</v>
      </c>
      <c r="H1855" s="2">
        <v>885253.38</v>
      </c>
      <c r="I1855" s="2">
        <v>-127785.91</v>
      </c>
      <c r="J1855" s="1">
        <v>282385997.45999998</v>
      </c>
      <c r="K1855" s="1">
        <v>12014230.92</v>
      </c>
    </row>
    <row r="1856" spans="1:11">
      <c r="A1856" t="s">
        <v>1</v>
      </c>
      <c r="B1856" s="3">
        <v>41908</v>
      </c>
      <c r="C1856" s="3">
        <v>41908</v>
      </c>
      <c r="D1856" t="s">
        <v>12</v>
      </c>
      <c r="E1856" s="1">
        <v>18.6022</v>
      </c>
      <c r="F1856" s="1">
        <v>0</v>
      </c>
      <c r="G1856" s="1">
        <v>665.55100000000004</v>
      </c>
      <c r="H1856" s="2">
        <v>0</v>
      </c>
      <c r="I1856" s="2">
        <v>-12568.2</v>
      </c>
      <c r="J1856" s="1">
        <v>7869136.4299999997</v>
      </c>
      <c r="K1856" s="1">
        <v>423022.90399999998</v>
      </c>
    </row>
    <row r="1857" spans="1:11">
      <c r="A1857" t="s">
        <v>1</v>
      </c>
      <c r="B1857" s="3">
        <v>41908</v>
      </c>
      <c r="C1857" s="3">
        <v>41908</v>
      </c>
      <c r="D1857" t="s">
        <v>6</v>
      </c>
      <c r="E1857" s="1">
        <v>19.3293</v>
      </c>
      <c r="F1857" s="1">
        <v>771.23900000000003</v>
      </c>
      <c r="G1857" s="1">
        <v>5655.9549999999999</v>
      </c>
      <c r="H1857" s="2">
        <v>15133.25</v>
      </c>
      <c r="I1857" s="2">
        <v>-110981.15</v>
      </c>
      <c r="J1857" s="1">
        <v>34853137.789999999</v>
      </c>
      <c r="K1857" s="1">
        <v>1803126.493</v>
      </c>
    </row>
    <row r="1858" spans="1:11">
      <c r="A1858" t="s">
        <v>1</v>
      </c>
      <c r="B1858" s="3">
        <v>41908</v>
      </c>
      <c r="C1858" s="3">
        <v>41908</v>
      </c>
      <c r="D1858" t="s">
        <v>10</v>
      </c>
      <c r="E1858" s="1">
        <v>17.798200000000001</v>
      </c>
      <c r="F1858" s="1">
        <v>0</v>
      </c>
      <c r="G1858" s="1">
        <v>2130.9050000000002</v>
      </c>
      <c r="H1858" s="2">
        <v>0</v>
      </c>
      <c r="I1858" s="2">
        <v>-38446.980000000003</v>
      </c>
      <c r="J1858" s="1">
        <v>5840070.8700000001</v>
      </c>
      <c r="K1858" s="1">
        <v>328126.21999999997</v>
      </c>
    </row>
    <row r="1859" spans="1:11">
      <c r="A1859" t="s">
        <v>1</v>
      </c>
      <c r="B1859" s="3">
        <v>41908</v>
      </c>
      <c r="C1859" s="3">
        <v>41908</v>
      </c>
      <c r="D1859" t="s">
        <v>5</v>
      </c>
      <c r="E1859" s="1">
        <v>18.1616</v>
      </c>
      <c r="F1859" s="1">
        <v>0</v>
      </c>
      <c r="G1859" s="1">
        <v>93691</v>
      </c>
      <c r="H1859" s="2">
        <v>0</v>
      </c>
      <c r="I1859" s="2">
        <v>-1727240.43</v>
      </c>
      <c r="J1859" s="1">
        <v>18406610.289999999</v>
      </c>
      <c r="K1859" s="1">
        <v>1013489.699</v>
      </c>
    </row>
    <row r="1860" spans="1:11">
      <c r="A1860" t="s">
        <v>1</v>
      </c>
      <c r="B1860" s="3">
        <v>41908</v>
      </c>
      <c r="C1860" s="3">
        <v>41908</v>
      </c>
      <c r="D1860" t="s">
        <v>4</v>
      </c>
      <c r="E1860" s="1">
        <v>11.456200000000001</v>
      </c>
      <c r="F1860" s="1">
        <v>0</v>
      </c>
      <c r="G1860" s="1">
        <v>2904.6370000000002</v>
      </c>
      <c r="H1860" s="2">
        <v>0</v>
      </c>
      <c r="I1860" s="2">
        <v>-33778.6</v>
      </c>
      <c r="J1860" s="1">
        <v>16162358.9</v>
      </c>
      <c r="K1860" s="1">
        <v>1410797.625</v>
      </c>
    </row>
    <row r="1861" spans="1:11">
      <c r="A1861" t="s">
        <v>1</v>
      </c>
      <c r="B1861" s="3">
        <v>41908</v>
      </c>
      <c r="C1861" s="3">
        <v>41908</v>
      </c>
      <c r="D1861" t="s">
        <v>2</v>
      </c>
      <c r="E1861" s="1">
        <v>17.7622</v>
      </c>
      <c r="F1861" s="1">
        <v>10435.298000000001</v>
      </c>
      <c r="G1861" s="1">
        <v>0</v>
      </c>
      <c r="H1861" s="2">
        <v>188149.91</v>
      </c>
      <c r="I1861" s="2">
        <v>0</v>
      </c>
      <c r="J1861" s="1">
        <v>75218633.900000006</v>
      </c>
      <c r="K1861" s="1">
        <v>4234761.8030000003</v>
      </c>
    </row>
    <row r="1862" spans="1:11">
      <c r="A1862" t="s">
        <v>1</v>
      </c>
      <c r="B1862" s="3">
        <v>41908</v>
      </c>
      <c r="C1862" s="3">
        <v>41908</v>
      </c>
      <c r="D1862" t="s">
        <v>0</v>
      </c>
      <c r="E1862" s="1">
        <v>17.7104</v>
      </c>
      <c r="F1862" s="1">
        <v>3979.17</v>
      </c>
      <c r="G1862" s="1">
        <v>56.750999999999998</v>
      </c>
      <c r="H1862" s="2">
        <v>71535.44</v>
      </c>
      <c r="I1862" s="2">
        <v>-1020.24</v>
      </c>
      <c r="J1862" s="1">
        <v>6674789.7300000004</v>
      </c>
      <c r="K1862" s="1">
        <v>376886.11900000001</v>
      </c>
    </row>
    <row r="1863" spans="1:11">
      <c r="A1863" t="s">
        <v>1</v>
      </c>
      <c r="B1863" s="3">
        <v>41911</v>
      </c>
      <c r="C1863" s="3">
        <v>41911</v>
      </c>
      <c r="D1863" t="s">
        <v>7</v>
      </c>
      <c r="E1863" s="1">
        <v>23.640799999999999</v>
      </c>
      <c r="F1863" s="1">
        <v>7981.3940000000002</v>
      </c>
      <c r="G1863" s="1">
        <v>12078.558999999999</v>
      </c>
      <c r="H1863" s="2">
        <v>187597.1</v>
      </c>
      <c r="I1863" s="2">
        <v>-283898.08</v>
      </c>
      <c r="J1863" s="1">
        <v>283929540</v>
      </c>
      <c r="K1863" s="1">
        <v>12010133.755000001</v>
      </c>
    </row>
    <row r="1864" spans="1:11">
      <c r="A1864" t="s">
        <v>1</v>
      </c>
      <c r="B1864" s="3">
        <v>41911</v>
      </c>
      <c r="C1864" s="3">
        <v>41911</v>
      </c>
      <c r="D1864" t="s">
        <v>12</v>
      </c>
      <c r="E1864" s="1">
        <v>18.707899999999999</v>
      </c>
      <c r="F1864" s="1">
        <v>0</v>
      </c>
      <c r="G1864" s="1">
        <v>765.22799999999995</v>
      </c>
      <c r="H1864" s="2">
        <v>0</v>
      </c>
      <c r="I1864" s="2">
        <v>-14234.93</v>
      </c>
      <c r="J1864" s="1">
        <v>7899562.8700000001</v>
      </c>
      <c r="K1864" s="1">
        <v>422257.67599999998</v>
      </c>
    </row>
    <row r="1865" spans="1:11">
      <c r="A1865" t="s">
        <v>1</v>
      </c>
      <c r="B1865" s="3">
        <v>41911</v>
      </c>
      <c r="C1865" s="3">
        <v>41911</v>
      </c>
      <c r="D1865" t="s">
        <v>6</v>
      </c>
      <c r="E1865" s="1">
        <v>19.4392</v>
      </c>
      <c r="F1865" s="1">
        <v>9527.893</v>
      </c>
      <c r="G1865" s="1">
        <v>18696.066999999999</v>
      </c>
      <c r="H1865" s="2">
        <v>184167.48</v>
      </c>
      <c r="I1865" s="2">
        <v>-361381.87</v>
      </c>
      <c r="J1865" s="1">
        <v>34873083.509999998</v>
      </c>
      <c r="K1865" s="1">
        <v>1793958.3189999999</v>
      </c>
    </row>
    <row r="1866" spans="1:11">
      <c r="A1866" t="s">
        <v>1</v>
      </c>
      <c r="B1866" s="3">
        <v>41911</v>
      </c>
      <c r="C1866" s="3">
        <v>41911</v>
      </c>
      <c r="D1866" t="s">
        <v>11</v>
      </c>
      <c r="E1866" s="1">
        <v>13.4238</v>
      </c>
      <c r="F1866" s="1">
        <v>0</v>
      </c>
      <c r="G1866" s="1">
        <v>83.272000000000006</v>
      </c>
      <c r="H1866" s="2">
        <v>0</v>
      </c>
      <c r="I1866" s="2">
        <v>-1111.3699999999999</v>
      </c>
      <c r="J1866" s="1">
        <v>335.97</v>
      </c>
      <c r="K1866" s="1">
        <v>25.027999999999999</v>
      </c>
    </row>
    <row r="1867" spans="1:11">
      <c r="A1867" t="s">
        <v>1</v>
      </c>
      <c r="B1867" s="3">
        <v>41911</v>
      </c>
      <c r="C1867" s="3">
        <v>41911</v>
      </c>
      <c r="D1867" t="s">
        <v>5</v>
      </c>
      <c r="E1867" s="1">
        <v>18.2682</v>
      </c>
      <c r="F1867" s="1">
        <v>0</v>
      </c>
      <c r="G1867" s="1">
        <v>283116</v>
      </c>
      <c r="H1867" s="2">
        <v>0</v>
      </c>
      <c r="I1867" s="2">
        <v>-5141839.55</v>
      </c>
      <c r="J1867" s="1">
        <v>13342644.550000001</v>
      </c>
      <c r="K1867" s="1">
        <v>730373.69900000002</v>
      </c>
    </row>
    <row r="1868" spans="1:11">
      <c r="A1868" t="s">
        <v>1</v>
      </c>
      <c r="B1868" s="3">
        <v>41911</v>
      </c>
      <c r="C1868" s="3">
        <v>41911</v>
      </c>
      <c r="D1868" t="s">
        <v>4</v>
      </c>
      <c r="E1868" s="1">
        <v>11.5227</v>
      </c>
      <c r="F1868" s="1">
        <v>3080.3760000000002</v>
      </c>
      <c r="G1868" s="1">
        <v>1446.442</v>
      </c>
      <c r="H1868" s="2">
        <v>35289.39</v>
      </c>
      <c r="I1868" s="2">
        <v>-16570.73</v>
      </c>
      <c r="J1868" s="1">
        <v>16275074.73</v>
      </c>
      <c r="K1868" s="1">
        <v>1412431.5589999999</v>
      </c>
    </row>
    <row r="1869" spans="1:11">
      <c r="A1869" t="s">
        <v>1</v>
      </c>
      <c r="B1869" s="3">
        <v>41911</v>
      </c>
      <c r="C1869" s="3">
        <v>41911</v>
      </c>
      <c r="D1869" t="s">
        <v>2</v>
      </c>
      <c r="E1869" s="1">
        <v>17.866499999999998</v>
      </c>
      <c r="F1869" s="1">
        <v>4380.4989999999998</v>
      </c>
      <c r="G1869" s="1">
        <v>662.99800000000005</v>
      </c>
      <c r="H1869" s="2">
        <v>77807.08</v>
      </c>
      <c r="I1869" s="2">
        <v>-11776.26</v>
      </c>
      <c r="J1869" s="1">
        <v>75726640.25</v>
      </c>
      <c r="K1869" s="1">
        <v>4238479.3039999995</v>
      </c>
    </row>
    <row r="1870" spans="1:11">
      <c r="A1870" t="s">
        <v>1</v>
      </c>
      <c r="B1870" s="3">
        <v>41911</v>
      </c>
      <c r="C1870" s="3">
        <v>41911</v>
      </c>
      <c r="D1870" t="s">
        <v>0</v>
      </c>
      <c r="E1870" s="1">
        <v>17.814599999999999</v>
      </c>
      <c r="F1870" s="1">
        <v>1918.2639999999999</v>
      </c>
      <c r="G1870" s="1">
        <v>44.709000000000003</v>
      </c>
      <c r="H1870" s="2">
        <v>33973.26</v>
      </c>
      <c r="I1870" s="2">
        <v>-791.81</v>
      </c>
      <c r="J1870" s="1">
        <v>6747434.5199999996</v>
      </c>
      <c r="K1870" s="1">
        <v>378759.674</v>
      </c>
    </row>
    <row r="1871" spans="1:11">
      <c r="A1871" t="s">
        <v>1</v>
      </c>
      <c r="B1871" s="3">
        <v>41912</v>
      </c>
      <c r="C1871" s="3">
        <v>41912</v>
      </c>
      <c r="D1871" t="s">
        <v>7</v>
      </c>
      <c r="E1871" s="1">
        <v>23.563199999999998</v>
      </c>
      <c r="F1871" s="1">
        <v>44463.957000000002</v>
      </c>
      <c r="G1871" s="1">
        <v>84600.107999999993</v>
      </c>
      <c r="H1871" s="2">
        <v>1051163.58</v>
      </c>
      <c r="I1871" s="2">
        <v>-2000014.22</v>
      </c>
      <c r="J1871" s="1">
        <v>282050883.39999998</v>
      </c>
      <c r="K1871" s="1">
        <v>11969997.604</v>
      </c>
    </row>
    <row r="1872" spans="1:11">
      <c r="A1872" t="s">
        <v>1</v>
      </c>
      <c r="B1872" s="3">
        <v>41912</v>
      </c>
      <c r="C1872" s="3">
        <v>41912</v>
      </c>
      <c r="D1872" t="s">
        <v>6</v>
      </c>
      <c r="E1872" s="1">
        <v>19.374500000000001</v>
      </c>
      <c r="F1872" s="1">
        <v>6532.2150000000001</v>
      </c>
      <c r="G1872" s="1">
        <v>64703.290999999997</v>
      </c>
      <c r="H1872" s="2">
        <v>126981.03</v>
      </c>
      <c r="I1872" s="2">
        <v>-1257780.18</v>
      </c>
      <c r="J1872" s="1">
        <v>33630028.710000001</v>
      </c>
      <c r="K1872" s="1">
        <v>1735787.243</v>
      </c>
    </row>
    <row r="1873" spans="1:11">
      <c r="A1873" t="s">
        <v>1</v>
      </c>
      <c r="B1873" s="3">
        <v>41912</v>
      </c>
      <c r="C1873" s="3">
        <v>41912</v>
      </c>
      <c r="D1873" t="s">
        <v>10</v>
      </c>
      <c r="E1873" s="1">
        <v>17.6325</v>
      </c>
      <c r="F1873" s="1">
        <v>0</v>
      </c>
      <c r="G1873" s="1">
        <v>53000</v>
      </c>
      <c r="H1873" s="2">
        <v>0</v>
      </c>
      <c r="I1873" s="2">
        <v>-944568.86</v>
      </c>
      <c r="J1873" s="1">
        <v>4851155.37</v>
      </c>
      <c r="K1873" s="1">
        <v>275126.21999999997</v>
      </c>
    </row>
    <row r="1874" spans="1:11">
      <c r="A1874" t="s">
        <v>1</v>
      </c>
      <c r="B1874" s="3">
        <v>41912</v>
      </c>
      <c r="C1874" s="3">
        <v>41912</v>
      </c>
      <c r="D1874" t="s">
        <v>4</v>
      </c>
      <c r="E1874" s="1">
        <v>11.4849</v>
      </c>
      <c r="F1874" s="1">
        <v>795635.58600000001</v>
      </c>
      <c r="G1874" s="1">
        <v>0</v>
      </c>
      <c r="H1874" s="2">
        <v>9167870.1600000001</v>
      </c>
      <c r="I1874" s="2">
        <v>0</v>
      </c>
      <c r="J1874" s="1">
        <v>25359345.550000001</v>
      </c>
      <c r="K1874" s="1">
        <v>2208067.145</v>
      </c>
    </row>
    <row r="1875" spans="1:11">
      <c r="A1875" t="s">
        <v>1</v>
      </c>
      <c r="B1875" s="3">
        <v>41912</v>
      </c>
      <c r="C1875" s="3">
        <v>41912</v>
      </c>
      <c r="D1875" t="s">
        <v>2</v>
      </c>
      <c r="E1875" s="1">
        <v>17.8081</v>
      </c>
      <c r="F1875" s="1">
        <v>0</v>
      </c>
      <c r="G1875" s="1">
        <v>1995.0719999999999</v>
      </c>
      <c r="H1875" s="2">
        <v>0</v>
      </c>
      <c r="I1875" s="2">
        <v>-35644.89</v>
      </c>
      <c r="J1875" s="1">
        <v>75443848.430000007</v>
      </c>
      <c r="K1875" s="1">
        <v>4236484.2319999998</v>
      </c>
    </row>
    <row r="1876" spans="1:11">
      <c r="A1876" t="s">
        <v>1</v>
      </c>
      <c r="B1876" s="3">
        <v>41912</v>
      </c>
      <c r="C1876" s="3">
        <v>41912</v>
      </c>
      <c r="D1876" t="s">
        <v>9</v>
      </c>
      <c r="E1876" s="1">
        <v>19.198599999999999</v>
      </c>
      <c r="F1876" s="1">
        <v>0</v>
      </c>
      <c r="G1876" s="1">
        <v>6.9359999999999999</v>
      </c>
      <c r="H1876" s="2">
        <v>0</v>
      </c>
      <c r="I1876" s="2">
        <v>-133.59</v>
      </c>
      <c r="J1876" s="1">
        <v>1253928.58</v>
      </c>
      <c r="K1876" s="1">
        <v>65313.677000000003</v>
      </c>
    </row>
    <row r="1877" spans="1:11">
      <c r="A1877" t="s">
        <v>1</v>
      </c>
      <c r="B1877" s="3">
        <v>41912</v>
      </c>
      <c r="C1877" s="3">
        <v>41912</v>
      </c>
      <c r="D1877" t="s">
        <v>0</v>
      </c>
      <c r="E1877" s="1">
        <v>17.756499999999999</v>
      </c>
      <c r="F1877" s="1">
        <v>3729.4690000000001</v>
      </c>
      <c r="G1877" s="1">
        <v>6.9160000000000004</v>
      </c>
      <c r="H1877" s="2">
        <v>66438.75</v>
      </c>
      <c r="I1877" s="2">
        <v>-123.2</v>
      </c>
      <c r="J1877" s="1">
        <v>6791529.75</v>
      </c>
      <c r="K1877" s="1">
        <v>382482.22700000001</v>
      </c>
    </row>
    <row r="1878" spans="1:11">
      <c r="A1878" t="s">
        <v>1</v>
      </c>
      <c r="B1878" s="3">
        <v>41913</v>
      </c>
      <c r="C1878" s="3">
        <v>41913</v>
      </c>
      <c r="D1878" t="s">
        <v>8</v>
      </c>
      <c r="E1878" s="1">
        <v>19.003699999999998</v>
      </c>
      <c r="F1878" s="1">
        <v>0</v>
      </c>
      <c r="G1878" s="1">
        <v>359.59699999999998</v>
      </c>
      <c r="H1878" s="2">
        <v>0</v>
      </c>
      <c r="I1878" s="2">
        <v>-6852.52</v>
      </c>
      <c r="J1878" s="1">
        <v>5796849.54</v>
      </c>
      <c r="K1878" s="1">
        <v>305037.44199999998</v>
      </c>
    </row>
    <row r="1879" spans="1:11">
      <c r="A1879" t="s">
        <v>1</v>
      </c>
      <c r="B1879" s="3">
        <v>41913</v>
      </c>
      <c r="C1879" s="3">
        <v>41913</v>
      </c>
      <c r="D1879" t="s">
        <v>7</v>
      </c>
      <c r="E1879" s="1">
        <v>23.4984</v>
      </c>
      <c r="F1879" s="1">
        <v>16069.761</v>
      </c>
      <c r="G1879" s="1">
        <v>1186.4549999999999</v>
      </c>
      <c r="H1879" s="2">
        <v>378655</v>
      </c>
      <c r="I1879" s="2">
        <v>-27956.67</v>
      </c>
      <c r="J1879" s="1">
        <v>281625490.20999998</v>
      </c>
      <c r="K1879" s="1">
        <v>11984880.91</v>
      </c>
    </row>
    <row r="1880" spans="1:11">
      <c r="A1880" t="s">
        <v>1</v>
      </c>
      <c r="B1880" s="3">
        <v>41913</v>
      </c>
      <c r="C1880" s="3">
        <v>41913</v>
      </c>
      <c r="D1880" t="s">
        <v>6</v>
      </c>
      <c r="E1880" s="1">
        <v>19.320499999999999</v>
      </c>
      <c r="F1880" s="1">
        <v>3757.5010000000002</v>
      </c>
      <c r="G1880" s="1">
        <v>2973.8789999999999</v>
      </c>
      <c r="H1880" s="2">
        <v>72799.710000000006</v>
      </c>
      <c r="I1880" s="2">
        <v>-57617.42</v>
      </c>
      <c r="J1880" s="1">
        <v>33551365.93</v>
      </c>
      <c r="K1880" s="1">
        <v>1736570.865</v>
      </c>
    </row>
    <row r="1881" spans="1:11">
      <c r="A1881" t="s">
        <v>1</v>
      </c>
      <c r="B1881" s="3">
        <v>41913</v>
      </c>
      <c r="C1881" s="3">
        <v>41913</v>
      </c>
      <c r="D1881" t="s">
        <v>5</v>
      </c>
      <c r="E1881" s="1">
        <v>18.158899999999999</v>
      </c>
      <c r="F1881" s="1">
        <v>0</v>
      </c>
      <c r="G1881" s="1">
        <v>121703</v>
      </c>
      <c r="H1881" s="2">
        <v>0</v>
      </c>
      <c r="I1881" s="2">
        <v>-2216041.25</v>
      </c>
      <c r="J1881" s="1">
        <v>11052806.57</v>
      </c>
      <c r="K1881" s="1">
        <v>608670.69900000002</v>
      </c>
    </row>
    <row r="1882" spans="1:11">
      <c r="A1882" t="s">
        <v>1</v>
      </c>
      <c r="B1882" s="3">
        <v>41913</v>
      </c>
      <c r="C1882" s="3">
        <v>41913</v>
      </c>
      <c r="D1882" t="s">
        <v>4</v>
      </c>
      <c r="E1882" s="1">
        <v>11.4475</v>
      </c>
      <c r="F1882" s="1">
        <v>0</v>
      </c>
      <c r="G1882" s="1">
        <v>796.96799999999996</v>
      </c>
      <c r="H1882" s="2">
        <v>0</v>
      </c>
      <c r="I1882" s="2">
        <v>-9153.1</v>
      </c>
      <c r="J1882" s="1">
        <v>25267653.620000001</v>
      </c>
      <c r="K1882" s="1">
        <v>2207270.1770000001</v>
      </c>
    </row>
    <row r="1883" spans="1:11">
      <c r="A1883" t="s">
        <v>1</v>
      </c>
      <c r="B1883" s="3">
        <v>41913</v>
      </c>
      <c r="C1883" s="3">
        <v>41913</v>
      </c>
      <c r="D1883" t="s">
        <v>3</v>
      </c>
      <c r="E1883" s="1">
        <v>11.036899999999999</v>
      </c>
      <c r="F1883" s="1">
        <v>1920.393</v>
      </c>
      <c r="G1883" s="1">
        <v>0</v>
      </c>
      <c r="H1883" s="2">
        <v>21388.76</v>
      </c>
      <c r="I1883" s="2">
        <v>0</v>
      </c>
      <c r="J1883" s="1">
        <v>1699202.81</v>
      </c>
      <c r="K1883" s="1">
        <v>153956.31299999999</v>
      </c>
    </row>
    <row r="1884" spans="1:11">
      <c r="A1884" t="s">
        <v>1</v>
      </c>
      <c r="B1884" s="3">
        <v>41913</v>
      </c>
      <c r="C1884" s="3">
        <v>41913</v>
      </c>
      <c r="D1884" t="s">
        <v>2</v>
      </c>
      <c r="E1884" s="1">
        <v>17.677099999999999</v>
      </c>
      <c r="F1884" s="1">
        <v>4034.4769999999999</v>
      </c>
      <c r="G1884" s="1">
        <v>600</v>
      </c>
      <c r="H1884" s="2">
        <v>71846.34</v>
      </c>
      <c r="I1884" s="2">
        <v>-10684.86</v>
      </c>
      <c r="J1884" s="1">
        <v>74949255.200000003</v>
      </c>
      <c r="K1884" s="1">
        <v>4239918.7089999998</v>
      </c>
    </row>
    <row r="1885" spans="1:11">
      <c r="A1885" t="s">
        <v>1</v>
      </c>
      <c r="B1885" s="3">
        <v>41913</v>
      </c>
      <c r="C1885" s="3">
        <v>41913</v>
      </c>
      <c r="D1885" t="s">
        <v>0</v>
      </c>
      <c r="E1885" s="1">
        <v>17.708100000000002</v>
      </c>
      <c r="F1885" s="1">
        <v>2853.5639999999999</v>
      </c>
      <c r="G1885" s="1">
        <v>29.95</v>
      </c>
      <c r="H1885" s="2">
        <v>50669.25</v>
      </c>
      <c r="I1885" s="2">
        <v>-531.79999999999995</v>
      </c>
      <c r="J1885" s="1">
        <v>6823033.7400000002</v>
      </c>
      <c r="K1885" s="1">
        <v>385305.84100000001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245"/>
  <sheetViews>
    <sheetView tabSelected="1" topLeftCell="C1" workbookViewId="0">
      <selection activeCell="M1" sqref="M1"/>
    </sheetView>
  </sheetViews>
  <sheetFormatPr defaultRowHeight="12.75"/>
  <cols>
    <col min="1" max="1" width="19.85546875" customWidth="1"/>
    <col min="2" max="3" width="21.42578125" bestFit="1" customWidth="1"/>
    <col min="4" max="4" width="23.140625" bestFit="1" customWidth="1"/>
    <col min="5" max="5" width="9.7109375" customWidth="1"/>
    <col min="6" max="6" width="11" bestFit="1" customWidth="1"/>
    <col min="7" max="7" width="14.140625" style="25" bestFit="1" customWidth="1"/>
    <col min="8" max="8" width="7.85546875" customWidth="1"/>
    <col min="9" max="9" width="10.7109375" style="25" bestFit="1" customWidth="1"/>
    <col min="10" max="10" width="11.5703125" bestFit="1" customWidth="1"/>
    <col min="11" max="11" width="11.28515625" bestFit="1" customWidth="1"/>
    <col min="12" max="12" width="11.140625" bestFit="1" customWidth="1"/>
    <col min="13" max="13" width="14.140625" bestFit="1" customWidth="1"/>
    <col min="14" max="14" width="10.42578125" bestFit="1" customWidth="1"/>
  </cols>
  <sheetData>
    <row r="1" spans="1:15">
      <c r="A1" s="21"/>
      <c r="B1" s="22" t="s">
        <v>31</v>
      </c>
      <c r="C1" s="24"/>
      <c r="D1" s="23"/>
      <c r="F1" s="11"/>
      <c r="L1" s="28">
        <f t="array" ref="L1">SUM(ABS(L3:L242))</f>
        <v>410000000</v>
      </c>
      <c r="N1" s="29">
        <v>0.04</v>
      </c>
      <c r="O1" s="30">
        <v>5000000</v>
      </c>
    </row>
    <row r="2" spans="1:15">
      <c r="A2" s="22" t="s">
        <v>24</v>
      </c>
      <c r="B2" s="21" t="s">
        <v>30</v>
      </c>
      <c r="C2" s="20" t="s">
        <v>29</v>
      </c>
      <c r="D2" s="19" t="s">
        <v>28</v>
      </c>
      <c r="E2" s="31" t="s">
        <v>32</v>
      </c>
      <c r="F2" s="31" t="s">
        <v>35</v>
      </c>
      <c r="G2" s="32" t="s">
        <v>33</v>
      </c>
      <c r="H2" s="31" t="s">
        <v>34</v>
      </c>
      <c r="I2" s="32" t="s">
        <v>36</v>
      </c>
      <c r="J2" s="31" t="s">
        <v>37</v>
      </c>
      <c r="K2" s="32" t="s">
        <v>38</v>
      </c>
      <c r="L2" s="31" t="s">
        <v>41</v>
      </c>
      <c r="M2" s="32" t="s">
        <v>39</v>
      </c>
      <c r="N2" s="31" t="s">
        <v>40</v>
      </c>
    </row>
    <row r="3" spans="1:15">
      <c r="A3" s="18">
        <v>41549</v>
      </c>
      <c r="B3" s="17">
        <v>2504753.6100000003</v>
      </c>
      <c r="C3" s="16">
        <v>-1341586.6000000001</v>
      </c>
      <c r="D3" s="26">
        <v>348567002.95999998</v>
      </c>
      <c r="E3" s="3">
        <f>A3</f>
        <v>41549</v>
      </c>
      <c r="F3" s="12">
        <f t="shared" ref="F3:F66" si="0">G3/GETPIVOTDATA("Sum of A_OUTSTANDING",$A$1,"D_H_PROCESSED",A3)</f>
        <v>3.3369969048202769E-3</v>
      </c>
      <c r="G3" s="25">
        <f t="shared" ref="G3:G66" si="1">ABS(GETPIVOTDATA("Sum of A_SHARE_SUB",$A$1,"D_H_PROCESSED",A3)+GETPIVOTDATA("Sum of A_SHARE_RED",$A$1,"D_H_PROCESSED",A3))</f>
        <v>1163167.0100000002</v>
      </c>
      <c r="H3" s="12">
        <f t="shared" ref="H3:H66" si="2">I3/GETPIVOTDATA("Sum of A_OUTSTANDING",$A$1,"D_H_PROCESSED",A3)</f>
        <v>3.3369969048202769E-3</v>
      </c>
      <c r="I3" s="25">
        <f t="shared" ref="I3:I66" si="3">GETPIVOTDATA("Sum of A_SHARE_SUB",$A$1,"D_H_PROCESSED",A3)+GETPIVOTDATA("Sum of A_SHARE_RED",$A$1,"D_H_PROCESSED",A3)</f>
        <v>1163167.0100000002</v>
      </c>
      <c r="J3" s="11">
        <f>0+H3</f>
        <v>3.3369969048202769E-3</v>
      </c>
      <c r="K3" s="25">
        <f>0+I3</f>
        <v>1163167.0100000002</v>
      </c>
      <c r="L3" s="25">
        <v>0</v>
      </c>
      <c r="M3" s="25">
        <f>L3+K3</f>
        <v>1163167.0100000002</v>
      </c>
      <c r="N3" s="12">
        <f>M3/GETPIVOTDATA("Sum of A_OUTSTANDING",$A$1,"D_H_PROCESSED",A3)</f>
        <v>3.3369969048202769E-3</v>
      </c>
    </row>
    <row r="4" spans="1:15">
      <c r="A4" s="15">
        <v>41550</v>
      </c>
      <c r="B4" s="14">
        <v>435844.64</v>
      </c>
      <c r="C4" s="13">
        <v>-2902319.56</v>
      </c>
      <c r="D4" s="27">
        <v>345123431.20999998</v>
      </c>
      <c r="E4" s="3">
        <f t="shared" ref="E4:E67" si="4">A4</f>
        <v>41550</v>
      </c>
      <c r="F4" s="12">
        <f t="shared" si="0"/>
        <v>7.1466457995985923E-3</v>
      </c>
      <c r="G4" s="25">
        <f t="shared" si="1"/>
        <v>2466474.92</v>
      </c>
      <c r="H4" s="12">
        <f t="shared" si="2"/>
        <v>-7.1466457995985923E-3</v>
      </c>
      <c r="I4" s="25">
        <f t="shared" si="3"/>
        <v>-2466474.92</v>
      </c>
      <c r="J4" s="11">
        <f>J3+H4</f>
        <v>-3.8096488947783154E-3</v>
      </c>
      <c r="K4" s="25">
        <f>K3+I4</f>
        <v>-1303307.9099999997</v>
      </c>
      <c r="L4" s="25">
        <f t="shared" ref="L4:L6" si="5">CorrectNCCF($N$1,M3+I4,GETPIVOTDATA("Sum of A_OUTSTANDING",$A$1,"D_H_PROCESSED",E4),$O$1)</f>
        <v>0</v>
      </c>
      <c r="M4" s="25">
        <f>M3+L4+I4</f>
        <v>-1303307.9099999997</v>
      </c>
      <c r="N4" s="12">
        <f t="shared" ref="N4:N67" si="6">M4/GETPIVOTDATA("Sum of A_OUTSTANDING",$A$1,"D_H_PROCESSED",A4)</f>
        <v>-3.776353015008609E-3</v>
      </c>
    </row>
    <row r="5" spans="1:15">
      <c r="A5" s="15">
        <v>41551</v>
      </c>
      <c r="B5" s="14">
        <v>277909.99</v>
      </c>
      <c r="C5" s="13">
        <v>-5461252</v>
      </c>
      <c r="D5" s="27">
        <v>337624179.97000003</v>
      </c>
      <c r="E5" s="3">
        <f t="shared" si="4"/>
        <v>41551</v>
      </c>
      <c r="F5" s="12">
        <f t="shared" si="0"/>
        <v>1.5352401627337744E-2</v>
      </c>
      <c r="G5" s="25">
        <f t="shared" si="1"/>
        <v>5183342.01</v>
      </c>
      <c r="H5" s="12">
        <f t="shared" si="2"/>
        <v>-1.5352401627337744E-2</v>
      </c>
      <c r="I5" s="25">
        <f t="shared" si="3"/>
        <v>-5183342.01</v>
      </c>
      <c r="J5" s="11">
        <f t="shared" ref="J5:J68" si="7">J4+H5</f>
        <v>-1.9162050522116059E-2</v>
      </c>
      <c r="K5" s="25">
        <f t="shared" ref="K5:K68" si="8">K4+I5</f>
        <v>-6486649.9199999999</v>
      </c>
      <c r="L5" s="25">
        <f t="shared" si="5"/>
        <v>0</v>
      </c>
      <c r="M5" s="25">
        <f t="shared" ref="M5:M68" si="9">M4+L5+I5</f>
        <v>-6486649.9199999999</v>
      </c>
      <c r="N5" s="12">
        <f t="shared" si="6"/>
        <v>-1.9212634357457389E-2</v>
      </c>
    </row>
    <row r="6" spans="1:15">
      <c r="A6" s="15">
        <v>41554</v>
      </c>
      <c r="B6" s="14">
        <v>1157084.7999999998</v>
      </c>
      <c r="C6" s="13">
        <v>-558229.18999999994</v>
      </c>
      <c r="D6" s="27">
        <v>339777674.50999993</v>
      </c>
      <c r="E6" s="3">
        <f t="shared" si="4"/>
        <v>41554</v>
      </c>
      <c r="F6" s="12">
        <f t="shared" si="0"/>
        <v>1.762492520627264E-3</v>
      </c>
      <c r="G6" s="25">
        <f t="shared" si="1"/>
        <v>598855.60999999987</v>
      </c>
      <c r="H6" s="12">
        <f t="shared" si="2"/>
        <v>1.762492520627264E-3</v>
      </c>
      <c r="I6" s="25">
        <f t="shared" si="3"/>
        <v>598855.60999999987</v>
      </c>
      <c r="J6" s="11">
        <f t="shared" si="7"/>
        <v>-1.7399558001488794E-2</v>
      </c>
      <c r="K6" s="25">
        <f t="shared" si="8"/>
        <v>-5887794.3100000005</v>
      </c>
      <c r="L6" s="25">
        <f t="shared" si="5"/>
        <v>0</v>
      </c>
      <c r="M6" s="25">
        <f t="shared" si="9"/>
        <v>-5887794.3100000005</v>
      </c>
      <c r="N6" s="12">
        <f t="shared" si="6"/>
        <v>-1.7328373085403286E-2</v>
      </c>
    </row>
    <row r="7" spans="1:15">
      <c r="A7" s="15">
        <v>41555</v>
      </c>
      <c r="B7" s="14">
        <v>1875353.71</v>
      </c>
      <c r="C7" s="13">
        <v>-8597296.6600000001</v>
      </c>
      <c r="D7" s="27">
        <v>331368254.78000003</v>
      </c>
      <c r="E7" s="3">
        <f t="shared" si="4"/>
        <v>41555</v>
      </c>
      <c r="F7" s="12">
        <f t="shared" si="0"/>
        <v>2.0285416158716808E-2</v>
      </c>
      <c r="G7" s="25">
        <f t="shared" si="1"/>
        <v>6721942.9500000002</v>
      </c>
      <c r="H7" s="12">
        <f t="shared" si="2"/>
        <v>-2.0285416158716808E-2</v>
      </c>
      <c r="I7" s="25">
        <f t="shared" si="3"/>
        <v>-6721942.9500000002</v>
      </c>
      <c r="J7" s="11">
        <f t="shared" si="7"/>
        <v>-3.7684974160205602E-2</v>
      </c>
      <c r="K7" s="25">
        <f t="shared" si="8"/>
        <v>-12609737.260000002</v>
      </c>
      <c r="L7" s="25">
        <f>CorrectNCCF($N$1,M6+I7,GETPIVOTDATA("Sum of A_OUTSTANDING",$A$1,"D_H_PROCESSED",E7),$O$1)</f>
        <v>0</v>
      </c>
      <c r="M7" s="25">
        <f t="shared" si="9"/>
        <v>-12609737.260000002</v>
      </c>
      <c r="N7" s="12">
        <f t="shared" si="6"/>
        <v>-3.8053546403748847E-2</v>
      </c>
    </row>
    <row r="8" spans="1:15">
      <c r="A8" s="15">
        <v>41556</v>
      </c>
      <c r="B8" s="14">
        <v>1573229.33</v>
      </c>
      <c r="C8" s="13">
        <v>-748694.74000000011</v>
      </c>
      <c r="D8" s="27">
        <v>327560383.07999998</v>
      </c>
      <c r="E8" s="3">
        <f t="shared" si="4"/>
        <v>41556</v>
      </c>
      <c r="F8" s="12">
        <f t="shared" si="0"/>
        <v>2.5171987596516645E-3</v>
      </c>
      <c r="G8" s="25">
        <f t="shared" si="1"/>
        <v>824534.59</v>
      </c>
      <c r="H8" s="12">
        <f t="shared" si="2"/>
        <v>2.5171987596516645E-3</v>
      </c>
      <c r="I8" s="25">
        <f t="shared" si="3"/>
        <v>824534.59</v>
      </c>
      <c r="J8" s="11">
        <f t="shared" si="7"/>
        <v>-3.5167775400553936E-2</v>
      </c>
      <c r="K8" s="25">
        <f t="shared" si="8"/>
        <v>-11785202.670000002</v>
      </c>
      <c r="L8" s="25">
        <f t="shared" ref="L8:L71" si="10">CorrectNCCF($N$1,M7+I8,GETPIVOTDATA("Sum of A_OUTSTANDING",$A$1,"D_H_PROCESSED",E8),$O$1)</f>
        <v>0</v>
      </c>
      <c r="M8" s="25">
        <f t="shared" si="9"/>
        <v>-11785202.670000002</v>
      </c>
      <c r="N8" s="12">
        <f t="shared" si="6"/>
        <v>-3.5978718058592894E-2</v>
      </c>
    </row>
    <row r="9" spans="1:15">
      <c r="A9" s="15">
        <v>41557</v>
      </c>
      <c r="B9" s="14">
        <v>1880278.82</v>
      </c>
      <c r="C9" s="13">
        <v>-647972.62</v>
      </c>
      <c r="D9" s="27">
        <v>329318825.74999994</v>
      </c>
      <c r="E9" s="3">
        <f t="shared" si="4"/>
        <v>41557</v>
      </c>
      <c r="F9" s="12">
        <f t="shared" si="0"/>
        <v>3.7419852849089677E-3</v>
      </c>
      <c r="G9" s="25">
        <f t="shared" si="1"/>
        <v>1232306.2000000002</v>
      </c>
      <c r="H9" s="12">
        <f t="shared" si="2"/>
        <v>3.7419852849089677E-3</v>
      </c>
      <c r="I9" s="25">
        <f t="shared" si="3"/>
        <v>1232306.2000000002</v>
      </c>
      <c r="J9" s="11">
        <f t="shared" si="7"/>
        <v>-3.1425790115644968E-2</v>
      </c>
      <c r="K9" s="25">
        <f t="shared" si="8"/>
        <v>-10552896.470000003</v>
      </c>
      <c r="L9" s="25">
        <f t="shared" si="10"/>
        <v>0</v>
      </c>
      <c r="M9" s="25">
        <f t="shared" si="9"/>
        <v>-10552896.470000003</v>
      </c>
      <c r="N9" s="12">
        <f t="shared" si="6"/>
        <v>-3.2044619514133572E-2</v>
      </c>
    </row>
    <row r="10" spans="1:15">
      <c r="A10" s="15">
        <v>41558</v>
      </c>
      <c r="B10" s="14">
        <v>10394822.93</v>
      </c>
      <c r="C10" s="13">
        <v>-42149.32</v>
      </c>
      <c r="D10" s="27">
        <v>333291034.33999997</v>
      </c>
      <c r="E10" s="3">
        <f t="shared" si="4"/>
        <v>41558</v>
      </c>
      <c r="F10" s="12">
        <f t="shared" si="0"/>
        <v>3.1061962499234028E-2</v>
      </c>
      <c r="G10" s="25">
        <f t="shared" si="1"/>
        <v>10352673.609999999</v>
      </c>
      <c r="H10" s="12">
        <f t="shared" si="2"/>
        <v>3.1061962499234028E-2</v>
      </c>
      <c r="I10" s="25">
        <f t="shared" si="3"/>
        <v>10352673.609999999</v>
      </c>
      <c r="J10" s="11">
        <f t="shared" si="7"/>
        <v>-3.6382761641094025E-4</v>
      </c>
      <c r="K10" s="25">
        <f t="shared" si="8"/>
        <v>-200222.86000000313</v>
      </c>
      <c r="L10" s="25">
        <f t="shared" si="10"/>
        <v>0</v>
      </c>
      <c r="M10" s="25">
        <f t="shared" si="9"/>
        <v>-200222.86000000313</v>
      </c>
      <c r="N10" s="12">
        <f t="shared" si="6"/>
        <v>-6.0074481270249206E-4</v>
      </c>
    </row>
    <row r="11" spans="1:15">
      <c r="A11" s="15">
        <v>41561</v>
      </c>
      <c r="B11" s="14">
        <v>4816171.78</v>
      </c>
      <c r="C11" s="13">
        <v>-1395186.78</v>
      </c>
      <c r="D11" s="27">
        <v>351885415.44</v>
      </c>
      <c r="E11" s="3">
        <f t="shared" si="4"/>
        <v>41561</v>
      </c>
      <c r="F11" s="12">
        <f t="shared" si="0"/>
        <v>9.7218720921478843E-3</v>
      </c>
      <c r="G11" s="25">
        <f t="shared" si="1"/>
        <v>3420985</v>
      </c>
      <c r="H11" s="12">
        <f t="shared" si="2"/>
        <v>9.7218720921478843E-3</v>
      </c>
      <c r="I11" s="25">
        <f t="shared" si="3"/>
        <v>3420985</v>
      </c>
      <c r="J11" s="11">
        <f t="shared" si="7"/>
        <v>9.358044475736944E-3</v>
      </c>
      <c r="K11" s="25">
        <f t="shared" si="8"/>
        <v>3220762.1399999969</v>
      </c>
      <c r="L11" s="25">
        <f t="shared" si="10"/>
        <v>0</v>
      </c>
      <c r="M11" s="25">
        <f t="shared" si="9"/>
        <v>3220762.1399999969</v>
      </c>
      <c r="N11" s="12">
        <f t="shared" si="6"/>
        <v>9.1528719255747869E-3</v>
      </c>
    </row>
    <row r="12" spans="1:15">
      <c r="A12" s="15">
        <v>41562</v>
      </c>
      <c r="B12" s="14">
        <v>4930690.66</v>
      </c>
      <c r="C12" s="13">
        <v>-9434050.5099999998</v>
      </c>
      <c r="D12" s="27">
        <v>348299366.87</v>
      </c>
      <c r="E12" s="3">
        <f t="shared" si="4"/>
        <v>41562</v>
      </c>
      <c r="F12" s="12">
        <f t="shared" si="0"/>
        <v>1.2929566569326678E-2</v>
      </c>
      <c r="G12" s="25">
        <f t="shared" si="1"/>
        <v>4503359.8499999996</v>
      </c>
      <c r="H12" s="12">
        <f t="shared" si="2"/>
        <v>-1.2929566569326678E-2</v>
      </c>
      <c r="I12" s="25">
        <f t="shared" si="3"/>
        <v>-4503359.8499999996</v>
      </c>
      <c r="J12" s="11">
        <f t="shared" si="7"/>
        <v>-3.5715220935897338E-3</v>
      </c>
      <c r="K12" s="25">
        <f t="shared" si="8"/>
        <v>-1282597.7100000028</v>
      </c>
      <c r="L12" s="25">
        <f t="shared" si="10"/>
        <v>0</v>
      </c>
      <c r="M12" s="25">
        <f t="shared" si="9"/>
        <v>-1282597.7100000028</v>
      </c>
      <c r="N12" s="12">
        <f t="shared" si="6"/>
        <v>-3.6824577705268187E-3</v>
      </c>
    </row>
    <row r="13" spans="1:15">
      <c r="A13" s="15">
        <v>41563</v>
      </c>
      <c r="B13" s="14">
        <v>3320394.7299999995</v>
      </c>
      <c r="C13" s="13">
        <v>-305814.22000000003</v>
      </c>
      <c r="D13" s="27">
        <v>350195000.06</v>
      </c>
      <c r="E13" s="3">
        <f t="shared" si="4"/>
        <v>41563</v>
      </c>
      <c r="F13" s="12">
        <f t="shared" si="0"/>
        <v>8.6082911220420107E-3</v>
      </c>
      <c r="G13" s="25">
        <f t="shared" si="1"/>
        <v>3014580.5099999993</v>
      </c>
      <c r="H13" s="12">
        <f t="shared" si="2"/>
        <v>8.6082911220420107E-3</v>
      </c>
      <c r="I13" s="25">
        <f t="shared" si="3"/>
        <v>3014580.5099999993</v>
      </c>
      <c r="J13" s="11">
        <f t="shared" si="7"/>
        <v>5.036769028452277E-3</v>
      </c>
      <c r="K13" s="25">
        <f t="shared" si="8"/>
        <v>1731982.7999999966</v>
      </c>
      <c r="L13" s="25">
        <f t="shared" si="10"/>
        <v>0</v>
      </c>
      <c r="M13" s="25">
        <f t="shared" si="9"/>
        <v>1731982.7999999966</v>
      </c>
      <c r="N13" s="12">
        <f t="shared" si="6"/>
        <v>4.9457667862283887E-3</v>
      </c>
    </row>
    <row r="14" spans="1:15">
      <c r="A14" s="15">
        <v>41564</v>
      </c>
      <c r="B14" s="14">
        <v>25439370.740000002</v>
      </c>
      <c r="C14" s="13">
        <v>-945735.07000000007</v>
      </c>
      <c r="D14" s="27">
        <v>379779186.48000002</v>
      </c>
      <c r="E14" s="3">
        <f t="shared" si="4"/>
        <v>41564</v>
      </c>
      <c r="F14" s="12">
        <f t="shared" si="0"/>
        <v>6.4494412916674904E-2</v>
      </c>
      <c r="G14" s="25">
        <f t="shared" si="1"/>
        <v>24493635.670000002</v>
      </c>
      <c r="H14" s="12">
        <f t="shared" si="2"/>
        <v>6.4494412916674904E-2</v>
      </c>
      <c r="I14" s="25">
        <f t="shared" si="3"/>
        <v>24493635.670000002</v>
      </c>
      <c r="J14" s="11">
        <f t="shared" si="7"/>
        <v>6.9531181945127182E-2</v>
      </c>
      <c r="K14" s="25">
        <f t="shared" si="8"/>
        <v>26225618.469999999</v>
      </c>
      <c r="L14" s="25">
        <f t="shared" si="10"/>
        <v>-25000000</v>
      </c>
      <c r="M14" s="25">
        <f t="shared" si="9"/>
        <v>1225618.4699999988</v>
      </c>
      <c r="N14" s="12">
        <f t="shared" si="6"/>
        <v>3.2271870435020339E-3</v>
      </c>
    </row>
    <row r="15" spans="1:15">
      <c r="A15" s="15">
        <v>41565</v>
      </c>
      <c r="B15" s="14">
        <v>2219163.6999999997</v>
      </c>
      <c r="C15" s="13">
        <v>-1793258.52</v>
      </c>
      <c r="D15" s="27">
        <v>383792977.72000003</v>
      </c>
      <c r="E15" s="3">
        <f t="shared" si="4"/>
        <v>41565</v>
      </c>
      <c r="F15" s="12">
        <f t="shared" si="0"/>
        <v>1.1097263491640097E-3</v>
      </c>
      <c r="G15" s="25">
        <f t="shared" si="1"/>
        <v>425905.1799999997</v>
      </c>
      <c r="H15" s="12">
        <f t="shared" si="2"/>
        <v>1.1097263491640097E-3</v>
      </c>
      <c r="I15" s="25">
        <f t="shared" si="3"/>
        <v>425905.1799999997</v>
      </c>
      <c r="J15" s="11">
        <f t="shared" si="7"/>
        <v>7.0640908294291191E-2</v>
      </c>
      <c r="K15" s="25">
        <f t="shared" si="8"/>
        <v>26651523.649999999</v>
      </c>
      <c r="L15" s="25">
        <f t="shared" si="10"/>
        <v>0</v>
      </c>
      <c r="M15" s="25">
        <f t="shared" si="9"/>
        <v>1651523.6499999985</v>
      </c>
      <c r="N15" s="12">
        <f t="shared" si="6"/>
        <v>4.3031627618910842E-3</v>
      </c>
    </row>
    <row r="16" spans="1:15">
      <c r="A16" s="15">
        <v>41568</v>
      </c>
      <c r="B16" s="14">
        <v>6699234.379999999</v>
      </c>
      <c r="C16" s="13">
        <v>-4681277.8900000006</v>
      </c>
      <c r="D16" s="27">
        <v>386713392.14999998</v>
      </c>
      <c r="E16" s="3">
        <f t="shared" si="4"/>
        <v>41568</v>
      </c>
      <c r="F16" s="12">
        <f t="shared" si="0"/>
        <v>5.2182224121611626E-3</v>
      </c>
      <c r="G16" s="25">
        <f t="shared" si="1"/>
        <v>2017956.4899999984</v>
      </c>
      <c r="H16" s="12">
        <f t="shared" si="2"/>
        <v>5.2182224121611626E-3</v>
      </c>
      <c r="I16" s="25">
        <f t="shared" si="3"/>
        <v>2017956.4899999984</v>
      </c>
      <c r="J16" s="11">
        <f t="shared" si="7"/>
        <v>7.5859130706452352E-2</v>
      </c>
      <c r="K16" s="25">
        <f t="shared" si="8"/>
        <v>28669480.139999997</v>
      </c>
      <c r="L16" s="25">
        <f t="shared" si="10"/>
        <v>0</v>
      </c>
      <c r="M16" s="25">
        <f t="shared" si="9"/>
        <v>3669480.1399999969</v>
      </c>
      <c r="N16" s="12">
        <f t="shared" si="6"/>
        <v>9.4888881908094455E-3</v>
      </c>
    </row>
    <row r="17" spans="1:14">
      <c r="A17" s="15">
        <v>41569</v>
      </c>
      <c r="B17" s="14">
        <v>6433498.1300000008</v>
      </c>
      <c r="C17" s="13">
        <v>-2184152.15</v>
      </c>
      <c r="D17" s="27">
        <v>390072627.30000001</v>
      </c>
      <c r="E17" s="3">
        <f t="shared" si="4"/>
        <v>41569</v>
      </c>
      <c r="F17" s="12">
        <f t="shared" si="0"/>
        <v>1.089373025073067E-2</v>
      </c>
      <c r="G17" s="25">
        <f t="shared" si="1"/>
        <v>4249345.9800000004</v>
      </c>
      <c r="H17" s="12">
        <f t="shared" si="2"/>
        <v>1.089373025073067E-2</v>
      </c>
      <c r="I17" s="25">
        <f t="shared" si="3"/>
        <v>4249345.9800000004</v>
      </c>
      <c r="J17" s="11">
        <f t="shared" si="7"/>
        <v>8.6752860957183014E-2</v>
      </c>
      <c r="K17" s="25">
        <f t="shared" si="8"/>
        <v>32918826.119999997</v>
      </c>
      <c r="L17" s="25">
        <f t="shared" si="10"/>
        <v>0</v>
      </c>
      <c r="M17" s="25">
        <f t="shared" si="9"/>
        <v>7918826.1199999973</v>
      </c>
      <c r="N17" s="12">
        <f t="shared" si="6"/>
        <v>2.0300901846952022E-2</v>
      </c>
    </row>
    <row r="18" spans="1:14">
      <c r="A18" s="15">
        <v>41570</v>
      </c>
      <c r="B18" s="14">
        <v>1566564.29</v>
      </c>
      <c r="C18" s="13">
        <v>-798108.91999999993</v>
      </c>
      <c r="D18" s="27">
        <v>386388344.13000005</v>
      </c>
      <c r="E18" s="3">
        <f t="shared" si="4"/>
        <v>41570</v>
      </c>
      <c r="F18" s="12">
        <f t="shared" si="0"/>
        <v>1.9888161267655989E-3</v>
      </c>
      <c r="G18" s="25">
        <f t="shared" si="1"/>
        <v>768455.37000000011</v>
      </c>
      <c r="H18" s="12">
        <f t="shared" si="2"/>
        <v>1.9888161267655989E-3</v>
      </c>
      <c r="I18" s="25">
        <f t="shared" si="3"/>
        <v>768455.37000000011</v>
      </c>
      <c r="J18" s="11">
        <f t="shared" si="7"/>
        <v>8.8741677083948617E-2</v>
      </c>
      <c r="K18" s="25">
        <f t="shared" si="8"/>
        <v>33687281.489999995</v>
      </c>
      <c r="L18" s="25">
        <f t="shared" si="10"/>
        <v>0</v>
      </c>
      <c r="M18" s="25">
        <f t="shared" si="9"/>
        <v>8687281.4899999984</v>
      </c>
      <c r="N18" s="12">
        <f t="shared" si="6"/>
        <v>2.2483290766859079E-2</v>
      </c>
    </row>
    <row r="19" spans="1:14">
      <c r="A19" s="15">
        <v>41571</v>
      </c>
      <c r="B19" s="14">
        <v>121791.87</v>
      </c>
      <c r="C19" s="13">
        <v>-41590274.280000001</v>
      </c>
      <c r="D19" s="27">
        <v>316144669.14999998</v>
      </c>
      <c r="E19" s="3">
        <f t="shared" si="4"/>
        <v>41571</v>
      </c>
      <c r="F19" s="12">
        <f t="shared" si="0"/>
        <v>0.13116932359319528</v>
      </c>
      <c r="G19" s="25">
        <f t="shared" si="1"/>
        <v>41468482.410000004</v>
      </c>
      <c r="H19" s="12">
        <f t="shared" si="2"/>
        <v>-0.13116932359319528</v>
      </c>
      <c r="I19" s="25">
        <f t="shared" si="3"/>
        <v>-41468482.410000004</v>
      </c>
      <c r="J19" s="11">
        <f t="shared" si="7"/>
        <v>-4.2427646509246658E-2</v>
      </c>
      <c r="K19" s="25">
        <f t="shared" si="8"/>
        <v>-7781200.9200000092</v>
      </c>
      <c r="L19" s="25">
        <f t="shared" si="10"/>
        <v>35000000</v>
      </c>
      <c r="M19" s="25">
        <f t="shared" si="9"/>
        <v>2218799.0799999908</v>
      </c>
      <c r="N19" s="12">
        <f t="shared" si="6"/>
        <v>7.018303000223121E-3</v>
      </c>
    </row>
    <row r="20" spans="1:14">
      <c r="A20" s="15">
        <v>41572</v>
      </c>
      <c r="B20" s="14">
        <v>8409443.9700000007</v>
      </c>
      <c r="C20" s="13">
        <v>-1200228.47</v>
      </c>
      <c r="D20" s="27">
        <v>359754390.00999999</v>
      </c>
      <c r="E20" s="3">
        <f t="shared" si="4"/>
        <v>41572</v>
      </c>
      <c r="F20" s="12">
        <f t="shared" si="0"/>
        <v>2.0039270402786771E-2</v>
      </c>
      <c r="G20" s="25">
        <f t="shared" si="1"/>
        <v>7209215.5000000009</v>
      </c>
      <c r="H20" s="12">
        <f t="shared" si="2"/>
        <v>2.0039270402786771E-2</v>
      </c>
      <c r="I20" s="25">
        <f t="shared" si="3"/>
        <v>7209215.5000000009</v>
      </c>
      <c r="J20" s="11">
        <f t="shared" si="7"/>
        <v>-2.2388376106459888E-2</v>
      </c>
      <c r="K20" s="25">
        <f t="shared" si="8"/>
        <v>-571985.42000000831</v>
      </c>
      <c r="L20" s="25">
        <f t="shared" si="10"/>
        <v>0</v>
      </c>
      <c r="M20" s="25">
        <f t="shared" si="9"/>
        <v>9428014.5799999908</v>
      </c>
      <c r="N20" s="12">
        <f t="shared" si="6"/>
        <v>2.6206808983589951E-2</v>
      </c>
    </row>
    <row r="21" spans="1:14">
      <c r="A21" s="15">
        <v>41576</v>
      </c>
      <c r="B21" s="14">
        <v>5833466.3199999994</v>
      </c>
      <c r="C21" s="13">
        <v>-1096044.6500000001</v>
      </c>
      <c r="D21" s="27">
        <v>360123667.53999996</v>
      </c>
      <c r="E21" s="3">
        <f t="shared" si="4"/>
        <v>41576</v>
      </c>
      <c r="F21" s="12">
        <f t="shared" si="0"/>
        <v>1.3154985625802558E-2</v>
      </c>
      <c r="G21" s="25">
        <f t="shared" si="1"/>
        <v>4737421.669999999</v>
      </c>
      <c r="H21" s="12">
        <f t="shared" si="2"/>
        <v>1.3154985625802558E-2</v>
      </c>
      <c r="I21" s="25">
        <f t="shared" si="3"/>
        <v>4737421.669999999</v>
      </c>
      <c r="J21" s="11">
        <f t="shared" si="7"/>
        <v>-9.2333904806573292E-3</v>
      </c>
      <c r="K21" s="25">
        <f t="shared" si="8"/>
        <v>4165436.2499999907</v>
      </c>
      <c r="L21" s="25">
        <f t="shared" si="10"/>
        <v>0</v>
      </c>
      <c r="M21" s="25">
        <f t="shared" si="9"/>
        <v>14165436.249999989</v>
      </c>
      <c r="N21" s="12">
        <f t="shared" si="6"/>
        <v>3.933492165834003E-2</v>
      </c>
    </row>
    <row r="22" spans="1:14">
      <c r="A22" s="15">
        <v>41577</v>
      </c>
      <c r="B22" s="14">
        <v>15165767.66</v>
      </c>
      <c r="C22" s="13">
        <v>-4742933.78</v>
      </c>
      <c r="D22" s="27">
        <v>379169915.27999997</v>
      </c>
      <c r="E22" s="3">
        <f t="shared" si="4"/>
        <v>41577</v>
      </c>
      <c r="F22" s="12">
        <f t="shared" si="0"/>
        <v>2.7488557134875018E-2</v>
      </c>
      <c r="G22" s="25">
        <f t="shared" si="1"/>
        <v>10422833.879999999</v>
      </c>
      <c r="H22" s="12">
        <f t="shared" si="2"/>
        <v>2.7488557134875018E-2</v>
      </c>
      <c r="I22" s="25">
        <f t="shared" si="3"/>
        <v>10422833.879999999</v>
      </c>
      <c r="J22" s="11">
        <f t="shared" si="7"/>
        <v>1.825516665421769E-2</v>
      </c>
      <c r="K22" s="25">
        <f t="shared" si="8"/>
        <v>14588270.12999999</v>
      </c>
      <c r="L22" s="25">
        <f t="shared" si="10"/>
        <v>-20000000</v>
      </c>
      <c r="M22" s="25">
        <f t="shared" si="9"/>
        <v>4588270.1299999878</v>
      </c>
      <c r="N22" s="12">
        <f t="shared" si="6"/>
        <v>1.2100828533856006E-2</v>
      </c>
    </row>
    <row r="23" spans="1:14">
      <c r="A23" s="15">
        <v>41578</v>
      </c>
      <c r="B23" s="14">
        <v>866530.35000000009</v>
      </c>
      <c r="C23" s="13">
        <v>-2040808.8599999999</v>
      </c>
      <c r="D23" s="27">
        <v>368035020.48999995</v>
      </c>
      <c r="E23" s="3">
        <f t="shared" si="4"/>
        <v>41578</v>
      </c>
      <c r="F23" s="12">
        <f t="shared" si="0"/>
        <v>3.1906705737855365E-3</v>
      </c>
      <c r="G23" s="25">
        <f t="shared" si="1"/>
        <v>1174278.5099999998</v>
      </c>
      <c r="H23" s="12">
        <f t="shared" si="2"/>
        <v>-3.1906705737855365E-3</v>
      </c>
      <c r="I23" s="25">
        <f t="shared" si="3"/>
        <v>-1174278.5099999998</v>
      </c>
      <c r="J23" s="11">
        <f t="shared" si="7"/>
        <v>1.5064496080432154E-2</v>
      </c>
      <c r="K23" s="25">
        <f t="shared" si="8"/>
        <v>13413991.61999999</v>
      </c>
      <c r="L23" s="25">
        <f t="shared" si="10"/>
        <v>0</v>
      </c>
      <c r="M23" s="25">
        <f t="shared" si="9"/>
        <v>3413991.619999988</v>
      </c>
      <c r="N23" s="12">
        <f t="shared" si="6"/>
        <v>9.2762683710224565E-3</v>
      </c>
    </row>
    <row r="24" spans="1:14">
      <c r="A24" s="15">
        <v>41579</v>
      </c>
      <c r="B24" s="14">
        <v>150565.43</v>
      </c>
      <c r="C24" s="13">
        <v>-5193071.0200000005</v>
      </c>
      <c r="D24" s="27">
        <v>361744485.29000002</v>
      </c>
      <c r="E24" s="3">
        <f t="shared" si="4"/>
        <v>41579</v>
      </c>
      <c r="F24" s="12">
        <f t="shared" si="0"/>
        <v>1.393941247219725E-2</v>
      </c>
      <c r="G24" s="25">
        <f t="shared" si="1"/>
        <v>5042505.5900000008</v>
      </c>
      <c r="H24" s="12">
        <f t="shared" si="2"/>
        <v>-1.393941247219725E-2</v>
      </c>
      <c r="I24" s="25">
        <f t="shared" si="3"/>
        <v>-5042505.5900000008</v>
      </c>
      <c r="J24" s="11">
        <f t="shared" si="7"/>
        <v>1.1250836082349041E-3</v>
      </c>
      <c r="K24" s="25">
        <f t="shared" si="8"/>
        <v>8371486.0299999891</v>
      </c>
      <c r="L24" s="25">
        <f t="shared" si="10"/>
        <v>0</v>
      </c>
      <c r="M24" s="25">
        <f t="shared" si="9"/>
        <v>-1628513.9700000128</v>
      </c>
      <c r="N24" s="12">
        <f t="shared" si="6"/>
        <v>-4.5018349587125856E-3</v>
      </c>
    </row>
    <row r="25" spans="1:14">
      <c r="A25" s="15">
        <v>41582</v>
      </c>
      <c r="B25" s="14">
        <v>2583900.67</v>
      </c>
      <c r="C25" s="13">
        <v>-1070559.78</v>
      </c>
      <c r="D25" s="27">
        <v>364012468.19</v>
      </c>
      <c r="E25" s="3">
        <f t="shared" si="4"/>
        <v>41582</v>
      </c>
      <c r="F25" s="12">
        <f t="shared" si="0"/>
        <v>4.157387513468622E-3</v>
      </c>
      <c r="G25" s="25">
        <f t="shared" si="1"/>
        <v>1513340.89</v>
      </c>
      <c r="H25" s="12">
        <f t="shared" si="2"/>
        <v>4.157387513468622E-3</v>
      </c>
      <c r="I25" s="25">
        <f t="shared" si="3"/>
        <v>1513340.89</v>
      </c>
      <c r="J25" s="11">
        <f t="shared" si="7"/>
        <v>5.2824711217035261E-3</v>
      </c>
      <c r="K25" s="25">
        <f t="shared" si="8"/>
        <v>9884826.9199999887</v>
      </c>
      <c r="L25" s="25">
        <f t="shared" si="10"/>
        <v>0</v>
      </c>
      <c r="M25" s="25">
        <f t="shared" si="9"/>
        <v>-115173.08000001288</v>
      </c>
      <c r="N25" s="12">
        <f t="shared" si="6"/>
        <v>-3.1639872274896123E-4</v>
      </c>
    </row>
    <row r="26" spans="1:14">
      <c r="A26" s="15">
        <v>41583</v>
      </c>
      <c r="B26" s="14">
        <v>4313337.54</v>
      </c>
      <c r="C26" s="13">
        <v>-1266650.28</v>
      </c>
      <c r="D26" s="27">
        <v>368429203.94999993</v>
      </c>
      <c r="E26" s="3">
        <f t="shared" si="4"/>
        <v>41583</v>
      </c>
      <c r="F26" s="12">
        <f t="shared" si="0"/>
        <v>8.2693967452522315E-3</v>
      </c>
      <c r="G26" s="25">
        <f t="shared" si="1"/>
        <v>3046687.26</v>
      </c>
      <c r="H26" s="12">
        <f t="shared" si="2"/>
        <v>8.2693967452522315E-3</v>
      </c>
      <c r="I26" s="25">
        <f t="shared" si="3"/>
        <v>3046687.26</v>
      </c>
      <c r="J26" s="11">
        <f t="shared" si="7"/>
        <v>1.3551867866955758E-2</v>
      </c>
      <c r="K26" s="25">
        <f t="shared" si="8"/>
        <v>12931514.179999989</v>
      </c>
      <c r="L26" s="25">
        <f t="shared" si="10"/>
        <v>0</v>
      </c>
      <c r="M26" s="25">
        <f t="shared" si="9"/>
        <v>2931514.1799999867</v>
      </c>
      <c r="N26" s="12">
        <f t="shared" si="6"/>
        <v>7.9567910159419036E-3</v>
      </c>
    </row>
    <row r="27" spans="1:14">
      <c r="A27" s="15">
        <v>41584</v>
      </c>
      <c r="B27" s="14">
        <v>1228483.01</v>
      </c>
      <c r="C27" s="13">
        <v>-2909368.1500000004</v>
      </c>
      <c r="D27" s="27">
        <v>366196999.69</v>
      </c>
      <c r="E27" s="3">
        <f t="shared" si="4"/>
        <v>41584</v>
      </c>
      <c r="F27" s="12">
        <f t="shared" si="0"/>
        <v>4.5901117197107979E-3</v>
      </c>
      <c r="G27" s="25">
        <f t="shared" si="1"/>
        <v>1680885.1400000004</v>
      </c>
      <c r="H27" s="12">
        <f t="shared" si="2"/>
        <v>-4.5901117197107979E-3</v>
      </c>
      <c r="I27" s="25">
        <f t="shared" si="3"/>
        <v>-1680885.1400000004</v>
      </c>
      <c r="J27" s="11">
        <f t="shared" si="7"/>
        <v>8.9617561472449606E-3</v>
      </c>
      <c r="K27" s="25">
        <f t="shared" si="8"/>
        <v>11250629.039999988</v>
      </c>
      <c r="L27" s="25">
        <f t="shared" si="10"/>
        <v>0</v>
      </c>
      <c r="M27" s="25">
        <f t="shared" si="9"/>
        <v>1250629.0399999863</v>
      </c>
      <c r="N27" s="12">
        <f t="shared" si="6"/>
        <v>3.4151810120200124E-3</v>
      </c>
    </row>
    <row r="28" spans="1:14">
      <c r="A28" s="15">
        <v>41585</v>
      </c>
      <c r="B28" s="14">
        <v>19448535.830000002</v>
      </c>
      <c r="C28" s="13">
        <v>-1261125.93</v>
      </c>
      <c r="D28" s="27">
        <v>387493446.08000004</v>
      </c>
      <c r="E28" s="3">
        <f t="shared" si="4"/>
        <v>41585</v>
      </c>
      <c r="F28" s="12">
        <f t="shared" si="0"/>
        <v>4.693604520022028E-2</v>
      </c>
      <c r="G28" s="25">
        <f t="shared" si="1"/>
        <v>18187409.900000002</v>
      </c>
      <c r="H28" s="12">
        <f t="shared" si="2"/>
        <v>4.693604520022028E-2</v>
      </c>
      <c r="I28" s="25">
        <f t="shared" si="3"/>
        <v>18187409.900000002</v>
      </c>
      <c r="J28" s="11">
        <f t="shared" si="7"/>
        <v>5.5897801347465241E-2</v>
      </c>
      <c r="K28" s="25">
        <f t="shared" si="8"/>
        <v>29438038.93999999</v>
      </c>
      <c r="L28" s="25">
        <f t="shared" si="10"/>
        <v>-15000000</v>
      </c>
      <c r="M28" s="25">
        <f t="shared" si="9"/>
        <v>4438038.9399999883</v>
      </c>
      <c r="N28" s="12">
        <f t="shared" si="6"/>
        <v>1.1453197427973355E-2</v>
      </c>
    </row>
    <row r="29" spans="1:14">
      <c r="A29" s="15">
        <v>41586</v>
      </c>
      <c r="B29" s="14">
        <v>145135.79999999999</v>
      </c>
      <c r="C29" s="13">
        <v>-7006288.04</v>
      </c>
      <c r="D29" s="27">
        <v>343323884.06</v>
      </c>
      <c r="E29" s="3">
        <f t="shared" si="4"/>
        <v>41586</v>
      </c>
      <c r="F29" s="12">
        <f t="shared" si="0"/>
        <v>1.9984488579305862E-2</v>
      </c>
      <c r="G29" s="25">
        <f t="shared" si="1"/>
        <v>6861152.2400000002</v>
      </c>
      <c r="H29" s="12">
        <f t="shared" si="2"/>
        <v>-1.9984488579305862E-2</v>
      </c>
      <c r="I29" s="25">
        <f t="shared" si="3"/>
        <v>-6861152.2400000002</v>
      </c>
      <c r="J29" s="11">
        <f t="shared" si="7"/>
        <v>3.5913312768159379E-2</v>
      </c>
      <c r="K29" s="25">
        <f t="shared" si="8"/>
        <v>22576886.699999988</v>
      </c>
      <c r="L29" s="25">
        <f t="shared" si="10"/>
        <v>0</v>
      </c>
      <c r="M29" s="25">
        <f t="shared" si="9"/>
        <v>-2423113.3000000119</v>
      </c>
      <c r="N29" s="12">
        <f t="shared" si="6"/>
        <v>-7.0578057994256631E-3</v>
      </c>
    </row>
    <row r="30" spans="1:14">
      <c r="A30" s="15">
        <v>41589</v>
      </c>
      <c r="B30" s="14">
        <v>1092817.2699999998</v>
      </c>
      <c r="C30" s="13">
        <v>-22756036.48</v>
      </c>
      <c r="D30" s="27">
        <v>358253158.87</v>
      </c>
      <c r="E30" s="3">
        <f t="shared" si="4"/>
        <v>41589</v>
      </c>
      <c r="F30" s="12">
        <f t="shared" si="0"/>
        <v>6.0469024971977911E-2</v>
      </c>
      <c r="G30" s="25">
        <f t="shared" si="1"/>
        <v>21663219.210000001</v>
      </c>
      <c r="H30" s="12">
        <f t="shared" si="2"/>
        <v>-6.0469024971977911E-2</v>
      </c>
      <c r="I30" s="25">
        <f t="shared" si="3"/>
        <v>-21663219.210000001</v>
      </c>
      <c r="J30" s="11">
        <f t="shared" si="7"/>
        <v>-2.4555712203818532E-2</v>
      </c>
      <c r="K30" s="25">
        <f t="shared" si="8"/>
        <v>913667.48999998719</v>
      </c>
      <c r="L30" s="25">
        <f t="shared" si="10"/>
        <v>25000000</v>
      </c>
      <c r="M30" s="25">
        <f t="shared" si="9"/>
        <v>913667.48999998719</v>
      </c>
      <c r="N30" s="12">
        <f t="shared" si="6"/>
        <v>2.550340359543156E-3</v>
      </c>
    </row>
    <row r="31" spans="1:14">
      <c r="A31" s="15">
        <v>41596</v>
      </c>
      <c r="B31" s="14">
        <v>69042043.470000014</v>
      </c>
      <c r="C31" s="13">
        <v>0</v>
      </c>
      <c r="D31" s="27">
        <v>288483428.61000001</v>
      </c>
      <c r="E31" s="3">
        <f t="shared" si="4"/>
        <v>41596</v>
      </c>
      <c r="F31" s="12">
        <f t="shared" si="0"/>
        <v>0.23932758911894994</v>
      </c>
      <c r="G31" s="25">
        <f t="shared" si="1"/>
        <v>69042043.470000014</v>
      </c>
      <c r="H31" s="12">
        <f t="shared" si="2"/>
        <v>0.23932758911894994</v>
      </c>
      <c r="I31" s="25">
        <f t="shared" si="3"/>
        <v>69042043.470000014</v>
      </c>
      <c r="J31" s="11">
        <f t="shared" si="7"/>
        <v>0.21477187691513142</v>
      </c>
      <c r="K31" s="25">
        <f t="shared" si="8"/>
        <v>69955710.960000008</v>
      </c>
      <c r="L31" s="25">
        <f t="shared" si="10"/>
        <v>-65000000</v>
      </c>
      <c r="M31" s="25">
        <f t="shared" si="9"/>
        <v>4955710.9600000009</v>
      </c>
      <c r="N31" s="12">
        <f t="shared" si="6"/>
        <v>1.7178494390052517E-2</v>
      </c>
    </row>
    <row r="32" spans="1:14">
      <c r="A32" s="15">
        <v>41597</v>
      </c>
      <c r="B32" s="14">
        <v>2822259.79</v>
      </c>
      <c r="C32" s="13">
        <v>-4032589.7</v>
      </c>
      <c r="D32" s="27">
        <v>432189011.93000001</v>
      </c>
      <c r="E32" s="3">
        <f t="shared" si="4"/>
        <v>41597</v>
      </c>
      <c r="F32" s="12">
        <f t="shared" si="0"/>
        <v>2.8004643260019593E-3</v>
      </c>
      <c r="G32" s="25">
        <f t="shared" si="1"/>
        <v>1210329.9100000001</v>
      </c>
      <c r="H32" s="12">
        <f t="shared" si="2"/>
        <v>-2.8004643260019593E-3</v>
      </c>
      <c r="I32" s="25">
        <f t="shared" si="3"/>
        <v>-1210329.9100000001</v>
      </c>
      <c r="J32" s="11">
        <f t="shared" si="7"/>
        <v>0.21197141258912947</v>
      </c>
      <c r="K32" s="25">
        <f t="shared" si="8"/>
        <v>68745381.050000012</v>
      </c>
      <c r="L32" s="25">
        <f t="shared" si="10"/>
        <v>0</v>
      </c>
      <c r="M32" s="25">
        <f t="shared" si="9"/>
        <v>3745381.0500000007</v>
      </c>
      <c r="N32" s="12">
        <f t="shared" si="6"/>
        <v>8.6660718958922207E-3</v>
      </c>
    </row>
    <row r="33" spans="1:14">
      <c r="A33" s="15">
        <v>41598</v>
      </c>
      <c r="B33" s="14">
        <v>4310922.8499999996</v>
      </c>
      <c r="C33" s="13">
        <v>-3766822.4699999997</v>
      </c>
      <c r="D33" s="27">
        <v>432712129.12000012</v>
      </c>
      <c r="E33" s="3">
        <f t="shared" si="4"/>
        <v>41598</v>
      </c>
      <c r="F33" s="12">
        <f t="shared" si="0"/>
        <v>1.2574188320224079E-3</v>
      </c>
      <c r="G33" s="25">
        <f t="shared" si="1"/>
        <v>544100.37999999989</v>
      </c>
      <c r="H33" s="12">
        <f t="shared" si="2"/>
        <v>1.2574188320224079E-3</v>
      </c>
      <c r="I33" s="25">
        <f t="shared" si="3"/>
        <v>544100.37999999989</v>
      </c>
      <c r="J33" s="11">
        <f t="shared" si="7"/>
        <v>0.21322883142115187</v>
      </c>
      <c r="K33" s="25">
        <f t="shared" si="8"/>
        <v>69289481.430000007</v>
      </c>
      <c r="L33" s="25">
        <f t="shared" si="10"/>
        <v>0</v>
      </c>
      <c r="M33" s="25">
        <f t="shared" si="9"/>
        <v>4289481.4300000006</v>
      </c>
      <c r="N33" s="12">
        <f t="shared" si="6"/>
        <v>9.9130140833432415E-3</v>
      </c>
    </row>
    <row r="34" spans="1:14">
      <c r="A34" s="15">
        <v>41599</v>
      </c>
      <c r="B34" s="14">
        <v>4071457.5700000003</v>
      </c>
      <c r="C34" s="13">
        <v>-2838651.4</v>
      </c>
      <c r="D34" s="27">
        <v>439567462.48000002</v>
      </c>
      <c r="E34" s="3">
        <f t="shared" si="4"/>
        <v>41599</v>
      </c>
      <c r="F34" s="12">
        <f t="shared" si="0"/>
        <v>2.8045892274296625E-3</v>
      </c>
      <c r="G34" s="25">
        <f t="shared" si="1"/>
        <v>1232806.1700000004</v>
      </c>
      <c r="H34" s="12">
        <f t="shared" si="2"/>
        <v>2.8045892274296625E-3</v>
      </c>
      <c r="I34" s="25">
        <f t="shared" si="3"/>
        <v>1232806.1700000004</v>
      </c>
      <c r="J34" s="11">
        <f t="shared" si="7"/>
        <v>0.21603342064858153</v>
      </c>
      <c r="K34" s="25">
        <f t="shared" si="8"/>
        <v>70522287.600000009</v>
      </c>
      <c r="L34" s="25">
        <f t="shared" si="10"/>
        <v>0</v>
      </c>
      <c r="M34" s="25">
        <f t="shared" si="9"/>
        <v>5522287.6000000015</v>
      </c>
      <c r="N34" s="12">
        <f t="shared" si="6"/>
        <v>1.2563003569108033E-2</v>
      </c>
    </row>
    <row r="35" spans="1:14">
      <c r="A35" s="15">
        <v>41600</v>
      </c>
      <c r="B35" s="14">
        <v>992181.57000000007</v>
      </c>
      <c r="C35" s="13">
        <v>-2040001.2200000002</v>
      </c>
      <c r="D35" s="27">
        <v>434318685.20000005</v>
      </c>
      <c r="E35" s="3">
        <f t="shared" si="4"/>
        <v>41600</v>
      </c>
      <c r="F35" s="12">
        <f t="shared" si="0"/>
        <v>2.4125594539352781E-3</v>
      </c>
      <c r="G35" s="25">
        <f t="shared" si="1"/>
        <v>1047819.6500000001</v>
      </c>
      <c r="H35" s="12">
        <f t="shared" si="2"/>
        <v>-2.4125594539352781E-3</v>
      </c>
      <c r="I35" s="25">
        <f t="shared" si="3"/>
        <v>-1047819.6500000001</v>
      </c>
      <c r="J35" s="11">
        <f t="shared" si="7"/>
        <v>0.21362086119464624</v>
      </c>
      <c r="K35" s="25">
        <f t="shared" si="8"/>
        <v>69474467.950000003</v>
      </c>
      <c r="L35" s="25">
        <f t="shared" si="10"/>
        <v>0</v>
      </c>
      <c r="M35" s="25">
        <f t="shared" si="9"/>
        <v>4474467.9500000011</v>
      </c>
      <c r="N35" s="12">
        <f t="shared" si="6"/>
        <v>1.0302269053746897E-2</v>
      </c>
    </row>
    <row r="36" spans="1:14">
      <c r="A36" s="15">
        <v>41603</v>
      </c>
      <c r="B36" s="14">
        <v>1328871.58</v>
      </c>
      <c r="C36" s="13">
        <v>-517466.80000000005</v>
      </c>
      <c r="D36" s="27">
        <v>446252287.63</v>
      </c>
      <c r="E36" s="3">
        <f t="shared" si="4"/>
        <v>41603</v>
      </c>
      <c r="F36" s="12">
        <f t="shared" si="0"/>
        <v>1.8182646957605245E-3</v>
      </c>
      <c r="G36" s="25">
        <f t="shared" si="1"/>
        <v>811404.78</v>
      </c>
      <c r="H36" s="12">
        <f t="shared" si="2"/>
        <v>1.8182646957605245E-3</v>
      </c>
      <c r="I36" s="25">
        <f t="shared" si="3"/>
        <v>811404.78</v>
      </c>
      <c r="J36" s="11">
        <f t="shared" si="7"/>
        <v>0.21543912589040676</v>
      </c>
      <c r="K36" s="25">
        <f t="shared" si="8"/>
        <v>70285872.730000004</v>
      </c>
      <c r="L36" s="25">
        <f t="shared" si="10"/>
        <v>0</v>
      </c>
      <c r="M36" s="25">
        <f t="shared" si="9"/>
        <v>5285872.7300000014</v>
      </c>
      <c r="N36" s="12">
        <f t="shared" si="6"/>
        <v>1.1845032230697859E-2</v>
      </c>
    </row>
    <row r="37" spans="1:14">
      <c r="A37" s="15">
        <v>41604</v>
      </c>
      <c r="B37" s="14">
        <v>2818547.3000000003</v>
      </c>
      <c r="C37" s="13">
        <v>-1167025.4099999999</v>
      </c>
      <c r="D37" s="27">
        <v>438738571.94</v>
      </c>
      <c r="E37" s="3">
        <f t="shared" si="4"/>
        <v>41604</v>
      </c>
      <c r="F37" s="12">
        <f t="shared" si="0"/>
        <v>3.764250502747808E-3</v>
      </c>
      <c r="G37" s="25">
        <f t="shared" si="1"/>
        <v>1651521.8900000004</v>
      </c>
      <c r="H37" s="12">
        <f t="shared" si="2"/>
        <v>3.764250502747808E-3</v>
      </c>
      <c r="I37" s="25">
        <f t="shared" si="3"/>
        <v>1651521.8900000004</v>
      </c>
      <c r="J37" s="11">
        <f t="shared" si="7"/>
        <v>0.21920337639315457</v>
      </c>
      <c r="K37" s="25">
        <f t="shared" si="8"/>
        <v>71937394.620000005</v>
      </c>
      <c r="L37" s="25">
        <f t="shared" si="10"/>
        <v>0</v>
      </c>
      <c r="M37" s="25">
        <f t="shared" si="9"/>
        <v>6937394.620000002</v>
      </c>
      <c r="N37" s="12">
        <f t="shared" si="6"/>
        <v>1.5812137486167343E-2</v>
      </c>
    </row>
    <row r="38" spans="1:14">
      <c r="A38" s="15">
        <v>41605</v>
      </c>
      <c r="B38" s="14">
        <v>462352.43</v>
      </c>
      <c r="C38" s="13">
        <v>-4558246.55</v>
      </c>
      <c r="D38" s="27">
        <v>441060097.69000006</v>
      </c>
      <c r="E38" s="3">
        <f t="shared" si="4"/>
        <v>41605</v>
      </c>
      <c r="F38" s="12">
        <f t="shared" si="0"/>
        <v>9.2864762454181616E-3</v>
      </c>
      <c r="G38" s="25">
        <f t="shared" si="1"/>
        <v>4095894.1199999996</v>
      </c>
      <c r="H38" s="12">
        <f t="shared" si="2"/>
        <v>-9.2864762454181616E-3</v>
      </c>
      <c r="I38" s="25">
        <f t="shared" si="3"/>
        <v>-4095894.1199999996</v>
      </c>
      <c r="J38" s="11">
        <f t="shared" si="7"/>
        <v>0.2099169001477364</v>
      </c>
      <c r="K38" s="25">
        <f t="shared" si="8"/>
        <v>67841500.5</v>
      </c>
      <c r="L38" s="25">
        <f t="shared" si="10"/>
        <v>0</v>
      </c>
      <c r="M38" s="25">
        <f t="shared" si="9"/>
        <v>2841500.5000000023</v>
      </c>
      <c r="N38" s="12">
        <f t="shared" si="6"/>
        <v>6.4424338426487095E-3</v>
      </c>
    </row>
    <row r="39" spans="1:14">
      <c r="A39" s="15">
        <v>41607</v>
      </c>
      <c r="B39" s="14">
        <v>3626534.1199999996</v>
      </c>
      <c r="C39" s="13">
        <v>-1575636.1099999999</v>
      </c>
      <c r="D39" s="27">
        <v>436964412.79000008</v>
      </c>
      <c r="E39" s="3">
        <f t="shared" si="4"/>
        <v>41607</v>
      </c>
      <c r="F39" s="12">
        <f t="shared" si="0"/>
        <v>4.6935126751057347E-3</v>
      </c>
      <c r="G39" s="25">
        <f t="shared" si="1"/>
        <v>2050898.0099999998</v>
      </c>
      <c r="H39" s="12">
        <f t="shared" si="2"/>
        <v>4.6935126751057347E-3</v>
      </c>
      <c r="I39" s="25">
        <f t="shared" si="3"/>
        <v>2050898.0099999998</v>
      </c>
      <c r="J39" s="11">
        <f t="shared" si="7"/>
        <v>0.21461041282284213</v>
      </c>
      <c r="K39" s="25">
        <f t="shared" si="8"/>
        <v>69892398.510000005</v>
      </c>
      <c r="L39" s="25">
        <f t="shared" si="10"/>
        <v>0</v>
      </c>
      <c r="M39" s="25">
        <f t="shared" si="9"/>
        <v>4892398.5100000016</v>
      </c>
      <c r="N39" s="12">
        <f t="shared" si="6"/>
        <v>1.1196331707569125E-2</v>
      </c>
    </row>
    <row r="40" spans="1:14">
      <c r="A40" s="15">
        <v>41610</v>
      </c>
      <c r="B40" s="14">
        <v>2059672.8</v>
      </c>
      <c r="C40" s="13">
        <v>-279989.92</v>
      </c>
      <c r="D40" s="27">
        <v>407945969.50999999</v>
      </c>
      <c r="E40" s="3">
        <f t="shared" si="4"/>
        <v>41610</v>
      </c>
      <c r="F40" s="12">
        <f t="shared" si="0"/>
        <v>4.3625455648885255E-3</v>
      </c>
      <c r="G40" s="25">
        <f t="shared" si="1"/>
        <v>1779682.8800000001</v>
      </c>
      <c r="H40" s="12">
        <f t="shared" si="2"/>
        <v>4.3625455648885255E-3</v>
      </c>
      <c r="I40" s="25">
        <f t="shared" si="3"/>
        <v>1779682.8800000001</v>
      </c>
      <c r="J40" s="11">
        <f t="shared" si="7"/>
        <v>0.21897295838773065</v>
      </c>
      <c r="K40" s="25">
        <f t="shared" si="8"/>
        <v>71672081.390000001</v>
      </c>
      <c r="L40" s="25">
        <f t="shared" si="10"/>
        <v>0</v>
      </c>
      <c r="M40" s="25">
        <f t="shared" si="9"/>
        <v>6672081.3900000015</v>
      </c>
      <c r="N40" s="12">
        <f t="shared" si="6"/>
        <v>1.6355306556929836E-2</v>
      </c>
    </row>
    <row r="41" spans="1:14">
      <c r="A41" s="15">
        <v>41611</v>
      </c>
      <c r="B41" s="14">
        <v>2412951.71</v>
      </c>
      <c r="C41" s="13">
        <v>-816957.27</v>
      </c>
      <c r="D41" s="27">
        <v>438291827.9799999</v>
      </c>
      <c r="E41" s="3">
        <f t="shared" si="4"/>
        <v>41611</v>
      </c>
      <c r="F41" s="12">
        <f t="shared" si="0"/>
        <v>3.6413967546591545E-3</v>
      </c>
      <c r="G41" s="25">
        <f t="shared" si="1"/>
        <v>1595994.44</v>
      </c>
      <c r="H41" s="12">
        <f t="shared" si="2"/>
        <v>3.6413967546591545E-3</v>
      </c>
      <c r="I41" s="25">
        <f t="shared" si="3"/>
        <v>1595994.44</v>
      </c>
      <c r="J41" s="11">
        <f t="shared" si="7"/>
        <v>0.22261435514238981</v>
      </c>
      <c r="K41" s="25">
        <f t="shared" si="8"/>
        <v>73268075.829999998</v>
      </c>
      <c r="L41" s="25">
        <f t="shared" si="10"/>
        <v>0</v>
      </c>
      <c r="M41" s="25">
        <f t="shared" si="9"/>
        <v>8268075.8300000019</v>
      </c>
      <c r="N41" s="12">
        <f t="shared" si="6"/>
        <v>1.8864316654284712E-2</v>
      </c>
    </row>
    <row r="42" spans="1:14">
      <c r="A42" s="15">
        <v>41612</v>
      </c>
      <c r="B42" s="14">
        <v>870140.82000000007</v>
      </c>
      <c r="C42" s="13">
        <v>-580693.47</v>
      </c>
      <c r="D42" s="27">
        <v>435590835.01999998</v>
      </c>
      <c r="E42" s="3">
        <f t="shared" si="4"/>
        <v>41612</v>
      </c>
      <c r="F42" s="12">
        <f t="shared" si="0"/>
        <v>6.6449366407516405E-4</v>
      </c>
      <c r="G42" s="25">
        <f t="shared" si="1"/>
        <v>289447.35000000009</v>
      </c>
      <c r="H42" s="12">
        <f t="shared" si="2"/>
        <v>6.6449366407516405E-4</v>
      </c>
      <c r="I42" s="25">
        <f t="shared" si="3"/>
        <v>289447.35000000009</v>
      </c>
      <c r="J42" s="11">
        <f t="shared" si="7"/>
        <v>0.22327884880646498</v>
      </c>
      <c r="K42" s="25">
        <f t="shared" si="8"/>
        <v>73557523.179999992</v>
      </c>
      <c r="L42" s="25">
        <f t="shared" si="10"/>
        <v>0</v>
      </c>
      <c r="M42" s="25">
        <f t="shared" si="9"/>
        <v>8557523.1800000016</v>
      </c>
      <c r="N42" s="12">
        <f t="shared" si="6"/>
        <v>1.9645783363663027E-2</v>
      </c>
    </row>
    <row r="43" spans="1:14">
      <c r="A43" s="15">
        <v>41613</v>
      </c>
      <c r="B43" s="14">
        <v>1625371.52</v>
      </c>
      <c r="C43" s="13">
        <v>-706990.24999999988</v>
      </c>
      <c r="D43" s="27">
        <v>435526675.59000003</v>
      </c>
      <c r="E43" s="3">
        <f t="shared" si="4"/>
        <v>41613</v>
      </c>
      <c r="F43" s="12">
        <f t="shared" si="0"/>
        <v>2.1086682434684071E-3</v>
      </c>
      <c r="G43" s="25">
        <f t="shared" si="1"/>
        <v>918381.27000000014</v>
      </c>
      <c r="H43" s="12">
        <f t="shared" si="2"/>
        <v>2.1086682434684071E-3</v>
      </c>
      <c r="I43" s="25">
        <f t="shared" si="3"/>
        <v>918381.27000000014</v>
      </c>
      <c r="J43" s="11">
        <f t="shared" si="7"/>
        <v>0.2253875170499334</v>
      </c>
      <c r="K43" s="25">
        <f t="shared" si="8"/>
        <v>74475904.449999988</v>
      </c>
      <c r="L43" s="25">
        <f t="shared" si="10"/>
        <v>0</v>
      </c>
      <c r="M43" s="25">
        <f t="shared" si="9"/>
        <v>9475904.4500000011</v>
      </c>
      <c r="N43" s="12">
        <f t="shared" si="6"/>
        <v>2.1757345717488295E-2</v>
      </c>
    </row>
    <row r="44" spans="1:14">
      <c r="A44" s="15">
        <v>41614</v>
      </c>
      <c r="B44" s="14">
        <v>454167.42</v>
      </c>
      <c r="C44" s="13">
        <v>-2350780.62</v>
      </c>
      <c r="D44" s="27">
        <v>431650936.77999997</v>
      </c>
      <c r="E44" s="3">
        <f t="shared" si="4"/>
        <v>41614</v>
      </c>
      <c r="F44" s="12">
        <f t="shared" si="0"/>
        <v>4.393858644552529E-3</v>
      </c>
      <c r="G44" s="25">
        <f t="shared" si="1"/>
        <v>1896613.2000000002</v>
      </c>
      <c r="H44" s="12">
        <f t="shared" si="2"/>
        <v>-4.393858644552529E-3</v>
      </c>
      <c r="I44" s="25">
        <f t="shared" si="3"/>
        <v>-1896613.2000000002</v>
      </c>
      <c r="J44" s="11">
        <f t="shared" si="7"/>
        <v>0.22099365840538088</v>
      </c>
      <c r="K44" s="25">
        <f t="shared" si="8"/>
        <v>72579291.249999985</v>
      </c>
      <c r="L44" s="25">
        <f t="shared" si="10"/>
        <v>0</v>
      </c>
      <c r="M44" s="25">
        <f t="shared" si="9"/>
        <v>7579291.2500000009</v>
      </c>
      <c r="N44" s="12">
        <f t="shared" si="6"/>
        <v>1.7558843510312935E-2</v>
      </c>
    </row>
    <row r="45" spans="1:14">
      <c r="A45" s="15">
        <v>41617</v>
      </c>
      <c r="B45" s="14">
        <v>2070798.1399999997</v>
      </c>
      <c r="C45" s="13">
        <v>-3230620.2300000004</v>
      </c>
      <c r="D45" s="27">
        <v>443017749.40999997</v>
      </c>
      <c r="E45" s="3">
        <f t="shared" si="4"/>
        <v>41617</v>
      </c>
      <c r="F45" s="12">
        <f t="shared" si="0"/>
        <v>2.6180036613535755E-3</v>
      </c>
      <c r="G45" s="25">
        <f t="shared" si="1"/>
        <v>1159822.0900000008</v>
      </c>
      <c r="H45" s="12">
        <f t="shared" si="2"/>
        <v>-2.6180036613535755E-3</v>
      </c>
      <c r="I45" s="25">
        <f t="shared" si="3"/>
        <v>-1159822.0900000008</v>
      </c>
      <c r="J45" s="11">
        <f t="shared" si="7"/>
        <v>0.21837565474402731</v>
      </c>
      <c r="K45" s="25">
        <f t="shared" si="8"/>
        <v>71419469.159999982</v>
      </c>
      <c r="L45" s="25">
        <f t="shared" si="10"/>
        <v>0</v>
      </c>
      <c r="M45" s="25">
        <f t="shared" si="9"/>
        <v>6419469.1600000001</v>
      </c>
      <c r="N45" s="12">
        <f t="shared" si="6"/>
        <v>1.4490320463568988E-2</v>
      </c>
    </row>
    <row r="46" spans="1:14">
      <c r="A46" s="15">
        <v>41618</v>
      </c>
      <c r="B46" s="14">
        <v>1089909.18</v>
      </c>
      <c r="C46" s="13">
        <v>-3911040.9200000004</v>
      </c>
      <c r="D46" s="27">
        <v>439425232.34000003</v>
      </c>
      <c r="E46" s="3">
        <f t="shared" si="4"/>
        <v>41618</v>
      </c>
      <c r="F46" s="12">
        <f t="shared" si="0"/>
        <v>6.420049492781933E-3</v>
      </c>
      <c r="G46" s="25">
        <f t="shared" si="1"/>
        <v>2821131.74</v>
      </c>
      <c r="H46" s="12">
        <f t="shared" si="2"/>
        <v>-6.420049492781933E-3</v>
      </c>
      <c r="I46" s="25">
        <f t="shared" si="3"/>
        <v>-2821131.74</v>
      </c>
      <c r="J46" s="11">
        <f t="shared" si="7"/>
        <v>0.21195560525124538</v>
      </c>
      <c r="K46" s="25">
        <f t="shared" si="8"/>
        <v>68598337.419999987</v>
      </c>
      <c r="L46" s="25">
        <f t="shared" si="10"/>
        <v>0</v>
      </c>
      <c r="M46" s="25">
        <f t="shared" si="9"/>
        <v>3598337.42</v>
      </c>
      <c r="N46" s="12">
        <f t="shared" si="6"/>
        <v>8.1887364565715916E-3</v>
      </c>
    </row>
    <row r="47" spans="1:14">
      <c r="A47" s="15">
        <v>41619</v>
      </c>
      <c r="B47" s="14">
        <v>506735.41000000003</v>
      </c>
      <c r="C47" s="13">
        <v>-29226102.800000001</v>
      </c>
      <c r="D47" s="27">
        <v>411770342.98000008</v>
      </c>
      <c r="E47" s="3">
        <f t="shared" si="4"/>
        <v>41619</v>
      </c>
      <c r="F47" s="12">
        <f t="shared" si="0"/>
        <v>6.9746080259585175E-2</v>
      </c>
      <c r="G47" s="25">
        <f t="shared" si="1"/>
        <v>28719367.390000001</v>
      </c>
      <c r="H47" s="12">
        <f t="shared" si="2"/>
        <v>-6.9746080259585175E-2</v>
      </c>
      <c r="I47" s="25">
        <f t="shared" si="3"/>
        <v>-28719367.390000001</v>
      </c>
      <c r="J47" s="11">
        <f t="shared" si="7"/>
        <v>0.1422095249916602</v>
      </c>
      <c r="K47" s="25">
        <f t="shared" si="8"/>
        <v>39878970.029999986</v>
      </c>
      <c r="L47" s="25">
        <f t="shared" si="10"/>
        <v>30000000</v>
      </c>
      <c r="M47" s="25">
        <f t="shared" si="9"/>
        <v>4878970.0300000012</v>
      </c>
      <c r="N47" s="12">
        <f t="shared" si="6"/>
        <v>1.1848765005004199E-2</v>
      </c>
    </row>
    <row r="48" spans="1:14">
      <c r="A48" s="15">
        <v>41620</v>
      </c>
      <c r="B48" s="14">
        <v>2029567.7599999998</v>
      </c>
      <c r="C48" s="13">
        <v>-1513067.83</v>
      </c>
      <c r="D48" s="27">
        <v>374447756.02999997</v>
      </c>
      <c r="E48" s="3">
        <f t="shared" si="4"/>
        <v>41620</v>
      </c>
      <c r="F48" s="12">
        <f t="shared" si="0"/>
        <v>1.3793644685605188E-3</v>
      </c>
      <c r="G48" s="25">
        <f t="shared" si="1"/>
        <v>516499.9299999997</v>
      </c>
      <c r="H48" s="12">
        <f t="shared" si="2"/>
        <v>1.3793644685605188E-3</v>
      </c>
      <c r="I48" s="25">
        <f t="shared" si="3"/>
        <v>516499.9299999997</v>
      </c>
      <c r="J48" s="11">
        <f t="shared" si="7"/>
        <v>0.14358888946022072</v>
      </c>
      <c r="K48" s="25">
        <f t="shared" si="8"/>
        <v>40395469.959999986</v>
      </c>
      <c r="L48" s="25">
        <f t="shared" si="10"/>
        <v>0</v>
      </c>
      <c r="M48" s="25">
        <f t="shared" si="9"/>
        <v>5395469.9600000009</v>
      </c>
      <c r="N48" s="12">
        <f t="shared" si="6"/>
        <v>1.4409139521102451E-2</v>
      </c>
    </row>
    <row r="49" spans="1:14">
      <c r="A49" s="15">
        <v>41621</v>
      </c>
      <c r="B49" s="14">
        <v>330303.54000000004</v>
      </c>
      <c r="C49" s="13">
        <v>-3078139.6099999994</v>
      </c>
      <c r="D49" s="27">
        <v>394964313.05000001</v>
      </c>
      <c r="E49" s="3">
        <f t="shared" si="4"/>
        <v>41621</v>
      </c>
      <c r="F49" s="12">
        <f t="shared" si="0"/>
        <v>6.9571755705739938E-3</v>
      </c>
      <c r="G49" s="25">
        <f t="shared" si="1"/>
        <v>2747836.0699999994</v>
      </c>
      <c r="H49" s="12">
        <f t="shared" si="2"/>
        <v>-6.9571755705739938E-3</v>
      </c>
      <c r="I49" s="25">
        <f t="shared" si="3"/>
        <v>-2747836.0699999994</v>
      </c>
      <c r="J49" s="11">
        <f t="shared" si="7"/>
        <v>0.13663171388964673</v>
      </c>
      <c r="K49" s="25">
        <f t="shared" si="8"/>
        <v>37647633.889999986</v>
      </c>
      <c r="L49" s="25">
        <f t="shared" si="10"/>
        <v>0</v>
      </c>
      <c r="M49" s="25">
        <f t="shared" si="9"/>
        <v>2647633.8900000015</v>
      </c>
      <c r="N49" s="12">
        <f t="shared" si="6"/>
        <v>6.703476244611567E-3</v>
      </c>
    </row>
    <row r="50" spans="1:14">
      <c r="A50" s="15">
        <v>41624</v>
      </c>
      <c r="B50" s="14">
        <v>956312.31999999983</v>
      </c>
      <c r="C50" s="13">
        <v>-1578613.81</v>
      </c>
      <c r="D50" s="27">
        <v>394866064.12000006</v>
      </c>
      <c r="E50" s="3">
        <f t="shared" si="4"/>
        <v>41624</v>
      </c>
      <c r="F50" s="12">
        <f t="shared" si="0"/>
        <v>1.5759811909561374E-3</v>
      </c>
      <c r="G50" s="25">
        <f t="shared" si="1"/>
        <v>622301.49000000022</v>
      </c>
      <c r="H50" s="12">
        <f t="shared" si="2"/>
        <v>-1.5759811909561374E-3</v>
      </c>
      <c r="I50" s="25">
        <f t="shared" si="3"/>
        <v>-622301.49000000022</v>
      </c>
      <c r="J50" s="11">
        <f t="shared" si="7"/>
        <v>0.13505573269869059</v>
      </c>
      <c r="K50" s="25">
        <f t="shared" si="8"/>
        <v>37025332.399999984</v>
      </c>
      <c r="L50" s="25">
        <f t="shared" si="10"/>
        <v>0</v>
      </c>
      <c r="M50" s="25">
        <f t="shared" si="9"/>
        <v>2025332.4000000013</v>
      </c>
      <c r="N50" s="12">
        <f t="shared" si="6"/>
        <v>5.1291629847038502E-3</v>
      </c>
    </row>
    <row r="51" spans="1:14">
      <c r="A51" s="15">
        <v>41625</v>
      </c>
      <c r="B51" s="14">
        <v>202564.36000000002</v>
      </c>
      <c r="C51" s="13">
        <v>-5820483.1500000013</v>
      </c>
      <c r="D51" s="27">
        <v>398461951.83999997</v>
      </c>
      <c r="E51" s="3">
        <f t="shared" si="4"/>
        <v>41625</v>
      </c>
      <c r="F51" s="12">
        <f t="shared" si="0"/>
        <v>1.4099009363523478E-2</v>
      </c>
      <c r="G51" s="25">
        <f t="shared" si="1"/>
        <v>5617918.790000001</v>
      </c>
      <c r="H51" s="12">
        <f t="shared" si="2"/>
        <v>-1.4099009363523478E-2</v>
      </c>
      <c r="I51" s="25">
        <f t="shared" si="3"/>
        <v>-5617918.790000001</v>
      </c>
      <c r="J51" s="11">
        <f t="shared" si="7"/>
        <v>0.1209567233351671</v>
      </c>
      <c r="K51" s="25">
        <f t="shared" si="8"/>
        <v>31407413.609999985</v>
      </c>
      <c r="L51" s="25">
        <f t="shared" si="10"/>
        <v>0</v>
      </c>
      <c r="M51" s="25">
        <f t="shared" si="9"/>
        <v>-3592586.3899999997</v>
      </c>
      <c r="N51" s="12">
        <f t="shared" si="6"/>
        <v>-9.0161340961422125E-3</v>
      </c>
    </row>
    <row r="52" spans="1:14">
      <c r="A52" s="15">
        <v>41626</v>
      </c>
      <c r="B52" s="14">
        <v>3327955.04</v>
      </c>
      <c r="C52" s="13">
        <v>-4868299.6700000009</v>
      </c>
      <c r="D52" s="27">
        <v>393166239.38999999</v>
      </c>
      <c r="E52" s="3">
        <f t="shared" si="4"/>
        <v>41626</v>
      </c>
      <c r="F52" s="12">
        <f t="shared" si="0"/>
        <v>3.9177947536641385E-3</v>
      </c>
      <c r="G52" s="25">
        <f t="shared" si="1"/>
        <v>1540344.6300000008</v>
      </c>
      <c r="H52" s="12">
        <f t="shared" si="2"/>
        <v>-3.9177947536641385E-3</v>
      </c>
      <c r="I52" s="25">
        <f t="shared" si="3"/>
        <v>-1540344.6300000008</v>
      </c>
      <c r="J52" s="11">
        <f t="shared" si="7"/>
        <v>0.11703892858150297</v>
      </c>
      <c r="K52" s="25">
        <f t="shared" si="8"/>
        <v>29867068.979999982</v>
      </c>
      <c r="L52" s="25">
        <f t="shared" si="10"/>
        <v>0</v>
      </c>
      <c r="M52" s="25">
        <f t="shared" si="9"/>
        <v>-5132931.0200000005</v>
      </c>
      <c r="N52" s="12">
        <f t="shared" si="6"/>
        <v>-1.3055370745880361E-2</v>
      </c>
    </row>
    <row r="53" spans="1:14">
      <c r="A53" s="15">
        <v>41627</v>
      </c>
      <c r="B53" s="14">
        <v>968743.7</v>
      </c>
      <c r="C53" s="13">
        <v>-2082888.46</v>
      </c>
      <c r="D53" s="27">
        <v>392394360.98999995</v>
      </c>
      <c r="E53" s="3">
        <f t="shared" si="4"/>
        <v>41627</v>
      </c>
      <c r="F53" s="12">
        <f t="shared" si="0"/>
        <v>2.8393495696244055E-3</v>
      </c>
      <c r="G53" s="25">
        <f t="shared" si="1"/>
        <v>1114144.76</v>
      </c>
      <c r="H53" s="12">
        <f t="shared" si="2"/>
        <v>-2.8393495696244055E-3</v>
      </c>
      <c r="I53" s="25">
        <f t="shared" si="3"/>
        <v>-1114144.76</v>
      </c>
      <c r="J53" s="11">
        <f t="shared" si="7"/>
        <v>0.11419957901187856</v>
      </c>
      <c r="K53" s="25">
        <f t="shared" si="8"/>
        <v>28752924.21999998</v>
      </c>
      <c r="L53" s="25">
        <f t="shared" si="10"/>
        <v>0</v>
      </c>
      <c r="M53" s="25">
        <f t="shared" si="9"/>
        <v>-6247075.7800000003</v>
      </c>
      <c r="N53" s="12">
        <f t="shared" si="6"/>
        <v>-1.5920401517082978E-2</v>
      </c>
    </row>
    <row r="54" spans="1:14">
      <c r="A54" s="15">
        <v>41628</v>
      </c>
      <c r="B54" s="14">
        <v>1110556.95</v>
      </c>
      <c r="C54" s="13">
        <v>-1717387.6199999999</v>
      </c>
      <c r="D54" s="27">
        <v>398953785.01999998</v>
      </c>
      <c r="E54" s="3">
        <f t="shared" si="4"/>
        <v>41628</v>
      </c>
      <c r="F54" s="12">
        <f t="shared" si="0"/>
        <v>1.5210550514505807E-3</v>
      </c>
      <c r="G54" s="25">
        <f t="shared" si="1"/>
        <v>606830.66999999993</v>
      </c>
      <c r="H54" s="12">
        <f t="shared" si="2"/>
        <v>-1.5210550514505807E-3</v>
      </c>
      <c r="I54" s="25">
        <f t="shared" si="3"/>
        <v>-606830.66999999993</v>
      </c>
      <c r="J54" s="11">
        <f t="shared" si="7"/>
        <v>0.11267852396042798</v>
      </c>
      <c r="K54" s="25">
        <f t="shared" si="8"/>
        <v>28146093.549999982</v>
      </c>
      <c r="L54" s="25">
        <f t="shared" si="10"/>
        <v>0</v>
      </c>
      <c r="M54" s="25">
        <f t="shared" si="9"/>
        <v>-6853906.4500000002</v>
      </c>
      <c r="N54" s="12">
        <f t="shared" si="6"/>
        <v>-1.7179700274447596E-2</v>
      </c>
    </row>
    <row r="55" spans="1:14">
      <c r="A55" s="15">
        <v>41631</v>
      </c>
      <c r="B55" s="14">
        <v>3566343.5799999996</v>
      </c>
      <c r="C55" s="13">
        <v>-202452.62999999998</v>
      </c>
      <c r="D55" s="27">
        <v>402613192.53999996</v>
      </c>
      <c r="E55" s="3">
        <f t="shared" si="4"/>
        <v>41631</v>
      </c>
      <c r="F55" s="12">
        <f t="shared" si="0"/>
        <v>8.3551433791275841E-3</v>
      </c>
      <c r="G55" s="25">
        <f t="shared" si="1"/>
        <v>3363890.9499999997</v>
      </c>
      <c r="H55" s="12">
        <f t="shared" si="2"/>
        <v>8.3551433791275841E-3</v>
      </c>
      <c r="I55" s="25">
        <f t="shared" si="3"/>
        <v>3363890.9499999997</v>
      </c>
      <c r="J55" s="11">
        <f t="shared" si="7"/>
        <v>0.12103366733955556</v>
      </c>
      <c r="K55" s="25">
        <f t="shared" si="8"/>
        <v>31509984.499999981</v>
      </c>
      <c r="L55" s="25">
        <f t="shared" si="10"/>
        <v>0</v>
      </c>
      <c r="M55" s="25">
        <f t="shared" si="9"/>
        <v>-3490015.5000000005</v>
      </c>
      <c r="N55" s="12">
        <f t="shared" si="6"/>
        <v>-8.6684082008894048E-3</v>
      </c>
    </row>
    <row r="56" spans="1:14">
      <c r="A56" s="15">
        <v>41632</v>
      </c>
      <c r="B56" s="14">
        <v>3713241.57</v>
      </c>
      <c r="C56" s="13">
        <v>-666004.87</v>
      </c>
      <c r="D56" s="27">
        <v>400735147.11000001</v>
      </c>
      <c r="E56" s="3">
        <f t="shared" si="4"/>
        <v>41632</v>
      </c>
      <c r="F56" s="12">
        <f t="shared" si="0"/>
        <v>7.6041163895303318E-3</v>
      </c>
      <c r="G56" s="25">
        <f t="shared" si="1"/>
        <v>3047236.6999999997</v>
      </c>
      <c r="H56" s="12">
        <f t="shared" si="2"/>
        <v>7.6041163895303318E-3</v>
      </c>
      <c r="I56" s="25">
        <f t="shared" si="3"/>
        <v>3047236.6999999997</v>
      </c>
      <c r="J56" s="11">
        <f t="shared" si="7"/>
        <v>0.12863778372908588</v>
      </c>
      <c r="K56" s="25">
        <f t="shared" si="8"/>
        <v>34557221.199999981</v>
      </c>
      <c r="L56" s="25">
        <f t="shared" si="10"/>
        <v>0</v>
      </c>
      <c r="M56" s="25">
        <f t="shared" si="9"/>
        <v>-442778.80000000075</v>
      </c>
      <c r="N56" s="12">
        <f t="shared" si="6"/>
        <v>-1.1049163099199281E-3</v>
      </c>
    </row>
    <row r="57" spans="1:14">
      <c r="A57" s="15">
        <v>41638</v>
      </c>
      <c r="B57" s="14">
        <v>1149176.0399999998</v>
      </c>
      <c r="C57" s="13">
        <v>-496860.66</v>
      </c>
      <c r="D57" s="27">
        <v>312832619.50999999</v>
      </c>
      <c r="E57" s="3">
        <f t="shared" si="4"/>
        <v>41638</v>
      </c>
      <c r="F57" s="12">
        <f t="shared" si="0"/>
        <v>2.0851897766343639E-3</v>
      </c>
      <c r="G57" s="25">
        <f t="shared" si="1"/>
        <v>652315.37999999989</v>
      </c>
      <c r="H57" s="12">
        <f t="shared" si="2"/>
        <v>2.0851897766343639E-3</v>
      </c>
      <c r="I57" s="25">
        <f t="shared" si="3"/>
        <v>652315.37999999989</v>
      </c>
      <c r="J57" s="11">
        <f t="shared" si="7"/>
        <v>0.13072297350572024</v>
      </c>
      <c r="K57" s="25">
        <f t="shared" si="8"/>
        <v>35209536.579999983</v>
      </c>
      <c r="L57" s="25">
        <f t="shared" si="10"/>
        <v>0</v>
      </c>
      <c r="M57" s="25">
        <f t="shared" si="9"/>
        <v>209536.57999999914</v>
      </c>
      <c r="N57" s="12">
        <f t="shared" si="6"/>
        <v>6.6980412825300368E-4</v>
      </c>
    </row>
    <row r="58" spans="1:14">
      <c r="A58" s="15">
        <v>41639</v>
      </c>
      <c r="B58" s="14">
        <v>1983092.5199999998</v>
      </c>
      <c r="C58" s="13">
        <v>-2088429.04</v>
      </c>
      <c r="D58" s="27">
        <v>412037865.32999998</v>
      </c>
      <c r="E58" s="3">
        <f t="shared" si="4"/>
        <v>41639</v>
      </c>
      <c r="F58" s="12">
        <f t="shared" si="0"/>
        <v>2.5564766945784589E-4</v>
      </c>
      <c r="G58" s="25">
        <f t="shared" si="1"/>
        <v>105336.52000000025</v>
      </c>
      <c r="H58" s="12">
        <f t="shared" si="2"/>
        <v>-2.5564766945784589E-4</v>
      </c>
      <c r="I58" s="25">
        <f t="shared" si="3"/>
        <v>-105336.52000000025</v>
      </c>
      <c r="J58" s="11">
        <f t="shared" si="7"/>
        <v>0.13046732583626239</v>
      </c>
      <c r="K58" s="25">
        <f t="shared" si="8"/>
        <v>35104200.05999998</v>
      </c>
      <c r="L58" s="25">
        <f t="shared" si="10"/>
        <v>0</v>
      </c>
      <c r="M58" s="25">
        <f t="shared" si="9"/>
        <v>104200.05999999889</v>
      </c>
      <c r="N58" s="12">
        <f t="shared" si="6"/>
        <v>2.5288952489001308E-4</v>
      </c>
    </row>
    <row r="59" spans="1:14">
      <c r="A59" s="15">
        <v>41641</v>
      </c>
      <c r="B59" s="14">
        <v>235744.31</v>
      </c>
      <c r="C59" s="13">
        <v>-149388.29999999999</v>
      </c>
      <c r="D59" s="27">
        <v>269242968.91000003</v>
      </c>
      <c r="E59" s="3">
        <f t="shared" si="4"/>
        <v>41641</v>
      </c>
      <c r="F59" s="12">
        <f t="shared" si="0"/>
        <v>3.2073636072875976E-4</v>
      </c>
      <c r="G59" s="25">
        <f t="shared" si="1"/>
        <v>86356.010000000009</v>
      </c>
      <c r="H59" s="12">
        <f t="shared" si="2"/>
        <v>3.2073636072875976E-4</v>
      </c>
      <c r="I59" s="25">
        <f t="shared" si="3"/>
        <v>86356.010000000009</v>
      </c>
      <c r="J59" s="11">
        <f t="shared" si="7"/>
        <v>0.13078806219699116</v>
      </c>
      <c r="K59" s="25">
        <f t="shared" si="8"/>
        <v>35190556.069999978</v>
      </c>
      <c r="L59" s="25">
        <f t="shared" si="10"/>
        <v>0</v>
      </c>
      <c r="M59" s="25">
        <f t="shared" si="9"/>
        <v>190556.0699999989</v>
      </c>
      <c r="N59" s="12">
        <f t="shared" si="6"/>
        <v>7.0774761833686424E-4</v>
      </c>
    </row>
    <row r="60" spans="1:14">
      <c r="A60" s="15">
        <v>41642</v>
      </c>
      <c r="B60" s="14">
        <v>599048.80999999994</v>
      </c>
      <c r="C60" s="13">
        <v>-725498.11</v>
      </c>
      <c r="D60" s="27">
        <v>381339136.96999997</v>
      </c>
      <c r="E60" s="3">
        <f t="shared" si="4"/>
        <v>41642</v>
      </c>
      <c r="F60" s="12">
        <f t="shared" si="0"/>
        <v>3.3159276806657228E-4</v>
      </c>
      <c r="G60" s="25">
        <f t="shared" si="1"/>
        <v>126449.30000000005</v>
      </c>
      <c r="H60" s="12">
        <f t="shared" si="2"/>
        <v>-3.3159276806657228E-4</v>
      </c>
      <c r="I60" s="25">
        <f t="shared" si="3"/>
        <v>-126449.30000000005</v>
      </c>
      <c r="J60" s="11">
        <f t="shared" si="7"/>
        <v>0.13045646942892458</v>
      </c>
      <c r="K60" s="25">
        <f t="shared" si="8"/>
        <v>35064106.769999981</v>
      </c>
      <c r="L60" s="25">
        <f t="shared" si="10"/>
        <v>0</v>
      </c>
      <c r="M60" s="25">
        <f t="shared" si="9"/>
        <v>64106.769999998854</v>
      </c>
      <c r="N60" s="12">
        <f t="shared" si="6"/>
        <v>1.6810960057593601E-4</v>
      </c>
    </row>
    <row r="61" spans="1:14">
      <c r="A61" s="15">
        <v>41645</v>
      </c>
      <c r="B61" s="14">
        <v>470786.23</v>
      </c>
      <c r="C61" s="13">
        <v>-2502587.73</v>
      </c>
      <c r="D61" s="27">
        <v>400748842.88999999</v>
      </c>
      <c r="E61" s="3">
        <f t="shared" si="4"/>
        <v>41645</v>
      </c>
      <c r="F61" s="12">
        <f t="shared" si="0"/>
        <v>5.0700121436350635E-3</v>
      </c>
      <c r="G61" s="25">
        <f t="shared" si="1"/>
        <v>2031801.5</v>
      </c>
      <c r="H61" s="12">
        <f t="shared" si="2"/>
        <v>-5.0700121436350635E-3</v>
      </c>
      <c r="I61" s="25">
        <f t="shared" si="3"/>
        <v>-2031801.5</v>
      </c>
      <c r="J61" s="11">
        <f t="shared" si="7"/>
        <v>0.12538645728528952</v>
      </c>
      <c r="K61" s="25">
        <f t="shared" si="8"/>
        <v>33032305.269999981</v>
      </c>
      <c r="L61" s="25">
        <f t="shared" si="10"/>
        <v>0</v>
      </c>
      <c r="M61" s="25">
        <f t="shared" si="9"/>
        <v>-1967694.7300000011</v>
      </c>
      <c r="N61" s="12">
        <f t="shared" si="6"/>
        <v>-4.9100446948516984E-3</v>
      </c>
    </row>
    <row r="62" spans="1:14">
      <c r="A62" s="15">
        <v>41646</v>
      </c>
      <c r="B62" s="14">
        <v>213298.47000000003</v>
      </c>
      <c r="C62" s="13">
        <v>-1598040.5399999998</v>
      </c>
      <c r="D62" s="27">
        <v>408567121.26000005</v>
      </c>
      <c r="E62" s="3">
        <f t="shared" si="4"/>
        <v>41646</v>
      </c>
      <c r="F62" s="12">
        <f t="shared" si="0"/>
        <v>3.3892645735406372E-3</v>
      </c>
      <c r="G62" s="25">
        <f t="shared" si="1"/>
        <v>1384742.0699999998</v>
      </c>
      <c r="H62" s="12">
        <f t="shared" si="2"/>
        <v>-3.3892645735406372E-3</v>
      </c>
      <c r="I62" s="25">
        <f t="shared" si="3"/>
        <v>-1384742.0699999998</v>
      </c>
      <c r="J62" s="11">
        <f t="shared" si="7"/>
        <v>0.12199719271174889</v>
      </c>
      <c r="K62" s="25">
        <f t="shared" si="8"/>
        <v>31647563.199999981</v>
      </c>
      <c r="L62" s="25">
        <f t="shared" si="10"/>
        <v>0</v>
      </c>
      <c r="M62" s="25">
        <f t="shared" si="9"/>
        <v>-3352436.8000000007</v>
      </c>
      <c r="N62" s="12">
        <f t="shared" si="6"/>
        <v>-8.2053513989604875E-3</v>
      </c>
    </row>
    <row r="63" spans="1:14">
      <c r="A63" s="15">
        <v>41647</v>
      </c>
      <c r="B63" s="14">
        <v>2083008.97</v>
      </c>
      <c r="C63" s="13">
        <v>-424357.86000000004</v>
      </c>
      <c r="D63" s="27">
        <v>406048052.51999998</v>
      </c>
      <c r="E63" s="3">
        <f t="shared" si="4"/>
        <v>41647</v>
      </c>
      <c r="F63" s="12">
        <f t="shared" si="0"/>
        <v>4.0848640935626764E-3</v>
      </c>
      <c r="G63" s="25">
        <f t="shared" si="1"/>
        <v>1658651.1099999999</v>
      </c>
      <c r="H63" s="12">
        <f t="shared" si="2"/>
        <v>4.0848640935626764E-3</v>
      </c>
      <c r="I63" s="25">
        <f t="shared" si="3"/>
        <v>1658651.1099999999</v>
      </c>
      <c r="J63" s="11">
        <f t="shared" si="7"/>
        <v>0.12608205680531157</v>
      </c>
      <c r="K63" s="25">
        <f t="shared" si="8"/>
        <v>33306214.30999998</v>
      </c>
      <c r="L63" s="25">
        <f t="shared" si="10"/>
        <v>0</v>
      </c>
      <c r="M63" s="25">
        <f t="shared" si="9"/>
        <v>-1693785.6900000009</v>
      </c>
      <c r="N63" s="12">
        <f t="shared" si="6"/>
        <v>-4.1713922268265848E-3</v>
      </c>
    </row>
    <row r="64" spans="1:14">
      <c r="A64" s="15">
        <v>41648</v>
      </c>
      <c r="B64" s="14">
        <v>2854410.9099999997</v>
      </c>
      <c r="C64" s="13">
        <v>-571885.24</v>
      </c>
      <c r="D64" s="27">
        <v>408113012.25999999</v>
      </c>
      <c r="E64" s="3">
        <f t="shared" si="4"/>
        <v>41648</v>
      </c>
      <c r="F64" s="12">
        <f t="shared" si="0"/>
        <v>5.5928764862460505E-3</v>
      </c>
      <c r="G64" s="25">
        <f t="shared" si="1"/>
        <v>2282525.67</v>
      </c>
      <c r="H64" s="12">
        <f t="shared" si="2"/>
        <v>5.5928764862460505E-3</v>
      </c>
      <c r="I64" s="25">
        <f t="shared" si="3"/>
        <v>2282525.67</v>
      </c>
      <c r="J64" s="11">
        <f t="shared" si="7"/>
        <v>0.13167493329155761</v>
      </c>
      <c r="K64" s="25">
        <f t="shared" si="8"/>
        <v>35588739.979999982</v>
      </c>
      <c r="L64" s="25">
        <f t="shared" si="10"/>
        <v>0</v>
      </c>
      <c r="M64" s="25">
        <f t="shared" si="9"/>
        <v>588739.97999999905</v>
      </c>
      <c r="N64" s="12">
        <f t="shared" si="6"/>
        <v>1.442590562696701E-3</v>
      </c>
    </row>
    <row r="65" spans="1:14">
      <c r="A65" s="15">
        <v>41649</v>
      </c>
      <c r="B65" s="14">
        <v>1791779.37</v>
      </c>
      <c r="C65" s="13">
        <v>-788804.96</v>
      </c>
      <c r="D65" s="27">
        <v>388907212.02999997</v>
      </c>
      <c r="E65" s="3">
        <f t="shared" si="4"/>
        <v>41649</v>
      </c>
      <c r="F65" s="12">
        <f t="shared" si="0"/>
        <v>2.5789555425437356E-3</v>
      </c>
      <c r="G65" s="25">
        <f t="shared" si="1"/>
        <v>1002974.4100000001</v>
      </c>
      <c r="H65" s="12">
        <f t="shared" si="2"/>
        <v>2.5789555425437356E-3</v>
      </c>
      <c r="I65" s="25">
        <f t="shared" si="3"/>
        <v>1002974.4100000001</v>
      </c>
      <c r="J65" s="11">
        <f t="shared" si="7"/>
        <v>0.13425388883410133</v>
      </c>
      <c r="K65" s="25">
        <f t="shared" si="8"/>
        <v>36591714.389999986</v>
      </c>
      <c r="L65" s="25">
        <f t="shared" si="10"/>
        <v>0</v>
      </c>
      <c r="M65" s="25">
        <f t="shared" si="9"/>
        <v>1591714.3899999992</v>
      </c>
      <c r="N65" s="12">
        <f t="shared" si="6"/>
        <v>4.0927870215922242E-3</v>
      </c>
    </row>
    <row r="66" spans="1:14">
      <c r="A66" s="15">
        <v>41652</v>
      </c>
      <c r="B66" s="14">
        <v>1524243.44</v>
      </c>
      <c r="C66" s="13">
        <v>-627992.36</v>
      </c>
      <c r="D66" s="27">
        <v>397624612.66999996</v>
      </c>
      <c r="E66" s="3">
        <f t="shared" si="4"/>
        <v>41652</v>
      </c>
      <c r="F66" s="12">
        <f t="shared" si="0"/>
        <v>2.2540130853112563E-3</v>
      </c>
      <c r="G66" s="25">
        <f t="shared" si="1"/>
        <v>896251.08</v>
      </c>
      <c r="H66" s="12">
        <f t="shared" si="2"/>
        <v>2.2540130853112563E-3</v>
      </c>
      <c r="I66" s="25">
        <f t="shared" si="3"/>
        <v>896251.08</v>
      </c>
      <c r="J66" s="11">
        <f t="shared" si="7"/>
        <v>0.13650790191941259</v>
      </c>
      <c r="K66" s="25">
        <f t="shared" si="8"/>
        <v>37487965.469999984</v>
      </c>
      <c r="L66" s="25">
        <f t="shared" si="10"/>
        <v>0</v>
      </c>
      <c r="M66" s="25">
        <f t="shared" si="9"/>
        <v>2487965.4699999993</v>
      </c>
      <c r="N66" s="12">
        <f t="shared" si="6"/>
        <v>6.2570710934959977E-3</v>
      </c>
    </row>
    <row r="67" spans="1:14">
      <c r="A67" s="15">
        <v>41653</v>
      </c>
      <c r="B67" s="14">
        <v>910260.7300000001</v>
      </c>
      <c r="C67" s="13">
        <v>-2692760.3499999996</v>
      </c>
      <c r="D67" s="27">
        <v>412032990.75999999</v>
      </c>
      <c r="E67" s="3">
        <f t="shared" si="4"/>
        <v>41653</v>
      </c>
      <c r="F67" s="12">
        <f t="shared" ref="F67:F130" si="11">G67/GETPIVOTDATA("Sum of A_OUTSTANDING",$A$1,"D_H_PROCESSED",A67)</f>
        <v>4.3261089766432458E-3</v>
      </c>
      <c r="G67" s="25">
        <f t="shared" ref="G67:G130" si="12">ABS(GETPIVOTDATA("Sum of A_SHARE_SUB",$A$1,"D_H_PROCESSED",A67)+GETPIVOTDATA("Sum of A_SHARE_RED",$A$1,"D_H_PROCESSED",A67))</f>
        <v>1782499.6199999996</v>
      </c>
      <c r="H67" s="12">
        <f t="shared" ref="H67:H130" si="13">I67/GETPIVOTDATA("Sum of A_OUTSTANDING",$A$1,"D_H_PROCESSED",A67)</f>
        <v>-4.3261089766432458E-3</v>
      </c>
      <c r="I67" s="25">
        <f t="shared" ref="I67:I130" si="14">GETPIVOTDATA("Sum of A_SHARE_SUB",$A$1,"D_H_PROCESSED",A67)+GETPIVOTDATA("Sum of A_SHARE_RED",$A$1,"D_H_PROCESSED",A67)</f>
        <v>-1782499.6199999996</v>
      </c>
      <c r="J67" s="11">
        <f t="shared" si="7"/>
        <v>0.13218179294276935</v>
      </c>
      <c r="K67" s="25">
        <f t="shared" si="8"/>
        <v>35705465.849999987</v>
      </c>
      <c r="L67" s="25">
        <f t="shared" si="10"/>
        <v>0</v>
      </c>
      <c r="M67" s="25">
        <f t="shared" si="9"/>
        <v>705465.84999999963</v>
      </c>
      <c r="N67" s="12">
        <f t="shared" si="6"/>
        <v>1.7121586519049338E-3</v>
      </c>
    </row>
    <row r="68" spans="1:14">
      <c r="A68" s="15">
        <v>41654</v>
      </c>
      <c r="B68" s="14">
        <v>2528438.17</v>
      </c>
      <c r="C68" s="13">
        <v>-754043.84</v>
      </c>
      <c r="D68" s="27">
        <v>338723653.03000003</v>
      </c>
      <c r="E68" s="3">
        <f t="shared" ref="E68:E131" si="15">A68</f>
        <v>41654</v>
      </c>
      <c r="F68" s="12">
        <f t="shared" si="11"/>
        <v>5.2384718756054681E-3</v>
      </c>
      <c r="G68" s="25">
        <f t="shared" si="12"/>
        <v>1774394.33</v>
      </c>
      <c r="H68" s="12">
        <f t="shared" si="13"/>
        <v>5.2384718756054681E-3</v>
      </c>
      <c r="I68" s="25">
        <f t="shared" si="14"/>
        <v>1774394.33</v>
      </c>
      <c r="J68" s="11">
        <f t="shared" si="7"/>
        <v>0.13742026481837483</v>
      </c>
      <c r="K68" s="25">
        <f t="shared" si="8"/>
        <v>37479860.179999985</v>
      </c>
      <c r="L68" s="25">
        <f t="shared" si="10"/>
        <v>0</v>
      </c>
      <c r="M68" s="25">
        <f t="shared" si="9"/>
        <v>2479860.1799999997</v>
      </c>
      <c r="N68" s="12">
        <f t="shared" ref="N68:N131" si="16">M68/GETPIVOTDATA("Sum of A_OUTSTANDING",$A$1,"D_H_PROCESSED",A68)</f>
        <v>7.3211898779928543E-3</v>
      </c>
    </row>
    <row r="69" spans="1:14">
      <c r="A69" s="15">
        <v>41655</v>
      </c>
      <c r="B69" s="14">
        <v>2122110.7599999998</v>
      </c>
      <c r="C69" s="13">
        <v>-126482.48999999999</v>
      </c>
      <c r="D69" s="27">
        <v>412897882.02000004</v>
      </c>
      <c r="E69" s="3">
        <f t="shared" si="15"/>
        <v>41655</v>
      </c>
      <c r="F69" s="12">
        <f t="shared" si="11"/>
        <v>4.8332247679181246E-3</v>
      </c>
      <c r="G69" s="25">
        <f t="shared" si="12"/>
        <v>1995628.2699999998</v>
      </c>
      <c r="H69" s="12">
        <f t="shared" si="13"/>
        <v>4.8332247679181246E-3</v>
      </c>
      <c r="I69" s="25">
        <f t="shared" si="14"/>
        <v>1995628.2699999998</v>
      </c>
      <c r="J69" s="11">
        <f t="shared" ref="J69:J132" si="17">J68+H69</f>
        <v>0.14225348958629294</v>
      </c>
      <c r="K69" s="25">
        <f t="shared" ref="K69:K132" si="18">K68+I69</f>
        <v>39475488.449999988</v>
      </c>
      <c r="L69" s="25">
        <f t="shared" si="10"/>
        <v>0</v>
      </c>
      <c r="M69" s="25">
        <f t="shared" ref="M69:M132" si="19">M68+L69+I69</f>
        <v>4475488.4499999993</v>
      </c>
      <c r="N69" s="12">
        <f t="shared" si="16"/>
        <v>1.0839213870763363E-2</v>
      </c>
    </row>
    <row r="70" spans="1:14">
      <c r="A70" s="15">
        <v>41656</v>
      </c>
      <c r="B70" s="14">
        <v>300383.87</v>
      </c>
      <c r="C70" s="13">
        <v>-2032860.4200000004</v>
      </c>
      <c r="D70" s="27">
        <v>391600959.29999995</v>
      </c>
      <c r="E70" s="3">
        <f t="shared" si="15"/>
        <v>41656</v>
      </c>
      <c r="F70" s="12">
        <f t="shared" si="11"/>
        <v>4.4240865831811577E-3</v>
      </c>
      <c r="G70" s="25">
        <f t="shared" si="12"/>
        <v>1732476.5500000003</v>
      </c>
      <c r="H70" s="12">
        <f t="shared" si="13"/>
        <v>-4.4240865831811577E-3</v>
      </c>
      <c r="I70" s="25">
        <f t="shared" si="14"/>
        <v>-1732476.5500000003</v>
      </c>
      <c r="J70" s="11">
        <f t="shared" si="17"/>
        <v>0.13782940300311178</v>
      </c>
      <c r="K70" s="25">
        <f t="shared" si="18"/>
        <v>37743011.899999991</v>
      </c>
      <c r="L70" s="25">
        <f t="shared" si="10"/>
        <v>0</v>
      </c>
      <c r="M70" s="25">
        <f t="shared" si="19"/>
        <v>2743011.899999999</v>
      </c>
      <c r="N70" s="12">
        <f t="shared" si="16"/>
        <v>7.004609756072166E-3</v>
      </c>
    </row>
    <row r="71" spans="1:14">
      <c r="A71" s="15">
        <v>41660</v>
      </c>
      <c r="B71" s="14">
        <v>3501235.3</v>
      </c>
      <c r="C71" s="13">
        <v>-174413.81000000003</v>
      </c>
      <c r="D71" s="27">
        <v>412593443.28999996</v>
      </c>
      <c r="E71" s="3">
        <f t="shared" si="15"/>
        <v>41660</v>
      </c>
      <c r="F71" s="12">
        <f t="shared" si="11"/>
        <v>8.0631952448688652E-3</v>
      </c>
      <c r="G71" s="25">
        <f t="shared" si="12"/>
        <v>3326821.4899999998</v>
      </c>
      <c r="H71" s="12">
        <f t="shared" si="13"/>
        <v>8.0631952448688652E-3</v>
      </c>
      <c r="I71" s="25">
        <f t="shared" si="14"/>
        <v>3326821.4899999998</v>
      </c>
      <c r="J71" s="11">
        <f t="shared" si="17"/>
        <v>0.14589259824798065</v>
      </c>
      <c r="K71" s="25">
        <f t="shared" si="18"/>
        <v>41069833.389999993</v>
      </c>
      <c r="L71" s="25">
        <f t="shared" si="10"/>
        <v>0</v>
      </c>
      <c r="M71" s="25">
        <f t="shared" si="19"/>
        <v>6069833.3899999987</v>
      </c>
      <c r="N71" s="12">
        <f t="shared" si="16"/>
        <v>1.4711415047218016E-2</v>
      </c>
    </row>
    <row r="72" spans="1:14">
      <c r="A72" s="15">
        <v>41661</v>
      </c>
      <c r="B72" s="14">
        <v>6741199.3499999996</v>
      </c>
      <c r="C72" s="13">
        <v>-515514.95</v>
      </c>
      <c r="D72" s="27">
        <v>428693814.63999999</v>
      </c>
      <c r="E72" s="3">
        <f t="shared" si="15"/>
        <v>41661</v>
      </c>
      <c r="F72" s="12">
        <f t="shared" si="11"/>
        <v>1.4522449793748672E-2</v>
      </c>
      <c r="G72" s="25">
        <f t="shared" si="12"/>
        <v>6225684.3999999994</v>
      </c>
      <c r="H72" s="12">
        <f t="shared" si="13"/>
        <v>1.4522449793748672E-2</v>
      </c>
      <c r="I72" s="25">
        <f t="shared" si="14"/>
        <v>6225684.3999999994</v>
      </c>
      <c r="J72" s="11">
        <f t="shared" si="17"/>
        <v>0.16041504804172932</v>
      </c>
      <c r="K72" s="25">
        <f t="shared" si="18"/>
        <v>47295517.789999992</v>
      </c>
      <c r="L72" s="25">
        <f t="shared" ref="L72:L135" si="20">CorrectNCCF($N$1,M71+I72,GETPIVOTDATA("Sum of A_OUTSTANDING",$A$1,"D_H_PROCESSED",E72),$O$1)</f>
        <v>0</v>
      </c>
      <c r="M72" s="25">
        <f t="shared" si="19"/>
        <v>12295517.789999999</v>
      </c>
      <c r="N72" s="12">
        <f t="shared" si="16"/>
        <v>2.8681351048475672E-2</v>
      </c>
    </row>
    <row r="73" spans="1:14">
      <c r="A73" s="15">
        <v>41662</v>
      </c>
      <c r="B73" s="14">
        <v>2806555.6900000004</v>
      </c>
      <c r="C73" s="13">
        <v>-869620.24</v>
      </c>
      <c r="D73" s="27">
        <v>431556666.56999993</v>
      </c>
      <c r="E73" s="3">
        <f t="shared" si="15"/>
        <v>41662</v>
      </c>
      <c r="F73" s="12">
        <f t="shared" si="11"/>
        <v>4.4882528762554127E-3</v>
      </c>
      <c r="G73" s="25">
        <f t="shared" si="12"/>
        <v>1936935.4500000004</v>
      </c>
      <c r="H73" s="12">
        <f t="shared" si="13"/>
        <v>4.4882528762554127E-3</v>
      </c>
      <c r="I73" s="25">
        <f t="shared" si="14"/>
        <v>1936935.4500000004</v>
      </c>
      <c r="J73" s="11">
        <f t="shared" si="17"/>
        <v>0.16490330091798472</v>
      </c>
      <c r="K73" s="25">
        <f t="shared" si="18"/>
        <v>49232453.239999995</v>
      </c>
      <c r="L73" s="25">
        <f t="shared" si="20"/>
        <v>0</v>
      </c>
      <c r="M73" s="25">
        <f t="shared" si="19"/>
        <v>14232453.24</v>
      </c>
      <c r="N73" s="12">
        <f t="shared" si="16"/>
        <v>3.2979338155332258E-2</v>
      </c>
    </row>
    <row r="74" spans="1:14">
      <c r="A74" s="15">
        <v>41663</v>
      </c>
      <c r="B74" s="14">
        <v>4537576.1900000004</v>
      </c>
      <c r="C74" s="13">
        <v>-4703372.97</v>
      </c>
      <c r="D74" s="27">
        <v>421483054.99000001</v>
      </c>
      <c r="E74" s="3">
        <f t="shared" si="15"/>
        <v>41663</v>
      </c>
      <c r="F74" s="12">
        <f t="shared" si="11"/>
        <v>3.9336523268754654E-4</v>
      </c>
      <c r="G74" s="25">
        <f t="shared" si="12"/>
        <v>165796.77999999933</v>
      </c>
      <c r="H74" s="12">
        <f t="shared" si="13"/>
        <v>-3.9336523268754654E-4</v>
      </c>
      <c r="I74" s="25">
        <f t="shared" si="14"/>
        <v>-165796.77999999933</v>
      </c>
      <c r="J74" s="11">
        <f t="shared" si="17"/>
        <v>0.16450993568529718</v>
      </c>
      <c r="K74" s="25">
        <f t="shared" si="18"/>
        <v>49066656.459999993</v>
      </c>
      <c r="L74" s="25">
        <f t="shared" si="20"/>
        <v>0</v>
      </c>
      <c r="M74" s="25">
        <f t="shared" si="19"/>
        <v>14066656.460000001</v>
      </c>
      <c r="N74" s="12">
        <f t="shared" si="16"/>
        <v>3.3374192137650097E-2</v>
      </c>
    </row>
    <row r="75" spans="1:14">
      <c r="A75" s="15">
        <v>41666</v>
      </c>
      <c r="B75" s="14">
        <v>927052.53</v>
      </c>
      <c r="C75" s="13">
        <v>-2701996.37</v>
      </c>
      <c r="D75" s="27">
        <v>381343789.14999998</v>
      </c>
      <c r="E75" s="3">
        <f t="shared" si="15"/>
        <v>41666</v>
      </c>
      <c r="F75" s="12">
        <f t="shared" si="11"/>
        <v>4.6544453862911433E-3</v>
      </c>
      <c r="G75" s="25">
        <f t="shared" si="12"/>
        <v>1774943.84</v>
      </c>
      <c r="H75" s="12">
        <f t="shared" si="13"/>
        <v>-4.6544453862911433E-3</v>
      </c>
      <c r="I75" s="25">
        <f t="shared" si="14"/>
        <v>-1774943.84</v>
      </c>
      <c r="J75" s="11">
        <f t="shared" si="17"/>
        <v>0.15985549029900603</v>
      </c>
      <c r="K75" s="25">
        <f t="shared" si="18"/>
        <v>47291712.61999999</v>
      </c>
      <c r="L75" s="25">
        <f t="shared" si="20"/>
        <v>0</v>
      </c>
      <c r="M75" s="25">
        <f t="shared" si="19"/>
        <v>12291712.620000001</v>
      </c>
      <c r="N75" s="12">
        <f t="shared" si="16"/>
        <v>3.2232628325736562E-2</v>
      </c>
    </row>
    <row r="76" spans="1:14">
      <c r="A76" s="15">
        <v>41667</v>
      </c>
      <c r="B76" s="14">
        <v>79431327.569999993</v>
      </c>
      <c r="C76" s="13">
        <v>-64192851.220000006</v>
      </c>
      <c r="D76" s="27">
        <v>424546683.31999993</v>
      </c>
      <c r="E76" s="3">
        <f t="shared" si="15"/>
        <v>41667</v>
      </c>
      <c r="F76" s="12">
        <f t="shared" si="11"/>
        <v>3.5893523489180248E-2</v>
      </c>
      <c r="G76" s="25">
        <f t="shared" si="12"/>
        <v>15238476.349999987</v>
      </c>
      <c r="H76" s="12">
        <f t="shared" si="13"/>
        <v>3.5893523489180248E-2</v>
      </c>
      <c r="I76" s="25">
        <f t="shared" si="14"/>
        <v>15238476.349999987</v>
      </c>
      <c r="J76" s="11">
        <f t="shared" si="17"/>
        <v>0.19574901378818627</v>
      </c>
      <c r="K76" s="25">
        <f t="shared" si="18"/>
        <v>62530188.969999976</v>
      </c>
      <c r="L76" s="25">
        <f t="shared" si="20"/>
        <v>-25000000</v>
      </c>
      <c r="M76" s="25">
        <f t="shared" si="19"/>
        <v>2530188.9699999876</v>
      </c>
      <c r="N76" s="12">
        <f t="shared" si="16"/>
        <v>5.959742637049105E-3</v>
      </c>
    </row>
    <row r="77" spans="1:14">
      <c r="A77" s="15">
        <v>41668</v>
      </c>
      <c r="B77" s="14">
        <v>3312629.87</v>
      </c>
      <c r="C77" s="13">
        <v>-1316295.6000000001</v>
      </c>
      <c r="D77" s="27">
        <v>429796590.0800001</v>
      </c>
      <c r="E77" s="3">
        <f t="shared" si="15"/>
        <v>41668</v>
      </c>
      <c r="F77" s="12">
        <f t="shared" si="11"/>
        <v>4.6448350593670668E-3</v>
      </c>
      <c r="G77" s="25">
        <f t="shared" si="12"/>
        <v>1996334.27</v>
      </c>
      <c r="H77" s="12">
        <f t="shared" si="13"/>
        <v>4.6448350593670668E-3</v>
      </c>
      <c r="I77" s="25">
        <f t="shared" si="14"/>
        <v>1996334.27</v>
      </c>
      <c r="J77" s="11">
        <f t="shared" si="17"/>
        <v>0.20039384884755335</v>
      </c>
      <c r="K77" s="25">
        <f t="shared" si="18"/>
        <v>64526523.23999998</v>
      </c>
      <c r="L77" s="25">
        <f t="shared" si="20"/>
        <v>0</v>
      </c>
      <c r="M77" s="25">
        <f t="shared" si="19"/>
        <v>4526523.2399999872</v>
      </c>
      <c r="N77" s="12">
        <f t="shared" si="16"/>
        <v>1.0531780252508387E-2</v>
      </c>
    </row>
    <row r="78" spans="1:14">
      <c r="A78" s="15">
        <v>41669</v>
      </c>
      <c r="B78" s="14">
        <v>3501729.16</v>
      </c>
      <c r="C78" s="13">
        <v>-4508287.18</v>
      </c>
      <c r="D78" s="27">
        <v>425023311.20000005</v>
      </c>
      <c r="E78" s="3">
        <f t="shared" si="15"/>
        <v>41669</v>
      </c>
      <c r="F78" s="12">
        <f t="shared" si="11"/>
        <v>2.3682419139743399E-3</v>
      </c>
      <c r="G78" s="25">
        <f t="shared" si="12"/>
        <v>1006558.0199999996</v>
      </c>
      <c r="H78" s="12">
        <f t="shared" si="13"/>
        <v>-2.3682419139743399E-3</v>
      </c>
      <c r="I78" s="25">
        <f t="shared" si="14"/>
        <v>-1006558.0199999996</v>
      </c>
      <c r="J78" s="11">
        <f t="shared" si="17"/>
        <v>0.19802560693357901</v>
      </c>
      <c r="K78" s="25">
        <f t="shared" si="18"/>
        <v>63519965.219999984</v>
      </c>
      <c r="L78" s="25">
        <f t="shared" si="20"/>
        <v>0</v>
      </c>
      <c r="M78" s="25">
        <f t="shared" si="19"/>
        <v>3519965.2199999876</v>
      </c>
      <c r="N78" s="12">
        <f t="shared" si="16"/>
        <v>8.2818168492024748E-3</v>
      </c>
    </row>
    <row r="79" spans="1:14">
      <c r="A79" s="15">
        <v>41670</v>
      </c>
      <c r="B79" s="14">
        <v>2660836.3800000004</v>
      </c>
      <c r="C79" s="13">
        <v>-2972614.39</v>
      </c>
      <c r="D79" s="27">
        <v>417736062.83999997</v>
      </c>
      <c r="E79" s="3">
        <f t="shared" si="15"/>
        <v>41670</v>
      </c>
      <c r="F79" s="12">
        <f t="shared" si="11"/>
        <v>7.4635167450078652E-4</v>
      </c>
      <c r="G79" s="25">
        <f t="shared" si="12"/>
        <v>311778.00999999978</v>
      </c>
      <c r="H79" s="12">
        <f t="shared" si="13"/>
        <v>-7.4635167450078652E-4</v>
      </c>
      <c r="I79" s="25">
        <f t="shared" si="14"/>
        <v>-311778.00999999978</v>
      </c>
      <c r="J79" s="11">
        <f t="shared" si="17"/>
        <v>0.19727925525907822</v>
      </c>
      <c r="K79" s="25">
        <f t="shared" si="18"/>
        <v>63208187.209999986</v>
      </c>
      <c r="L79" s="25">
        <f t="shared" si="20"/>
        <v>0</v>
      </c>
      <c r="M79" s="25">
        <f t="shared" si="19"/>
        <v>3208187.2099999879</v>
      </c>
      <c r="N79" s="12">
        <f t="shared" si="16"/>
        <v>7.6799383519559295E-3</v>
      </c>
    </row>
    <row r="80" spans="1:14">
      <c r="A80" s="15">
        <v>41673</v>
      </c>
      <c r="B80" s="14">
        <v>392671.11000000004</v>
      </c>
      <c r="C80" s="13">
        <v>-4385547.2</v>
      </c>
      <c r="D80" s="27">
        <v>403458628.67999995</v>
      </c>
      <c r="E80" s="3">
        <f t="shared" si="15"/>
        <v>41673</v>
      </c>
      <c r="F80" s="12">
        <f t="shared" si="11"/>
        <v>9.8966184043790002E-3</v>
      </c>
      <c r="G80" s="25">
        <f t="shared" si="12"/>
        <v>3992876.0900000003</v>
      </c>
      <c r="H80" s="12">
        <f t="shared" si="13"/>
        <v>-9.8966184043790002E-3</v>
      </c>
      <c r="I80" s="25">
        <f t="shared" si="14"/>
        <v>-3992876.0900000003</v>
      </c>
      <c r="J80" s="11">
        <f t="shared" si="17"/>
        <v>0.18738263685469922</v>
      </c>
      <c r="K80" s="25">
        <f t="shared" si="18"/>
        <v>59215311.119999982</v>
      </c>
      <c r="L80" s="25">
        <f t="shared" si="20"/>
        <v>0</v>
      </c>
      <c r="M80" s="25">
        <f t="shared" si="19"/>
        <v>-784688.88000001246</v>
      </c>
      <c r="N80" s="12">
        <f t="shared" si="16"/>
        <v>-1.9449054357005271E-3</v>
      </c>
    </row>
    <row r="81" spans="1:14">
      <c r="A81" s="15">
        <v>41674</v>
      </c>
      <c r="B81" s="14">
        <v>5739573.5700000003</v>
      </c>
      <c r="C81" s="13">
        <v>-5955518.9400000013</v>
      </c>
      <c r="D81" s="27">
        <v>394779367.57999998</v>
      </c>
      <c r="E81" s="3">
        <f t="shared" si="15"/>
        <v>41674</v>
      </c>
      <c r="F81" s="12">
        <f t="shared" si="11"/>
        <v>5.470026747439906E-4</v>
      </c>
      <c r="G81" s="25">
        <f t="shared" si="12"/>
        <v>215945.37000000104</v>
      </c>
      <c r="H81" s="12">
        <f t="shared" si="13"/>
        <v>-5.470026747439906E-4</v>
      </c>
      <c r="I81" s="25">
        <f t="shared" si="14"/>
        <v>-215945.37000000104</v>
      </c>
      <c r="J81" s="11">
        <f t="shared" si="17"/>
        <v>0.18683563417995522</v>
      </c>
      <c r="K81" s="25">
        <f t="shared" si="18"/>
        <v>58999365.749999985</v>
      </c>
      <c r="L81" s="25">
        <f t="shared" si="20"/>
        <v>0</v>
      </c>
      <c r="M81" s="25">
        <f t="shared" si="19"/>
        <v>-1000634.2500000135</v>
      </c>
      <c r="N81" s="12">
        <f t="shared" si="16"/>
        <v>-2.5346670372717495E-3</v>
      </c>
    </row>
    <row r="82" spans="1:14">
      <c r="A82" s="15">
        <v>41675</v>
      </c>
      <c r="B82" s="14">
        <v>2786274.77</v>
      </c>
      <c r="C82" s="13">
        <v>-310771.39</v>
      </c>
      <c r="D82" s="27">
        <v>406536930.69999999</v>
      </c>
      <c r="E82" s="3">
        <f t="shared" si="15"/>
        <v>41675</v>
      </c>
      <c r="F82" s="12">
        <f t="shared" si="11"/>
        <v>6.0892460021713841E-3</v>
      </c>
      <c r="G82" s="25">
        <f t="shared" si="12"/>
        <v>2475503.38</v>
      </c>
      <c r="H82" s="12">
        <f t="shared" si="13"/>
        <v>6.0892460021713841E-3</v>
      </c>
      <c r="I82" s="25">
        <f t="shared" si="14"/>
        <v>2475503.38</v>
      </c>
      <c r="J82" s="11">
        <f t="shared" si="17"/>
        <v>0.19292488018212661</v>
      </c>
      <c r="K82" s="25">
        <f t="shared" si="18"/>
        <v>61474869.129999988</v>
      </c>
      <c r="L82" s="25">
        <f t="shared" si="20"/>
        <v>0</v>
      </c>
      <c r="M82" s="25">
        <f t="shared" si="19"/>
        <v>1474869.1299999864</v>
      </c>
      <c r="N82" s="12">
        <f t="shared" si="16"/>
        <v>3.6278847470522964E-3</v>
      </c>
    </row>
    <row r="83" spans="1:14">
      <c r="A83" s="15">
        <v>41676</v>
      </c>
      <c r="B83" s="14">
        <v>359336.33</v>
      </c>
      <c r="C83" s="13">
        <v>-3691369.01</v>
      </c>
      <c r="D83" s="27">
        <v>396446259.26000005</v>
      </c>
      <c r="E83" s="3">
        <f t="shared" si="15"/>
        <v>41676</v>
      </c>
      <c r="F83" s="12">
        <f t="shared" si="11"/>
        <v>8.404752478228741E-3</v>
      </c>
      <c r="G83" s="25">
        <f t="shared" si="12"/>
        <v>3332032.6799999997</v>
      </c>
      <c r="H83" s="12">
        <f t="shared" si="13"/>
        <v>-8.404752478228741E-3</v>
      </c>
      <c r="I83" s="25">
        <f t="shared" si="14"/>
        <v>-3332032.6799999997</v>
      </c>
      <c r="J83" s="11">
        <f t="shared" si="17"/>
        <v>0.18452012770389786</v>
      </c>
      <c r="K83" s="25">
        <f t="shared" si="18"/>
        <v>58142836.449999988</v>
      </c>
      <c r="L83" s="25">
        <f t="shared" si="20"/>
        <v>0</v>
      </c>
      <c r="M83" s="25">
        <f t="shared" si="19"/>
        <v>-1857163.5500000133</v>
      </c>
      <c r="N83" s="12">
        <f t="shared" si="16"/>
        <v>-4.6845278688379191E-3</v>
      </c>
    </row>
    <row r="84" spans="1:14">
      <c r="A84" s="15">
        <v>41677</v>
      </c>
      <c r="B84" s="14">
        <v>5046120.7000000011</v>
      </c>
      <c r="C84" s="13">
        <v>-19900.18</v>
      </c>
      <c r="D84" s="27">
        <v>429009330.39999992</v>
      </c>
      <c r="E84" s="3">
        <f t="shared" si="15"/>
        <v>41677</v>
      </c>
      <c r="F84" s="12">
        <f t="shared" si="11"/>
        <v>1.1715876937486771E-2</v>
      </c>
      <c r="G84" s="25">
        <f t="shared" si="12"/>
        <v>5026220.5200000014</v>
      </c>
      <c r="H84" s="12">
        <f t="shared" si="13"/>
        <v>1.1715876937486771E-2</v>
      </c>
      <c r="I84" s="25">
        <f t="shared" si="14"/>
        <v>5026220.5200000014</v>
      </c>
      <c r="J84" s="11">
        <f t="shared" si="17"/>
        <v>0.19623600464138463</v>
      </c>
      <c r="K84" s="25">
        <f t="shared" si="18"/>
        <v>63169056.969999991</v>
      </c>
      <c r="L84" s="25">
        <f t="shared" si="20"/>
        <v>0</v>
      </c>
      <c r="M84" s="25">
        <f t="shared" si="19"/>
        <v>3169056.9699999881</v>
      </c>
      <c r="N84" s="12">
        <f t="shared" si="16"/>
        <v>7.3869185246978695E-3</v>
      </c>
    </row>
    <row r="85" spans="1:14">
      <c r="A85" s="15">
        <v>41680</v>
      </c>
      <c r="B85" s="14">
        <v>4597116.0200000005</v>
      </c>
      <c r="C85" s="13">
        <v>-196287.15</v>
      </c>
      <c r="D85" s="27">
        <v>385574550.0999999</v>
      </c>
      <c r="E85" s="3">
        <f t="shared" si="15"/>
        <v>41680</v>
      </c>
      <c r="F85" s="12">
        <f t="shared" si="11"/>
        <v>1.1413691253374042E-2</v>
      </c>
      <c r="G85" s="25">
        <f t="shared" si="12"/>
        <v>4400828.87</v>
      </c>
      <c r="H85" s="12">
        <f t="shared" si="13"/>
        <v>1.1413691253374042E-2</v>
      </c>
      <c r="I85" s="25">
        <f t="shared" si="14"/>
        <v>4400828.87</v>
      </c>
      <c r="J85" s="11">
        <f t="shared" si="17"/>
        <v>0.20764969589475868</v>
      </c>
      <c r="K85" s="25">
        <f t="shared" si="18"/>
        <v>67569885.839999989</v>
      </c>
      <c r="L85" s="25">
        <f t="shared" si="20"/>
        <v>0</v>
      </c>
      <c r="M85" s="25">
        <f t="shared" si="19"/>
        <v>7569885.8399999887</v>
      </c>
      <c r="N85" s="12">
        <f t="shared" si="16"/>
        <v>1.9632742456774484E-2</v>
      </c>
    </row>
    <row r="86" spans="1:14">
      <c r="A86" s="15">
        <v>41681</v>
      </c>
      <c r="B86" s="14">
        <v>566967.74000000011</v>
      </c>
      <c r="C86" s="13">
        <v>-5706328.2899999991</v>
      </c>
      <c r="D86" s="27">
        <v>433212823.18999994</v>
      </c>
      <c r="E86" s="3">
        <f t="shared" si="15"/>
        <v>41681</v>
      </c>
      <c r="F86" s="12">
        <f t="shared" si="11"/>
        <v>1.1863362012592044E-2</v>
      </c>
      <c r="G86" s="25">
        <f t="shared" si="12"/>
        <v>5139360.5499999989</v>
      </c>
      <c r="H86" s="12">
        <f t="shared" si="13"/>
        <v>-1.1863362012592044E-2</v>
      </c>
      <c r="I86" s="25">
        <f t="shared" si="14"/>
        <v>-5139360.5499999989</v>
      </c>
      <c r="J86" s="11">
        <f t="shared" si="17"/>
        <v>0.19578633388216662</v>
      </c>
      <c r="K86" s="25">
        <f t="shared" si="18"/>
        <v>62430525.289999992</v>
      </c>
      <c r="L86" s="25">
        <f t="shared" si="20"/>
        <v>0</v>
      </c>
      <c r="M86" s="25">
        <f t="shared" si="19"/>
        <v>2430525.2899999898</v>
      </c>
      <c r="N86" s="12">
        <f t="shared" si="16"/>
        <v>5.6104647874977648E-3</v>
      </c>
    </row>
    <row r="87" spans="1:14">
      <c r="A87" s="15">
        <v>41682</v>
      </c>
      <c r="B87" s="14">
        <v>25330462.479999997</v>
      </c>
      <c r="C87" s="13">
        <v>-11674531.220000001</v>
      </c>
      <c r="D87" s="27">
        <v>447898562.26999998</v>
      </c>
      <c r="E87" s="3">
        <f t="shared" si="15"/>
        <v>41682</v>
      </c>
      <c r="F87" s="12">
        <f t="shared" si="11"/>
        <v>3.0488892821602755E-2</v>
      </c>
      <c r="G87" s="25">
        <f t="shared" si="12"/>
        <v>13655931.259999996</v>
      </c>
      <c r="H87" s="12">
        <f t="shared" si="13"/>
        <v>3.0488892821602755E-2</v>
      </c>
      <c r="I87" s="25">
        <f t="shared" si="14"/>
        <v>13655931.259999996</v>
      </c>
      <c r="J87" s="11">
        <f t="shared" si="17"/>
        <v>0.22627522670376937</v>
      </c>
      <c r="K87" s="25">
        <f t="shared" si="18"/>
        <v>76086456.549999982</v>
      </c>
      <c r="L87" s="25">
        <f t="shared" si="20"/>
        <v>0</v>
      </c>
      <c r="M87" s="25">
        <f t="shared" si="19"/>
        <v>16086456.549999986</v>
      </c>
      <c r="N87" s="12">
        <f t="shared" si="16"/>
        <v>3.5915401175819865E-2</v>
      </c>
    </row>
    <row r="88" spans="1:14">
      <c r="A88" s="15">
        <v>41683</v>
      </c>
      <c r="B88" s="14">
        <v>1140496.5499999998</v>
      </c>
      <c r="C88" s="13">
        <v>-1179917.0199999998</v>
      </c>
      <c r="D88" s="27">
        <v>447373349.09000003</v>
      </c>
      <c r="E88" s="3">
        <f t="shared" si="15"/>
        <v>41683</v>
      </c>
      <c r="F88" s="12">
        <f t="shared" si="11"/>
        <v>8.8115374061027466E-5</v>
      </c>
      <c r="G88" s="25">
        <f t="shared" si="12"/>
        <v>39420.469999999972</v>
      </c>
      <c r="H88" s="12">
        <f t="shared" si="13"/>
        <v>-8.8115374061027466E-5</v>
      </c>
      <c r="I88" s="25">
        <f t="shared" si="14"/>
        <v>-39420.469999999972</v>
      </c>
      <c r="J88" s="11">
        <f t="shared" si="17"/>
        <v>0.22618711132970834</v>
      </c>
      <c r="K88" s="25">
        <f t="shared" si="18"/>
        <v>76047036.079999983</v>
      </c>
      <c r="L88" s="25">
        <f t="shared" si="20"/>
        <v>0</v>
      </c>
      <c r="M88" s="25">
        <f t="shared" si="19"/>
        <v>16047036.079999985</v>
      </c>
      <c r="N88" s="12">
        <f t="shared" si="16"/>
        <v>3.5869450231313924E-2</v>
      </c>
    </row>
    <row r="89" spans="1:14">
      <c r="A89" s="15">
        <v>41684</v>
      </c>
      <c r="B89" s="14">
        <v>794739.19</v>
      </c>
      <c r="C89" s="13">
        <v>-4389353.669999999</v>
      </c>
      <c r="D89" s="27">
        <v>423443877.02999997</v>
      </c>
      <c r="E89" s="3">
        <f t="shared" si="15"/>
        <v>41684</v>
      </c>
      <c r="F89" s="12">
        <f t="shared" si="11"/>
        <v>8.4889986016856E-3</v>
      </c>
      <c r="G89" s="25">
        <f t="shared" si="12"/>
        <v>3594614.4799999991</v>
      </c>
      <c r="H89" s="12">
        <f t="shared" si="13"/>
        <v>-8.4889986016856E-3</v>
      </c>
      <c r="I89" s="25">
        <f t="shared" si="14"/>
        <v>-3594614.4799999991</v>
      </c>
      <c r="J89" s="11">
        <f t="shared" si="17"/>
        <v>0.21769811272802275</v>
      </c>
      <c r="K89" s="25">
        <f t="shared" si="18"/>
        <v>72452421.599999979</v>
      </c>
      <c r="L89" s="25">
        <f t="shared" si="20"/>
        <v>0</v>
      </c>
      <c r="M89" s="25">
        <f t="shared" si="19"/>
        <v>12452421.599999987</v>
      </c>
      <c r="N89" s="12">
        <f t="shared" si="16"/>
        <v>2.9407490048835357E-2</v>
      </c>
    </row>
    <row r="90" spans="1:14">
      <c r="A90" s="15">
        <v>41688</v>
      </c>
      <c r="B90" s="14">
        <v>207093.78</v>
      </c>
      <c r="C90" s="13">
        <v>-3967001.16</v>
      </c>
      <c r="D90" s="27">
        <v>423683376.21999997</v>
      </c>
      <c r="E90" s="3">
        <f t="shared" si="15"/>
        <v>41688</v>
      </c>
      <c r="F90" s="12">
        <f t="shared" si="11"/>
        <v>8.8743330303515319E-3</v>
      </c>
      <c r="G90" s="25">
        <f t="shared" si="12"/>
        <v>3759907.3800000004</v>
      </c>
      <c r="H90" s="12">
        <f t="shared" si="13"/>
        <v>-8.8743330303515319E-3</v>
      </c>
      <c r="I90" s="25">
        <f t="shared" si="14"/>
        <v>-3759907.3800000004</v>
      </c>
      <c r="J90" s="11">
        <f t="shared" si="17"/>
        <v>0.20882377969767121</v>
      </c>
      <c r="K90" s="25">
        <f t="shared" si="18"/>
        <v>68692514.219999984</v>
      </c>
      <c r="L90" s="25">
        <f t="shared" si="20"/>
        <v>0</v>
      </c>
      <c r="M90" s="25">
        <f t="shared" si="19"/>
        <v>8692514.2199999858</v>
      </c>
      <c r="N90" s="12">
        <f t="shared" si="16"/>
        <v>2.0516533590608354E-2</v>
      </c>
    </row>
    <row r="91" spans="1:14">
      <c r="A91" s="15">
        <v>41689</v>
      </c>
      <c r="B91" s="14">
        <v>3196633.2299999991</v>
      </c>
      <c r="C91" s="13">
        <v>-1709537.9600000002</v>
      </c>
      <c r="D91" s="27">
        <v>449309259.97999996</v>
      </c>
      <c r="E91" s="3">
        <f t="shared" si="15"/>
        <v>41689</v>
      </c>
      <c r="F91" s="12">
        <f t="shared" si="11"/>
        <v>3.309736527723007E-3</v>
      </c>
      <c r="G91" s="25">
        <f t="shared" si="12"/>
        <v>1487095.2699999989</v>
      </c>
      <c r="H91" s="12">
        <f t="shared" si="13"/>
        <v>3.309736527723007E-3</v>
      </c>
      <c r="I91" s="25">
        <f t="shared" si="14"/>
        <v>1487095.2699999989</v>
      </c>
      <c r="J91" s="11">
        <f t="shared" si="17"/>
        <v>0.21213351622539423</v>
      </c>
      <c r="K91" s="25">
        <f t="shared" si="18"/>
        <v>70179609.48999998</v>
      </c>
      <c r="L91" s="25">
        <f t="shared" si="20"/>
        <v>0</v>
      </c>
      <c r="M91" s="25">
        <f t="shared" si="19"/>
        <v>10179609.489999985</v>
      </c>
      <c r="N91" s="12">
        <f t="shared" si="16"/>
        <v>2.2656131080968839E-2</v>
      </c>
    </row>
    <row r="92" spans="1:14">
      <c r="A92" s="15">
        <v>41690</v>
      </c>
      <c r="B92" s="14">
        <v>278570.93</v>
      </c>
      <c r="C92" s="13">
        <v>-1751782.94</v>
      </c>
      <c r="D92" s="27">
        <v>419674692.31000006</v>
      </c>
      <c r="E92" s="3">
        <f t="shared" si="15"/>
        <v>41690</v>
      </c>
      <c r="F92" s="12">
        <f t="shared" si="11"/>
        <v>3.5103665696186088E-3</v>
      </c>
      <c r="G92" s="25">
        <f t="shared" si="12"/>
        <v>1473212.01</v>
      </c>
      <c r="H92" s="12">
        <f t="shared" si="13"/>
        <v>-3.5103665696186088E-3</v>
      </c>
      <c r="I92" s="25">
        <f t="shared" si="14"/>
        <v>-1473212.01</v>
      </c>
      <c r="J92" s="11">
        <f t="shared" si="17"/>
        <v>0.20862314965577561</v>
      </c>
      <c r="K92" s="25">
        <f t="shared" si="18"/>
        <v>68706397.479999974</v>
      </c>
      <c r="L92" s="25">
        <f t="shared" si="20"/>
        <v>0</v>
      </c>
      <c r="M92" s="25">
        <f t="shared" si="19"/>
        <v>8706397.4799999855</v>
      </c>
      <c r="N92" s="12">
        <f t="shared" si="16"/>
        <v>2.0745586139773356E-2</v>
      </c>
    </row>
    <row r="93" spans="1:14">
      <c r="A93" s="15">
        <v>41691</v>
      </c>
      <c r="B93" s="14">
        <v>1737770.6600000001</v>
      </c>
      <c r="C93" s="13">
        <v>-2936852.1600000006</v>
      </c>
      <c r="D93" s="27">
        <v>429124225.00999999</v>
      </c>
      <c r="E93" s="3">
        <f t="shared" si="15"/>
        <v>41691</v>
      </c>
      <c r="F93" s="12">
        <f t="shared" si="11"/>
        <v>2.794252643210851E-3</v>
      </c>
      <c r="G93" s="25">
        <f t="shared" si="12"/>
        <v>1199081.5000000005</v>
      </c>
      <c r="H93" s="12">
        <f t="shared" si="13"/>
        <v>-2.794252643210851E-3</v>
      </c>
      <c r="I93" s="25">
        <f t="shared" si="14"/>
        <v>-1199081.5000000005</v>
      </c>
      <c r="J93" s="11">
        <f t="shared" si="17"/>
        <v>0.20582889701256477</v>
      </c>
      <c r="K93" s="25">
        <f t="shared" si="18"/>
        <v>67507315.979999974</v>
      </c>
      <c r="L93" s="25">
        <f t="shared" si="20"/>
        <v>0</v>
      </c>
      <c r="M93" s="25">
        <f t="shared" si="19"/>
        <v>7507315.9799999855</v>
      </c>
      <c r="N93" s="12">
        <f t="shared" si="16"/>
        <v>1.7494505186289682E-2</v>
      </c>
    </row>
    <row r="94" spans="1:14">
      <c r="A94" s="15">
        <v>41694</v>
      </c>
      <c r="B94" s="14">
        <v>5025219.01</v>
      </c>
      <c r="C94" s="13">
        <v>-486658.28</v>
      </c>
      <c r="D94" s="27">
        <v>428748688.43999994</v>
      </c>
      <c r="E94" s="3">
        <f t="shared" si="15"/>
        <v>41694</v>
      </c>
      <c r="F94" s="12">
        <f t="shared" si="11"/>
        <v>1.0585596766519639E-2</v>
      </c>
      <c r="G94" s="25">
        <f t="shared" si="12"/>
        <v>4538560.7299999995</v>
      </c>
      <c r="H94" s="12">
        <f t="shared" si="13"/>
        <v>1.0585596766519639E-2</v>
      </c>
      <c r="I94" s="25">
        <f t="shared" si="14"/>
        <v>4538560.7299999995</v>
      </c>
      <c r="J94" s="11">
        <f t="shared" si="17"/>
        <v>0.21641449377908439</v>
      </c>
      <c r="K94" s="25">
        <f t="shared" si="18"/>
        <v>72045876.709999979</v>
      </c>
      <c r="L94" s="25">
        <f t="shared" si="20"/>
        <v>0</v>
      </c>
      <c r="M94" s="25">
        <f t="shared" si="19"/>
        <v>12045876.709999986</v>
      </c>
      <c r="N94" s="12">
        <f t="shared" si="16"/>
        <v>2.809542521011283E-2</v>
      </c>
    </row>
    <row r="95" spans="1:14">
      <c r="A95" s="15">
        <v>41695</v>
      </c>
      <c r="B95" s="14">
        <v>442528.44999999995</v>
      </c>
      <c r="C95" s="13">
        <v>-14710362.1</v>
      </c>
      <c r="D95" s="27">
        <v>431918269.80000007</v>
      </c>
      <c r="E95" s="3">
        <f t="shared" si="15"/>
        <v>41695</v>
      </c>
      <c r="F95" s="12">
        <f t="shared" si="11"/>
        <v>3.3033642352305971E-2</v>
      </c>
      <c r="G95" s="25">
        <f t="shared" si="12"/>
        <v>14267833.65</v>
      </c>
      <c r="H95" s="12">
        <f t="shared" si="13"/>
        <v>-3.3033642352305971E-2</v>
      </c>
      <c r="I95" s="25">
        <f t="shared" si="14"/>
        <v>-14267833.65</v>
      </c>
      <c r="J95" s="11">
        <f t="shared" si="17"/>
        <v>0.18338085142677843</v>
      </c>
      <c r="K95" s="25">
        <f t="shared" si="18"/>
        <v>57778043.05999998</v>
      </c>
      <c r="L95" s="25">
        <f t="shared" si="20"/>
        <v>0</v>
      </c>
      <c r="M95" s="25">
        <f t="shared" si="19"/>
        <v>-2221956.9400000144</v>
      </c>
      <c r="N95" s="12">
        <f t="shared" si="16"/>
        <v>-5.1443921115652096E-3</v>
      </c>
    </row>
    <row r="96" spans="1:14">
      <c r="A96" s="15">
        <v>41696</v>
      </c>
      <c r="B96" s="14">
        <v>820788.05</v>
      </c>
      <c r="C96" s="13">
        <v>-2296780.83</v>
      </c>
      <c r="D96" s="27">
        <v>402369960.93000001</v>
      </c>
      <c r="E96" s="3">
        <f t="shared" si="15"/>
        <v>41696</v>
      </c>
      <c r="F96" s="12">
        <f t="shared" si="11"/>
        <v>3.6682479392560257E-3</v>
      </c>
      <c r="G96" s="25">
        <f t="shared" si="12"/>
        <v>1475992.78</v>
      </c>
      <c r="H96" s="12">
        <f t="shared" si="13"/>
        <v>-3.6682479392560257E-3</v>
      </c>
      <c r="I96" s="25">
        <f t="shared" si="14"/>
        <v>-1475992.78</v>
      </c>
      <c r="J96" s="11">
        <f t="shared" si="17"/>
        <v>0.17971260348752241</v>
      </c>
      <c r="K96" s="25">
        <f t="shared" si="18"/>
        <v>56302050.279999979</v>
      </c>
      <c r="L96" s="25">
        <f t="shared" si="20"/>
        <v>0</v>
      </c>
      <c r="M96" s="25">
        <f t="shared" si="19"/>
        <v>-3697949.7200000146</v>
      </c>
      <c r="N96" s="12">
        <f t="shared" si="16"/>
        <v>-9.1904219476347648E-3</v>
      </c>
    </row>
    <row r="97" spans="1:14">
      <c r="A97" s="15">
        <v>41697</v>
      </c>
      <c r="B97" s="14">
        <v>1979041.1199999999</v>
      </c>
      <c r="C97" s="13">
        <v>-67708.649999999994</v>
      </c>
      <c r="D97" s="27">
        <v>404166948.80000001</v>
      </c>
      <c r="E97" s="3">
        <f t="shared" si="15"/>
        <v>41697</v>
      </c>
      <c r="F97" s="12">
        <f t="shared" si="11"/>
        <v>4.7290667276848834E-3</v>
      </c>
      <c r="G97" s="25">
        <f t="shared" si="12"/>
        <v>1911332.47</v>
      </c>
      <c r="H97" s="12">
        <f t="shared" si="13"/>
        <v>4.7290667276848834E-3</v>
      </c>
      <c r="I97" s="25">
        <f t="shared" si="14"/>
        <v>1911332.47</v>
      </c>
      <c r="J97" s="11">
        <f t="shared" si="17"/>
        <v>0.1844416702152073</v>
      </c>
      <c r="K97" s="25">
        <f t="shared" si="18"/>
        <v>58213382.749999978</v>
      </c>
      <c r="L97" s="25">
        <f t="shared" si="20"/>
        <v>0</v>
      </c>
      <c r="M97" s="25">
        <f t="shared" si="19"/>
        <v>-1786617.2500000147</v>
      </c>
      <c r="N97" s="12">
        <f t="shared" si="16"/>
        <v>-4.4204932028821418E-3</v>
      </c>
    </row>
    <row r="98" spans="1:14">
      <c r="A98" s="15">
        <v>41698</v>
      </c>
      <c r="B98" s="14">
        <v>9547883.3900000006</v>
      </c>
      <c r="C98" s="13">
        <v>-9657072.3099999987</v>
      </c>
      <c r="D98" s="27">
        <v>419173177.07999992</v>
      </c>
      <c r="E98" s="3">
        <f t="shared" si="15"/>
        <v>41698</v>
      </c>
      <c r="F98" s="12">
        <f t="shared" si="11"/>
        <v>2.6048641938546363E-4</v>
      </c>
      <c r="G98" s="25">
        <f t="shared" si="12"/>
        <v>109188.91999999806</v>
      </c>
      <c r="H98" s="12">
        <f t="shared" si="13"/>
        <v>-2.6048641938546363E-4</v>
      </c>
      <c r="I98" s="25">
        <f t="shared" si="14"/>
        <v>-109188.91999999806</v>
      </c>
      <c r="J98" s="11">
        <f t="shared" si="17"/>
        <v>0.18418118379582182</v>
      </c>
      <c r="K98" s="25">
        <f t="shared" si="18"/>
        <v>58104193.829999983</v>
      </c>
      <c r="L98" s="25">
        <f t="shared" si="20"/>
        <v>0</v>
      </c>
      <c r="M98" s="25">
        <f t="shared" si="19"/>
        <v>-1895806.1700000127</v>
      </c>
      <c r="N98" s="12">
        <f t="shared" si="16"/>
        <v>-4.5227277737721156E-3</v>
      </c>
    </row>
    <row r="99" spans="1:14">
      <c r="A99" s="15">
        <v>41701</v>
      </c>
      <c r="B99" s="14">
        <v>3149808.87</v>
      </c>
      <c r="C99" s="13">
        <v>-276760.68</v>
      </c>
      <c r="D99" s="27">
        <v>413458955.06999999</v>
      </c>
      <c r="E99" s="3">
        <f t="shared" si="15"/>
        <v>41701</v>
      </c>
      <c r="F99" s="12">
        <f t="shared" si="11"/>
        <v>6.9488111329299501E-3</v>
      </c>
      <c r="G99" s="25">
        <f t="shared" si="12"/>
        <v>2873048.19</v>
      </c>
      <c r="H99" s="12">
        <f t="shared" si="13"/>
        <v>6.9488111329299501E-3</v>
      </c>
      <c r="I99" s="25">
        <f t="shared" si="14"/>
        <v>2873048.19</v>
      </c>
      <c r="J99" s="11">
        <f t="shared" si="17"/>
        <v>0.19112999492875177</v>
      </c>
      <c r="K99" s="25">
        <f t="shared" si="18"/>
        <v>60977242.019999981</v>
      </c>
      <c r="L99" s="25">
        <f t="shared" si="20"/>
        <v>0</v>
      </c>
      <c r="M99" s="25">
        <f t="shared" si="19"/>
        <v>977242.01999998721</v>
      </c>
      <c r="N99" s="12">
        <f t="shared" si="16"/>
        <v>2.3635768629912414E-3</v>
      </c>
    </row>
    <row r="100" spans="1:14">
      <c r="A100" s="15">
        <v>41702</v>
      </c>
      <c r="B100" s="14">
        <v>5422018.1200000001</v>
      </c>
      <c r="C100" s="13">
        <v>-6551742.9900000002</v>
      </c>
      <c r="D100" s="27">
        <v>436759848.40999997</v>
      </c>
      <c r="E100" s="3">
        <f t="shared" si="15"/>
        <v>41702</v>
      </c>
      <c r="F100" s="12">
        <f t="shared" si="11"/>
        <v>2.5866042268141197E-3</v>
      </c>
      <c r="G100" s="25">
        <f t="shared" si="12"/>
        <v>1129724.8700000001</v>
      </c>
      <c r="H100" s="12">
        <f t="shared" si="13"/>
        <v>-2.5866042268141197E-3</v>
      </c>
      <c r="I100" s="25">
        <f t="shared" si="14"/>
        <v>-1129724.8700000001</v>
      </c>
      <c r="J100" s="11">
        <f t="shared" si="17"/>
        <v>0.18854339070193765</v>
      </c>
      <c r="K100" s="25">
        <f t="shared" si="18"/>
        <v>59847517.149999984</v>
      </c>
      <c r="L100" s="25">
        <f t="shared" si="20"/>
        <v>0</v>
      </c>
      <c r="M100" s="25">
        <f t="shared" si="19"/>
        <v>-152482.8500000129</v>
      </c>
      <c r="N100" s="12">
        <f t="shared" si="16"/>
        <v>-3.4912286592991154E-4</v>
      </c>
    </row>
    <row r="101" spans="1:14">
      <c r="A101" s="15">
        <v>41703</v>
      </c>
      <c r="B101" s="14">
        <v>8873960.709999999</v>
      </c>
      <c r="C101" s="13">
        <v>-13174514.300000001</v>
      </c>
      <c r="D101" s="27">
        <v>390126466.94000006</v>
      </c>
      <c r="E101" s="3">
        <f t="shared" si="15"/>
        <v>41703</v>
      </c>
      <c r="F101" s="12">
        <f t="shared" si="11"/>
        <v>1.1023485855066096E-2</v>
      </c>
      <c r="G101" s="25">
        <f t="shared" si="12"/>
        <v>4300553.5900000017</v>
      </c>
      <c r="H101" s="12">
        <f t="shared" si="13"/>
        <v>-1.1023485855066096E-2</v>
      </c>
      <c r="I101" s="25">
        <f t="shared" si="14"/>
        <v>-4300553.5900000017</v>
      </c>
      <c r="J101" s="11">
        <f t="shared" si="17"/>
        <v>0.17751990484687155</v>
      </c>
      <c r="K101" s="25">
        <f t="shared" si="18"/>
        <v>55546963.55999998</v>
      </c>
      <c r="L101" s="25">
        <f t="shared" si="20"/>
        <v>0</v>
      </c>
      <c r="M101" s="25">
        <f t="shared" si="19"/>
        <v>-4453036.4400000144</v>
      </c>
      <c r="N101" s="12">
        <f t="shared" si="16"/>
        <v>-1.1414340777563483E-2</v>
      </c>
    </row>
    <row r="102" spans="1:14">
      <c r="A102" s="15">
        <v>41704</v>
      </c>
      <c r="B102" s="14">
        <v>659160.07999999996</v>
      </c>
      <c r="C102" s="13">
        <v>-4037072.51</v>
      </c>
      <c r="D102" s="27">
        <v>433518626.12999988</v>
      </c>
      <c r="E102" s="3">
        <f t="shared" si="15"/>
        <v>41704</v>
      </c>
      <c r="F102" s="12">
        <f t="shared" si="11"/>
        <v>7.7918507450405608E-3</v>
      </c>
      <c r="G102" s="25">
        <f t="shared" si="12"/>
        <v>3377912.4299999997</v>
      </c>
      <c r="H102" s="12">
        <f t="shared" si="13"/>
        <v>-7.7918507450405608E-3</v>
      </c>
      <c r="I102" s="25">
        <f t="shared" si="14"/>
        <v>-3377912.4299999997</v>
      </c>
      <c r="J102" s="11">
        <f t="shared" si="17"/>
        <v>0.16972805410183098</v>
      </c>
      <c r="K102" s="25">
        <f t="shared" si="18"/>
        <v>52169051.12999998</v>
      </c>
      <c r="L102" s="25">
        <f t="shared" si="20"/>
        <v>0</v>
      </c>
      <c r="M102" s="25">
        <f t="shared" si="19"/>
        <v>-7830948.8700000141</v>
      </c>
      <c r="N102" s="12">
        <f t="shared" si="16"/>
        <v>-1.8063696454997842E-2</v>
      </c>
    </row>
    <row r="103" spans="1:14">
      <c r="A103" s="15">
        <v>41705</v>
      </c>
      <c r="B103" s="14">
        <v>2181779.3100000005</v>
      </c>
      <c r="C103" s="13">
        <v>-2674299.0700000003</v>
      </c>
      <c r="D103" s="27">
        <v>417443261.81999999</v>
      </c>
      <c r="E103" s="3">
        <f t="shared" si="15"/>
        <v>41705</v>
      </c>
      <c r="F103" s="12">
        <f t="shared" si="11"/>
        <v>1.1798483891024513E-3</v>
      </c>
      <c r="G103" s="25">
        <f t="shared" si="12"/>
        <v>492519.75999999978</v>
      </c>
      <c r="H103" s="12">
        <f t="shared" si="13"/>
        <v>-1.1798483891024513E-3</v>
      </c>
      <c r="I103" s="25">
        <f t="shared" si="14"/>
        <v>-492519.75999999978</v>
      </c>
      <c r="J103" s="11">
        <f t="shared" si="17"/>
        <v>0.16854820571272852</v>
      </c>
      <c r="K103" s="25">
        <f t="shared" si="18"/>
        <v>51676531.369999982</v>
      </c>
      <c r="L103" s="25">
        <f t="shared" si="20"/>
        <v>0</v>
      </c>
      <c r="M103" s="25">
        <f t="shared" si="19"/>
        <v>-8323468.6300000139</v>
      </c>
      <c r="N103" s="12">
        <f t="shared" si="16"/>
        <v>-1.9939161537093065E-2</v>
      </c>
    </row>
    <row r="104" spans="1:14">
      <c r="A104" s="15">
        <v>41708</v>
      </c>
      <c r="B104" s="14">
        <v>2072600.0199999998</v>
      </c>
      <c r="C104" s="13">
        <v>-9450699.2599999998</v>
      </c>
      <c r="D104" s="27">
        <v>411992398.19999999</v>
      </c>
      <c r="E104" s="3">
        <f t="shared" si="15"/>
        <v>41708</v>
      </c>
      <c r="F104" s="12">
        <f t="shared" si="11"/>
        <v>1.7908338290305862E-2</v>
      </c>
      <c r="G104" s="25">
        <f t="shared" si="12"/>
        <v>7378099.2400000002</v>
      </c>
      <c r="H104" s="12">
        <f t="shared" si="13"/>
        <v>-1.7908338290305862E-2</v>
      </c>
      <c r="I104" s="25">
        <f t="shared" si="14"/>
        <v>-7378099.2400000002</v>
      </c>
      <c r="J104" s="11">
        <f t="shared" si="17"/>
        <v>0.15063986742242266</v>
      </c>
      <c r="K104" s="25">
        <f t="shared" si="18"/>
        <v>44298432.12999998</v>
      </c>
      <c r="L104" s="25">
        <f t="shared" si="20"/>
        <v>0</v>
      </c>
      <c r="M104" s="25">
        <f t="shared" si="19"/>
        <v>-15701567.870000014</v>
      </c>
      <c r="N104" s="12">
        <f t="shared" si="16"/>
        <v>-3.8111304816788767E-2</v>
      </c>
    </row>
    <row r="105" spans="1:14">
      <c r="A105" s="15">
        <v>41709</v>
      </c>
      <c r="B105" s="14">
        <v>6898794.0300000003</v>
      </c>
      <c r="C105" s="13">
        <v>-7329050.0700000003</v>
      </c>
      <c r="D105" s="27">
        <v>437511474.91000003</v>
      </c>
      <c r="E105" s="3">
        <f t="shared" si="15"/>
        <v>41709</v>
      </c>
      <c r="F105" s="12">
        <f t="shared" si="11"/>
        <v>9.8341658373304951E-4</v>
      </c>
      <c r="G105" s="25">
        <f t="shared" si="12"/>
        <v>430256.04000000004</v>
      </c>
      <c r="H105" s="12">
        <f t="shared" si="13"/>
        <v>-9.8341658373304951E-4</v>
      </c>
      <c r="I105" s="25">
        <f t="shared" si="14"/>
        <v>-430256.04000000004</v>
      </c>
      <c r="J105" s="11">
        <f t="shared" si="17"/>
        <v>0.14965645083868961</v>
      </c>
      <c r="K105" s="25">
        <f t="shared" si="18"/>
        <v>43868176.089999981</v>
      </c>
      <c r="L105" s="25">
        <f t="shared" si="20"/>
        <v>0</v>
      </c>
      <c r="M105" s="25">
        <f t="shared" si="19"/>
        <v>-16131823.910000015</v>
      </c>
      <c r="N105" s="12">
        <f t="shared" si="16"/>
        <v>-3.6871773279360212E-2</v>
      </c>
    </row>
    <row r="106" spans="1:14">
      <c r="A106" s="15">
        <v>41710</v>
      </c>
      <c r="B106" s="14">
        <v>976267.32000000007</v>
      </c>
      <c r="C106" s="13">
        <v>-1261766.69</v>
      </c>
      <c r="D106" s="27">
        <v>410098902.63999999</v>
      </c>
      <c r="E106" s="3">
        <f t="shared" si="15"/>
        <v>41710</v>
      </c>
      <c r="F106" s="12">
        <f t="shared" si="11"/>
        <v>6.9617199207826653E-4</v>
      </c>
      <c r="G106" s="25">
        <f t="shared" si="12"/>
        <v>285499.36999999988</v>
      </c>
      <c r="H106" s="12">
        <f t="shared" si="13"/>
        <v>-6.9617199207826653E-4</v>
      </c>
      <c r="I106" s="25">
        <f t="shared" si="14"/>
        <v>-285499.36999999988</v>
      </c>
      <c r="J106" s="11">
        <f t="shared" si="17"/>
        <v>0.14896027884661134</v>
      </c>
      <c r="K106" s="25">
        <f t="shared" si="18"/>
        <v>43582676.719999984</v>
      </c>
      <c r="L106" s="25">
        <f t="shared" si="20"/>
        <v>20000000</v>
      </c>
      <c r="M106" s="25">
        <f t="shared" si="19"/>
        <v>3582676.7199999848</v>
      </c>
      <c r="N106" s="12">
        <f t="shared" si="16"/>
        <v>8.7361285215264064E-3</v>
      </c>
    </row>
    <row r="107" spans="1:14">
      <c r="A107" s="15">
        <v>41711</v>
      </c>
      <c r="B107" s="14">
        <v>3936786.2999999993</v>
      </c>
      <c r="C107" s="13">
        <v>-4355038.0499999989</v>
      </c>
      <c r="D107" s="27">
        <v>409465240.66999996</v>
      </c>
      <c r="E107" s="3">
        <f t="shared" si="15"/>
        <v>41711</v>
      </c>
      <c r="F107" s="12">
        <f t="shared" si="11"/>
        <v>1.0214584986887347E-3</v>
      </c>
      <c r="G107" s="25">
        <f t="shared" si="12"/>
        <v>418251.74999999953</v>
      </c>
      <c r="H107" s="12">
        <f t="shared" si="13"/>
        <v>-1.0214584986887347E-3</v>
      </c>
      <c r="I107" s="25">
        <f t="shared" si="14"/>
        <v>-418251.74999999953</v>
      </c>
      <c r="J107" s="11">
        <f t="shared" si="17"/>
        <v>0.14793882034792261</v>
      </c>
      <c r="K107" s="25">
        <f t="shared" si="18"/>
        <v>43164424.969999984</v>
      </c>
      <c r="L107" s="25">
        <f t="shared" si="20"/>
        <v>0</v>
      </c>
      <c r="M107" s="25">
        <f t="shared" si="19"/>
        <v>3164424.9699999853</v>
      </c>
      <c r="N107" s="12">
        <f t="shared" si="16"/>
        <v>7.728189491303581E-3</v>
      </c>
    </row>
    <row r="108" spans="1:14">
      <c r="A108" s="15">
        <v>41712</v>
      </c>
      <c r="B108" s="14">
        <v>5952515.75</v>
      </c>
      <c r="C108" s="13">
        <v>-10505696.48</v>
      </c>
      <c r="D108" s="27">
        <v>417222458.65999997</v>
      </c>
      <c r="E108" s="3">
        <f t="shared" si="15"/>
        <v>41712</v>
      </c>
      <c r="F108" s="12">
        <f t="shared" si="11"/>
        <v>1.091307679031355E-2</v>
      </c>
      <c r="G108" s="25">
        <f t="shared" si="12"/>
        <v>4553180.7300000004</v>
      </c>
      <c r="H108" s="12">
        <f t="shared" si="13"/>
        <v>-1.091307679031355E-2</v>
      </c>
      <c r="I108" s="25">
        <f t="shared" si="14"/>
        <v>-4553180.7300000004</v>
      </c>
      <c r="J108" s="11">
        <f t="shared" si="17"/>
        <v>0.13702574355760905</v>
      </c>
      <c r="K108" s="25">
        <f t="shared" si="18"/>
        <v>38611244.23999998</v>
      </c>
      <c r="L108" s="25">
        <f t="shared" si="20"/>
        <v>0</v>
      </c>
      <c r="M108" s="25">
        <f t="shared" si="19"/>
        <v>-1388755.7600000151</v>
      </c>
      <c r="N108" s="12">
        <f t="shared" si="16"/>
        <v>-3.3285738367495946E-3</v>
      </c>
    </row>
    <row r="109" spans="1:14">
      <c r="A109" s="15">
        <v>41716</v>
      </c>
      <c r="B109" s="14">
        <v>566304.25999999989</v>
      </c>
      <c r="C109" s="13">
        <v>-1204150.49</v>
      </c>
      <c r="D109" s="27">
        <v>378573833.25999993</v>
      </c>
      <c r="E109" s="3">
        <f t="shared" si="15"/>
        <v>41716</v>
      </c>
      <c r="F109" s="12">
        <f t="shared" si="11"/>
        <v>1.6848661316798802E-3</v>
      </c>
      <c r="G109" s="25">
        <f t="shared" si="12"/>
        <v>637846.2300000001</v>
      </c>
      <c r="H109" s="12">
        <f t="shared" si="13"/>
        <v>-1.6848661316798802E-3</v>
      </c>
      <c r="I109" s="25">
        <f t="shared" si="14"/>
        <v>-637846.2300000001</v>
      </c>
      <c r="J109" s="11">
        <f t="shared" si="17"/>
        <v>0.13534087742592918</v>
      </c>
      <c r="K109" s="25">
        <f t="shared" si="18"/>
        <v>37973398.009999983</v>
      </c>
      <c r="L109" s="25">
        <f t="shared" si="20"/>
        <v>0</v>
      </c>
      <c r="M109" s="25">
        <f t="shared" si="19"/>
        <v>-2026601.9900000151</v>
      </c>
      <c r="N109" s="12">
        <f t="shared" si="16"/>
        <v>-5.353254271560204E-3</v>
      </c>
    </row>
    <row r="110" spans="1:14">
      <c r="A110" s="15">
        <v>41717</v>
      </c>
      <c r="B110" s="14">
        <v>2162670.3899999997</v>
      </c>
      <c r="C110" s="13">
        <v>-4083689.12</v>
      </c>
      <c r="D110" s="27">
        <v>410395096.83999997</v>
      </c>
      <c r="E110" s="3">
        <f t="shared" si="15"/>
        <v>41717</v>
      </c>
      <c r="F110" s="12">
        <f t="shared" si="11"/>
        <v>4.6809007826644298E-3</v>
      </c>
      <c r="G110" s="25">
        <f t="shared" si="12"/>
        <v>1921018.7300000004</v>
      </c>
      <c r="H110" s="12">
        <f t="shared" si="13"/>
        <v>-4.6809007826644298E-3</v>
      </c>
      <c r="I110" s="25">
        <f t="shared" si="14"/>
        <v>-1921018.7300000004</v>
      </c>
      <c r="J110" s="11">
        <f t="shared" si="17"/>
        <v>0.13065997664326476</v>
      </c>
      <c r="K110" s="25">
        <f t="shared" si="18"/>
        <v>36052379.279999986</v>
      </c>
      <c r="L110" s="25">
        <f t="shared" si="20"/>
        <v>0</v>
      </c>
      <c r="M110" s="25">
        <f t="shared" si="19"/>
        <v>-3947620.7200000156</v>
      </c>
      <c r="N110" s="12">
        <f t="shared" si="16"/>
        <v>-9.61907379107667E-3</v>
      </c>
    </row>
    <row r="111" spans="1:14">
      <c r="A111" s="15">
        <v>41718</v>
      </c>
      <c r="B111" s="14">
        <v>1577539.3699999999</v>
      </c>
      <c r="C111" s="13">
        <v>-14525745.200000001</v>
      </c>
      <c r="D111" s="27">
        <v>380535202.92999995</v>
      </c>
      <c r="E111" s="3">
        <f t="shared" si="15"/>
        <v>41718</v>
      </c>
      <c r="F111" s="12">
        <f t="shared" si="11"/>
        <v>3.402630224563441E-2</v>
      </c>
      <c r="G111" s="25">
        <f t="shared" si="12"/>
        <v>12948205.830000002</v>
      </c>
      <c r="H111" s="12">
        <f t="shared" si="13"/>
        <v>-3.402630224563441E-2</v>
      </c>
      <c r="I111" s="25">
        <f t="shared" si="14"/>
        <v>-12948205.830000002</v>
      </c>
      <c r="J111" s="11">
        <f t="shared" si="17"/>
        <v>9.6633674397630348E-2</v>
      </c>
      <c r="K111" s="25">
        <f t="shared" si="18"/>
        <v>23104173.449999984</v>
      </c>
      <c r="L111" s="25">
        <f t="shared" si="20"/>
        <v>20000000</v>
      </c>
      <c r="M111" s="25">
        <f t="shared" si="19"/>
        <v>3104173.4499999825</v>
      </c>
      <c r="N111" s="12">
        <f t="shared" si="16"/>
        <v>8.1573883995457834E-3</v>
      </c>
    </row>
    <row r="112" spans="1:14">
      <c r="A112" s="15">
        <v>41719</v>
      </c>
      <c r="B112" s="14">
        <v>2521992.25</v>
      </c>
      <c r="C112" s="13">
        <v>-2223484.5700000003</v>
      </c>
      <c r="D112" s="27">
        <v>412608140.68000001</v>
      </c>
      <c r="E112" s="3">
        <f t="shared" si="15"/>
        <v>41719</v>
      </c>
      <c r="F112" s="12">
        <f t="shared" si="11"/>
        <v>7.2346531871146137E-4</v>
      </c>
      <c r="G112" s="25">
        <f t="shared" si="12"/>
        <v>298507.6799999997</v>
      </c>
      <c r="H112" s="12">
        <f t="shared" si="13"/>
        <v>7.2346531871146137E-4</v>
      </c>
      <c r="I112" s="25">
        <f t="shared" si="14"/>
        <v>298507.6799999997</v>
      </c>
      <c r="J112" s="11">
        <f t="shared" si="17"/>
        <v>9.7357139716341815E-2</v>
      </c>
      <c r="K112" s="25">
        <f t="shared" si="18"/>
        <v>23402681.129999984</v>
      </c>
      <c r="L112" s="25">
        <f t="shared" si="20"/>
        <v>0</v>
      </c>
      <c r="M112" s="25">
        <f t="shared" si="19"/>
        <v>3402681.1299999822</v>
      </c>
      <c r="N112" s="12">
        <f t="shared" si="16"/>
        <v>8.2467619867901392E-3</v>
      </c>
    </row>
    <row r="113" spans="1:14">
      <c r="A113" s="15">
        <v>41722</v>
      </c>
      <c r="B113" s="14">
        <v>3810954.8500000006</v>
      </c>
      <c r="C113" s="13">
        <v>-802031.25000000012</v>
      </c>
      <c r="D113" s="27">
        <v>390092008.39999998</v>
      </c>
      <c r="E113" s="3">
        <f t="shared" si="15"/>
        <v>41722</v>
      </c>
      <c r="F113" s="12">
        <f t="shared" si="11"/>
        <v>7.7133689878482545E-3</v>
      </c>
      <c r="G113" s="25">
        <f t="shared" si="12"/>
        <v>3008923.6000000006</v>
      </c>
      <c r="H113" s="12">
        <f t="shared" si="13"/>
        <v>7.7133689878482545E-3</v>
      </c>
      <c r="I113" s="25">
        <f t="shared" si="14"/>
        <v>3008923.6000000006</v>
      </c>
      <c r="J113" s="11">
        <f t="shared" si="17"/>
        <v>0.10507050870419007</v>
      </c>
      <c r="K113" s="25">
        <f t="shared" si="18"/>
        <v>26411604.729999986</v>
      </c>
      <c r="L113" s="25">
        <f t="shared" si="20"/>
        <v>0</v>
      </c>
      <c r="M113" s="25">
        <f t="shared" si="19"/>
        <v>6411604.7299999828</v>
      </c>
      <c r="N113" s="12">
        <f t="shared" si="16"/>
        <v>1.6436134532203821E-2</v>
      </c>
    </row>
    <row r="114" spans="1:14">
      <c r="A114" s="15">
        <v>41723</v>
      </c>
      <c r="B114" s="14">
        <v>4520798.419999999</v>
      </c>
      <c r="C114" s="13">
        <v>-467750.39</v>
      </c>
      <c r="D114" s="27">
        <v>385133104.11999995</v>
      </c>
      <c r="E114" s="3">
        <f t="shared" si="15"/>
        <v>41723</v>
      </c>
      <c r="F114" s="12">
        <f t="shared" si="11"/>
        <v>1.0523759154022627E-2</v>
      </c>
      <c r="G114" s="25">
        <f t="shared" si="12"/>
        <v>4053048.0299999989</v>
      </c>
      <c r="H114" s="12">
        <f t="shared" si="13"/>
        <v>1.0523759154022627E-2</v>
      </c>
      <c r="I114" s="25">
        <f t="shared" si="14"/>
        <v>4053048.0299999989</v>
      </c>
      <c r="J114" s="11">
        <f t="shared" si="17"/>
        <v>0.1155942678582127</v>
      </c>
      <c r="K114" s="25">
        <f t="shared" si="18"/>
        <v>30464652.759999983</v>
      </c>
      <c r="L114" s="25">
        <f t="shared" si="20"/>
        <v>0</v>
      </c>
      <c r="M114" s="25">
        <f t="shared" si="19"/>
        <v>10464652.759999981</v>
      </c>
      <c r="N114" s="12">
        <f t="shared" si="16"/>
        <v>2.7171522385516358E-2</v>
      </c>
    </row>
    <row r="115" spans="1:14">
      <c r="A115" s="15">
        <v>41724</v>
      </c>
      <c r="B115" s="14">
        <v>596183.81000000006</v>
      </c>
      <c r="C115" s="13">
        <v>-468147.95999999996</v>
      </c>
      <c r="D115" s="27">
        <v>368873996.97999996</v>
      </c>
      <c r="E115" s="3">
        <f t="shared" si="15"/>
        <v>41724</v>
      </c>
      <c r="F115" s="12">
        <f t="shared" si="11"/>
        <v>3.4709914780721744E-4</v>
      </c>
      <c r="G115" s="25">
        <f t="shared" si="12"/>
        <v>128035.85000000009</v>
      </c>
      <c r="H115" s="12">
        <f t="shared" si="13"/>
        <v>3.4709914780721744E-4</v>
      </c>
      <c r="I115" s="25">
        <f t="shared" si="14"/>
        <v>128035.85000000009</v>
      </c>
      <c r="J115" s="11">
        <f t="shared" si="17"/>
        <v>0.11594136700601991</v>
      </c>
      <c r="K115" s="25">
        <f t="shared" si="18"/>
        <v>30592688.609999985</v>
      </c>
      <c r="L115" s="25">
        <f t="shared" si="20"/>
        <v>0</v>
      </c>
      <c r="M115" s="25">
        <f t="shared" si="19"/>
        <v>10592688.609999981</v>
      </c>
      <c r="N115" s="12">
        <f t="shared" si="16"/>
        <v>2.8716278991534085E-2</v>
      </c>
    </row>
    <row r="116" spans="1:14">
      <c r="A116" s="15">
        <v>41725</v>
      </c>
      <c r="B116" s="14">
        <v>1284923.1599999997</v>
      </c>
      <c r="C116" s="13">
        <v>-807119.12000000011</v>
      </c>
      <c r="D116" s="27">
        <v>395099152.34000009</v>
      </c>
      <c r="E116" s="3">
        <f t="shared" si="15"/>
        <v>41725</v>
      </c>
      <c r="F116" s="12">
        <f t="shared" si="11"/>
        <v>1.2093269174843187E-3</v>
      </c>
      <c r="G116" s="25">
        <f t="shared" si="12"/>
        <v>477804.03999999957</v>
      </c>
      <c r="H116" s="12">
        <f t="shared" si="13"/>
        <v>1.2093269174843187E-3</v>
      </c>
      <c r="I116" s="25">
        <f t="shared" si="14"/>
        <v>477804.03999999957</v>
      </c>
      <c r="J116" s="11">
        <f t="shared" si="17"/>
        <v>0.11715069392350423</v>
      </c>
      <c r="K116" s="25">
        <f t="shared" si="18"/>
        <v>31070492.649999984</v>
      </c>
      <c r="L116" s="25">
        <f t="shared" si="20"/>
        <v>0</v>
      </c>
      <c r="M116" s="25">
        <f t="shared" si="19"/>
        <v>11070492.64999998</v>
      </c>
      <c r="N116" s="12">
        <f t="shared" si="16"/>
        <v>2.8019530248127023E-2</v>
      </c>
    </row>
    <row r="117" spans="1:14">
      <c r="A117" s="15">
        <v>41726</v>
      </c>
      <c r="B117" s="14">
        <v>3186438.28</v>
      </c>
      <c r="C117" s="13">
        <v>-155579.31</v>
      </c>
      <c r="D117" s="27">
        <v>413602162.74999994</v>
      </c>
      <c r="E117" s="3">
        <f t="shared" si="15"/>
        <v>41726</v>
      </c>
      <c r="F117" s="12">
        <f t="shared" si="11"/>
        <v>7.3279572569159646E-3</v>
      </c>
      <c r="G117" s="25">
        <f t="shared" si="12"/>
        <v>3030858.9699999997</v>
      </c>
      <c r="H117" s="12">
        <f t="shared" si="13"/>
        <v>7.3279572569159646E-3</v>
      </c>
      <c r="I117" s="25">
        <f t="shared" si="14"/>
        <v>3030858.9699999997</v>
      </c>
      <c r="J117" s="11">
        <f t="shared" si="17"/>
        <v>0.1244786511804202</v>
      </c>
      <c r="K117" s="25">
        <f t="shared" si="18"/>
        <v>34101351.619999982</v>
      </c>
      <c r="L117" s="25">
        <f t="shared" si="20"/>
        <v>0</v>
      </c>
      <c r="M117" s="25">
        <f t="shared" si="19"/>
        <v>14101351.619999979</v>
      </c>
      <c r="N117" s="12">
        <f t="shared" si="16"/>
        <v>3.4093998750493675E-2</v>
      </c>
    </row>
    <row r="118" spans="1:14">
      <c r="A118" s="15">
        <v>41729</v>
      </c>
      <c r="B118" s="14">
        <v>4351736.3199999994</v>
      </c>
      <c r="C118" s="13">
        <v>-306215.04999999993</v>
      </c>
      <c r="D118" s="27">
        <v>420017005.84999996</v>
      </c>
      <c r="E118" s="3">
        <f t="shared" si="15"/>
        <v>41729</v>
      </c>
      <c r="F118" s="12">
        <f t="shared" si="11"/>
        <v>9.6318035071293537E-3</v>
      </c>
      <c r="G118" s="25">
        <f t="shared" si="12"/>
        <v>4045521.2699999996</v>
      </c>
      <c r="H118" s="12">
        <f t="shared" si="13"/>
        <v>9.6318035071293537E-3</v>
      </c>
      <c r="I118" s="25">
        <f t="shared" si="14"/>
        <v>4045521.2699999996</v>
      </c>
      <c r="J118" s="11">
        <f t="shared" si="17"/>
        <v>0.13411045468754956</v>
      </c>
      <c r="K118" s="25">
        <f t="shared" si="18"/>
        <v>38146872.889999986</v>
      </c>
      <c r="L118" s="25">
        <f t="shared" si="20"/>
        <v>-15000000</v>
      </c>
      <c r="M118" s="25">
        <f t="shared" si="19"/>
        <v>3146872.8899999782</v>
      </c>
      <c r="N118" s="12">
        <f t="shared" si="16"/>
        <v>7.4922511378594419E-3</v>
      </c>
    </row>
    <row r="119" spans="1:14">
      <c r="A119" s="15">
        <v>41730</v>
      </c>
      <c r="B119" s="14">
        <v>5574584.4700000007</v>
      </c>
      <c r="C119" s="13">
        <v>-158850.95999999996</v>
      </c>
      <c r="D119" s="27">
        <v>411578335.02000004</v>
      </c>
      <c r="E119" s="3">
        <f t="shared" si="15"/>
        <v>41730</v>
      </c>
      <c r="F119" s="12">
        <f t="shared" si="11"/>
        <v>1.3158451378974628E-2</v>
      </c>
      <c r="G119" s="25">
        <f t="shared" si="12"/>
        <v>5415733.5100000007</v>
      </c>
      <c r="H119" s="12">
        <f t="shared" si="13"/>
        <v>1.3158451378974628E-2</v>
      </c>
      <c r="I119" s="25">
        <f t="shared" si="14"/>
        <v>5415733.5100000007</v>
      </c>
      <c r="J119" s="11">
        <f t="shared" si="17"/>
        <v>0.14726890606652418</v>
      </c>
      <c r="K119" s="25">
        <f t="shared" si="18"/>
        <v>43562606.399999984</v>
      </c>
      <c r="L119" s="25">
        <f t="shared" si="20"/>
        <v>0</v>
      </c>
      <c r="M119" s="25">
        <f t="shared" si="19"/>
        <v>8562606.3999999799</v>
      </c>
      <c r="N119" s="12">
        <f t="shared" si="16"/>
        <v>2.0804317602343896E-2</v>
      </c>
    </row>
    <row r="120" spans="1:14">
      <c r="A120" s="15">
        <v>41731</v>
      </c>
      <c r="B120" s="14">
        <v>1528657.5</v>
      </c>
      <c r="C120" s="13">
        <v>-8977126.3099999987</v>
      </c>
      <c r="D120" s="27">
        <v>397889841.24000007</v>
      </c>
      <c r="E120" s="3">
        <f t="shared" si="15"/>
        <v>41731</v>
      </c>
      <c r="F120" s="12">
        <f t="shared" si="11"/>
        <v>1.8719927070234534E-2</v>
      </c>
      <c r="G120" s="25">
        <f t="shared" si="12"/>
        <v>7448468.8099999987</v>
      </c>
      <c r="H120" s="12">
        <f t="shared" si="13"/>
        <v>-1.8719927070234534E-2</v>
      </c>
      <c r="I120" s="25">
        <f t="shared" si="14"/>
        <v>-7448468.8099999987</v>
      </c>
      <c r="J120" s="11">
        <f t="shared" si="17"/>
        <v>0.12854897899628964</v>
      </c>
      <c r="K120" s="25">
        <f t="shared" si="18"/>
        <v>36114137.589999989</v>
      </c>
      <c r="L120" s="25">
        <f t="shared" si="20"/>
        <v>0</v>
      </c>
      <c r="M120" s="25">
        <f t="shared" si="19"/>
        <v>1114137.5899999812</v>
      </c>
      <c r="N120" s="12">
        <f t="shared" si="16"/>
        <v>2.8001156966657847E-3</v>
      </c>
    </row>
    <row r="121" spans="1:14">
      <c r="A121" s="15">
        <v>41732</v>
      </c>
      <c r="B121" s="14">
        <v>2401297.7399999998</v>
      </c>
      <c r="C121" s="13">
        <v>-2493018.56</v>
      </c>
      <c r="D121" s="27">
        <v>386715003.07999992</v>
      </c>
      <c r="E121" s="3">
        <f t="shared" si="15"/>
        <v>41732</v>
      </c>
      <c r="F121" s="12">
        <f t="shared" si="11"/>
        <v>2.3717936793113238E-4</v>
      </c>
      <c r="G121" s="25">
        <f t="shared" si="12"/>
        <v>91720.820000000298</v>
      </c>
      <c r="H121" s="12">
        <f t="shared" si="13"/>
        <v>-2.3717936793113238E-4</v>
      </c>
      <c r="I121" s="25">
        <f t="shared" si="14"/>
        <v>-91720.820000000298</v>
      </c>
      <c r="J121" s="11">
        <f t="shared" si="17"/>
        <v>0.12831179962835851</v>
      </c>
      <c r="K121" s="25">
        <f t="shared" si="18"/>
        <v>36022416.769999988</v>
      </c>
      <c r="L121" s="25">
        <f t="shared" si="20"/>
        <v>0</v>
      </c>
      <c r="M121" s="25">
        <f t="shared" si="19"/>
        <v>1022416.7699999809</v>
      </c>
      <c r="N121" s="12">
        <f t="shared" si="16"/>
        <v>2.6438507993145357E-3</v>
      </c>
    </row>
    <row r="122" spans="1:14">
      <c r="A122" s="15">
        <v>41733</v>
      </c>
      <c r="B122" s="14">
        <v>5656251.8599999985</v>
      </c>
      <c r="C122" s="13">
        <v>-2747847.1999999997</v>
      </c>
      <c r="D122" s="27">
        <v>426335453.21999997</v>
      </c>
      <c r="E122" s="3">
        <f t="shared" si="15"/>
        <v>41733</v>
      </c>
      <c r="F122" s="12">
        <f t="shared" si="11"/>
        <v>6.8218691127692535E-3</v>
      </c>
      <c r="G122" s="25">
        <f t="shared" si="12"/>
        <v>2908404.6599999988</v>
      </c>
      <c r="H122" s="12">
        <f t="shared" si="13"/>
        <v>6.8218691127692535E-3</v>
      </c>
      <c r="I122" s="25">
        <f t="shared" si="14"/>
        <v>2908404.6599999988</v>
      </c>
      <c r="J122" s="11">
        <f t="shared" si="17"/>
        <v>0.13513366874112775</v>
      </c>
      <c r="K122" s="25">
        <f t="shared" si="18"/>
        <v>38930821.429999985</v>
      </c>
      <c r="L122" s="25">
        <f t="shared" si="20"/>
        <v>0</v>
      </c>
      <c r="M122" s="25">
        <f t="shared" si="19"/>
        <v>3930821.4299999797</v>
      </c>
      <c r="N122" s="12">
        <f t="shared" si="16"/>
        <v>9.2200200577069423E-3</v>
      </c>
    </row>
    <row r="123" spans="1:14">
      <c r="A123" s="15">
        <v>41736</v>
      </c>
      <c r="B123" s="14">
        <v>1335327.06</v>
      </c>
      <c r="C123" s="13">
        <v>-154249.49</v>
      </c>
      <c r="D123" s="27">
        <v>376659214.88999993</v>
      </c>
      <c r="E123" s="3">
        <f t="shared" si="15"/>
        <v>41736</v>
      </c>
      <c r="F123" s="12">
        <f t="shared" si="11"/>
        <v>3.135666202524538E-3</v>
      </c>
      <c r="G123" s="25">
        <f t="shared" si="12"/>
        <v>1181077.57</v>
      </c>
      <c r="H123" s="12">
        <f t="shared" si="13"/>
        <v>3.135666202524538E-3</v>
      </c>
      <c r="I123" s="25">
        <f t="shared" si="14"/>
        <v>1181077.57</v>
      </c>
      <c r="J123" s="11">
        <f t="shared" si="17"/>
        <v>0.13826933494365229</v>
      </c>
      <c r="K123" s="25">
        <f t="shared" si="18"/>
        <v>40111898.999999985</v>
      </c>
      <c r="L123" s="25">
        <f t="shared" si="20"/>
        <v>0</v>
      </c>
      <c r="M123" s="25">
        <f t="shared" si="19"/>
        <v>5111898.9999999795</v>
      </c>
      <c r="N123" s="12">
        <f t="shared" si="16"/>
        <v>1.3571681769402258E-2</v>
      </c>
    </row>
    <row r="124" spans="1:14">
      <c r="A124" s="15">
        <v>41737</v>
      </c>
      <c r="B124" s="14">
        <v>425294.70999999996</v>
      </c>
      <c r="C124" s="13">
        <v>-13194485.74</v>
      </c>
      <c r="D124" s="27">
        <v>405632114.78000003</v>
      </c>
      <c r="E124" s="3">
        <f t="shared" si="15"/>
        <v>41737</v>
      </c>
      <c r="F124" s="12">
        <f t="shared" si="11"/>
        <v>3.1479733888736948E-2</v>
      </c>
      <c r="G124" s="25">
        <f t="shared" si="12"/>
        <v>12769191.030000001</v>
      </c>
      <c r="H124" s="12">
        <f t="shared" si="13"/>
        <v>-3.1479733888736948E-2</v>
      </c>
      <c r="I124" s="25">
        <f t="shared" si="14"/>
        <v>-12769191.030000001</v>
      </c>
      <c r="J124" s="11">
        <f t="shared" si="17"/>
        <v>0.10678960105491533</v>
      </c>
      <c r="K124" s="25">
        <f t="shared" si="18"/>
        <v>27342707.969999984</v>
      </c>
      <c r="L124" s="25">
        <f t="shared" si="20"/>
        <v>0</v>
      </c>
      <c r="M124" s="25">
        <f t="shared" si="19"/>
        <v>-7657292.0300000217</v>
      </c>
      <c r="N124" s="12">
        <f t="shared" si="16"/>
        <v>-1.8877430437560537E-2</v>
      </c>
    </row>
    <row r="125" spans="1:14">
      <c r="A125" s="15">
        <v>41738</v>
      </c>
      <c r="B125" s="14">
        <v>3125075.86</v>
      </c>
      <c r="C125" s="13">
        <v>-603468.88</v>
      </c>
      <c r="D125" s="27">
        <v>377324460.44</v>
      </c>
      <c r="E125" s="3">
        <f t="shared" si="15"/>
        <v>41738</v>
      </c>
      <c r="F125" s="12">
        <f t="shared" si="11"/>
        <v>6.6828611563097213E-3</v>
      </c>
      <c r="G125" s="25">
        <f t="shared" si="12"/>
        <v>2521606.98</v>
      </c>
      <c r="H125" s="12">
        <f t="shared" si="13"/>
        <v>6.6828611563097213E-3</v>
      </c>
      <c r="I125" s="25">
        <f t="shared" si="14"/>
        <v>2521606.98</v>
      </c>
      <c r="J125" s="11">
        <f t="shared" si="17"/>
        <v>0.11347246221122506</v>
      </c>
      <c r="K125" s="25">
        <f t="shared" si="18"/>
        <v>29864314.949999984</v>
      </c>
      <c r="L125" s="25">
        <f t="shared" si="20"/>
        <v>0</v>
      </c>
      <c r="M125" s="25">
        <f t="shared" si="19"/>
        <v>-5135685.0500000212</v>
      </c>
      <c r="N125" s="12">
        <f t="shared" si="16"/>
        <v>-1.3610792801535506E-2</v>
      </c>
    </row>
    <row r="126" spans="1:14">
      <c r="A126" s="15">
        <v>41739</v>
      </c>
      <c r="B126" s="14">
        <v>2260053.6300000008</v>
      </c>
      <c r="C126" s="13">
        <v>-686539.36</v>
      </c>
      <c r="D126" s="27">
        <v>410399952.05000001</v>
      </c>
      <c r="E126" s="3">
        <f t="shared" si="15"/>
        <v>41739</v>
      </c>
      <c r="F126" s="12">
        <f t="shared" si="11"/>
        <v>3.8340995464061262E-3</v>
      </c>
      <c r="G126" s="25">
        <f t="shared" si="12"/>
        <v>1573514.2700000009</v>
      </c>
      <c r="H126" s="12">
        <f t="shared" si="13"/>
        <v>3.8340995464061262E-3</v>
      </c>
      <c r="I126" s="25">
        <f t="shared" si="14"/>
        <v>1573514.2700000009</v>
      </c>
      <c r="J126" s="11">
        <f t="shared" si="17"/>
        <v>0.11730656175763118</v>
      </c>
      <c r="K126" s="25">
        <f t="shared" si="18"/>
        <v>31437829.219999984</v>
      </c>
      <c r="L126" s="25">
        <f t="shared" si="20"/>
        <v>0</v>
      </c>
      <c r="M126" s="25">
        <f t="shared" si="19"/>
        <v>-3562170.7800000203</v>
      </c>
      <c r="N126" s="12">
        <f t="shared" si="16"/>
        <v>-8.6797543766916237E-3</v>
      </c>
    </row>
    <row r="127" spans="1:14">
      <c r="A127" s="15">
        <v>41740</v>
      </c>
      <c r="B127" s="14">
        <v>1725635.4300000002</v>
      </c>
      <c r="C127" s="13">
        <v>-445724.60000000003</v>
      </c>
      <c r="D127" s="27">
        <v>407516457.75000006</v>
      </c>
      <c r="E127" s="3">
        <f t="shared" si="15"/>
        <v>41740</v>
      </c>
      <c r="F127" s="12">
        <f t="shared" si="11"/>
        <v>3.1407586262079002E-3</v>
      </c>
      <c r="G127" s="25">
        <f t="shared" si="12"/>
        <v>1279910.83</v>
      </c>
      <c r="H127" s="12">
        <f t="shared" si="13"/>
        <v>3.1407586262079002E-3</v>
      </c>
      <c r="I127" s="25">
        <f t="shared" si="14"/>
        <v>1279910.83</v>
      </c>
      <c r="J127" s="11">
        <f t="shared" si="17"/>
        <v>0.12044732038383908</v>
      </c>
      <c r="K127" s="25">
        <f t="shared" si="18"/>
        <v>32717740.049999982</v>
      </c>
      <c r="L127" s="25">
        <f t="shared" si="20"/>
        <v>0</v>
      </c>
      <c r="M127" s="25">
        <f t="shared" si="19"/>
        <v>-2282259.9500000202</v>
      </c>
      <c r="N127" s="12">
        <f t="shared" si="16"/>
        <v>-5.6004117296291449E-3</v>
      </c>
    </row>
    <row r="128" spans="1:14">
      <c r="A128" s="15">
        <v>41743</v>
      </c>
      <c r="B128" s="14">
        <v>566072.26</v>
      </c>
      <c r="C128" s="13">
        <v>-939528.05</v>
      </c>
      <c r="D128" s="27">
        <v>381408088.08000004</v>
      </c>
      <c r="E128" s="3">
        <f t="shared" si="15"/>
        <v>41743</v>
      </c>
      <c r="F128" s="12">
        <f t="shared" si="11"/>
        <v>9.7915015877080187E-4</v>
      </c>
      <c r="G128" s="25">
        <f t="shared" si="12"/>
        <v>373455.79000000004</v>
      </c>
      <c r="H128" s="12">
        <f t="shared" si="13"/>
        <v>-9.7915015877080187E-4</v>
      </c>
      <c r="I128" s="25">
        <f t="shared" si="14"/>
        <v>-373455.79000000004</v>
      </c>
      <c r="J128" s="11">
        <f t="shared" si="17"/>
        <v>0.11946817022506828</v>
      </c>
      <c r="K128" s="25">
        <f t="shared" si="18"/>
        <v>32344284.259999983</v>
      </c>
      <c r="L128" s="25">
        <f t="shared" si="20"/>
        <v>0</v>
      </c>
      <c r="M128" s="25">
        <f t="shared" si="19"/>
        <v>-2655715.7400000202</v>
      </c>
      <c r="N128" s="12">
        <f t="shared" si="16"/>
        <v>-6.9629245498406579E-3</v>
      </c>
    </row>
    <row r="129" spans="1:14">
      <c r="A129" s="15">
        <v>41744</v>
      </c>
      <c r="B129" s="14">
        <v>2659333.9300000002</v>
      </c>
      <c r="C129" s="13">
        <v>-442836.77999999997</v>
      </c>
      <c r="D129" s="27">
        <v>402096550.07999998</v>
      </c>
      <c r="E129" s="3">
        <f t="shared" si="15"/>
        <v>41744</v>
      </c>
      <c r="F129" s="12">
        <f t="shared" si="11"/>
        <v>5.512350577389964E-3</v>
      </c>
      <c r="G129" s="25">
        <f t="shared" si="12"/>
        <v>2216497.1500000004</v>
      </c>
      <c r="H129" s="12">
        <f t="shared" si="13"/>
        <v>5.512350577389964E-3</v>
      </c>
      <c r="I129" s="25">
        <f t="shared" si="14"/>
        <v>2216497.1500000004</v>
      </c>
      <c r="J129" s="11">
        <f t="shared" si="17"/>
        <v>0.12498052080245825</v>
      </c>
      <c r="K129" s="25">
        <f t="shared" si="18"/>
        <v>34560781.409999982</v>
      </c>
      <c r="L129" s="25">
        <f t="shared" si="20"/>
        <v>0</v>
      </c>
      <c r="M129" s="25">
        <f t="shared" si="19"/>
        <v>-439218.59000001987</v>
      </c>
      <c r="N129" s="12">
        <f t="shared" si="16"/>
        <v>-1.0923212097010884E-3</v>
      </c>
    </row>
    <row r="130" spans="1:14">
      <c r="A130" s="15">
        <v>41745</v>
      </c>
      <c r="B130" s="14">
        <v>1449439.03</v>
      </c>
      <c r="C130" s="13">
        <v>-606186.15999999992</v>
      </c>
      <c r="D130" s="27">
        <v>405379072.39999998</v>
      </c>
      <c r="E130" s="3">
        <f t="shared" si="15"/>
        <v>41745</v>
      </c>
      <c r="F130" s="12">
        <f t="shared" si="11"/>
        <v>2.0801588621919206E-3</v>
      </c>
      <c r="G130" s="25">
        <f t="shared" si="12"/>
        <v>843252.87000000011</v>
      </c>
      <c r="H130" s="12">
        <f t="shared" si="13"/>
        <v>2.0801588621919206E-3</v>
      </c>
      <c r="I130" s="25">
        <f t="shared" si="14"/>
        <v>843252.87000000011</v>
      </c>
      <c r="J130" s="11">
        <f t="shared" si="17"/>
        <v>0.12706067966465018</v>
      </c>
      <c r="K130" s="25">
        <f t="shared" si="18"/>
        <v>35404034.279999979</v>
      </c>
      <c r="L130" s="25">
        <f t="shared" si="20"/>
        <v>0</v>
      </c>
      <c r="M130" s="25">
        <f t="shared" si="19"/>
        <v>404034.27999998024</v>
      </c>
      <c r="N130" s="12">
        <f t="shared" si="16"/>
        <v>9.9668262993435233E-4</v>
      </c>
    </row>
    <row r="131" spans="1:14">
      <c r="A131" s="15">
        <v>41746</v>
      </c>
      <c r="B131" s="14">
        <v>8980481.410000002</v>
      </c>
      <c r="C131" s="13">
        <v>-326756.71999999997</v>
      </c>
      <c r="D131" s="27">
        <v>423612923.66999996</v>
      </c>
      <c r="E131" s="3">
        <f t="shared" si="15"/>
        <v>41746</v>
      </c>
      <c r="F131" s="12">
        <f t="shared" ref="F131:F194" si="21">G131/GETPIVOTDATA("Sum of A_OUTSTANDING",$A$1,"D_H_PROCESSED",A131)</f>
        <v>2.0428377432463243E-2</v>
      </c>
      <c r="G131" s="25">
        <f t="shared" ref="G131:G194" si="22">ABS(GETPIVOTDATA("Sum of A_SHARE_SUB",$A$1,"D_H_PROCESSED",A131)+GETPIVOTDATA("Sum of A_SHARE_RED",$A$1,"D_H_PROCESSED",A131))</f>
        <v>8653724.6900000013</v>
      </c>
      <c r="H131" s="12">
        <f t="shared" ref="H131:H194" si="23">I131/GETPIVOTDATA("Sum of A_OUTSTANDING",$A$1,"D_H_PROCESSED",A131)</f>
        <v>2.0428377432463243E-2</v>
      </c>
      <c r="I131" s="25">
        <f t="shared" ref="I131:I194" si="24">GETPIVOTDATA("Sum of A_SHARE_SUB",$A$1,"D_H_PROCESSED",A131)+GETPIVOTDATA("Sum of A_SHARE_RED",$A$1,"D_H_PROCESSED",A131)</f>
        <v>8653724.6900000013</v>
      </c>
      <c r="J131" s="11">
        <f t="shared" si="17"/>
        <v>0.14748905709711341</v>
      </c>
      <c r="K131" s="25">
        <f t="shared" si="18"/>
        <v>44057758.969999984</v>
      </c>
      <c r="L131" s="25">
        <f t="shared" si="20"/>
        <v>0</v>
      </c>
      <c r="M131" s="25">
        <f t="shared" si="19"/>
        <v>9057758.969999982</v>
      </c>
      <c r="N131" s="12">
        <f t="shared" si="16"/>
        <v>2.1382159192707008E-2</v>
      </c>
    </row>
    <row r="132" spans="1:14">
      <c r="A132" s="15">
        <v>41751</v>
      </c>
      <c r="B132" s="14">
        <v>257945.05</v>
      </c>
      <c r="C132" s="13">
        <v>-2572265.6399999997</v>
      </c>
      <c r="D132" s="27">
        <v>395267447.29000008</v>
      </c>
      <c r="E132" s="3">
        <f t="shared" ref="E132:E195" si="25">A132</f>
        <v>41751</v>
      </c>
      <c r="F132" s="12">
        <f t="shared" si="21"/>
        <v>5.8550751038752439E-3</v>
      </c>
      <c r="G132" s="25">
        <f t="shared" si="22"/>
        <v>2314320.59</v>
      </c>
      <c r="H132" s="12">
        <f t="shared" si="23"/>
        <v>-5.8550751038752439E-3</v>
      </c>
      <c r="I132" s="25">
        <f t="shared" si="24"/>
        <v>-2314320.59</v>
      </c>
      <c r="J132" s="11">
        <f t="shared" si="17"/>
        <v>0.14163398199323815</v>
      </c>
      <c r="K132" s="25">
        <f t="shared" si="18"/>
        <v>41743438.37999998</v>
      </c>
      <c r="L132" s="25">
        <f t="shared" si="20"/>
        <v>0</v>
      </c>
      <c r="M132" s="25">
        <f t="shared" si="19"/>
        <v>6743438.3799999822</v>
      </c>
      <c r="N132" s="12">
        <f t="shared" ref="N132:N195" si="26">M132/GETPIVOTDATA("Sum of A_OUTSTANDING",$A$1,"D_H_PROCESSED",A132)</f>
        <v>1.7060444583114006E-2</v>
      </c>
    </row>
    <row r="133" spans="1:14">
      <c r="A133" s="15">
        <v>41752</v>
      </c>
      <c r="B133" s="14">
        <v>2387542.04</v>
      </c>
      <c r="C133" s="13">
        <v>-1049625.9400000002</v>
      </c>
      <c r="D133" s="27">
        <v>435834639.59000003</v>
      </c>
      <c r="E133" s="3">
        <f t="shared" si="25"/>
        <v>41752</v>
      </c>
      <c r="F133" s="12">
        <f t="shared" si="21"/>
        <v>3.0697791741808528E-3</v>
      </c>
      <c r="G133" s="25">
        <f t="shared" si="22"/>
        <v>1337916.0999999999</v>
      </c>
      <c r="H133" s="12">
        <f t="shared" si="23"/>
        <v>3.0697791741808528E-3</v>
      </c>
      <c r="I133" s="25">
        <f t="shared" si="24"/>
        <v>1337916.0999999999</v>
      </c>
      <c r="J133" s="11">
        <f t="shared" ref="J133:J196" si="27">J132+H133</f>
        <v>0.14470376116741901</v>
      </c>
      <c r="K133" s="25">
        <f t="shared" ref="K133:K196" si="28">K132+I133</f>
        <v>43081354.479999982</v>
      </c>
      <c r="L133" s="25">
        <f t="shared" si="20"/>
        <v>0</v>
      </c>
      <c r="M133" s="25">
        <f t="shared" ref="M133:M196" si="29">M132+L133+I133</f>
        <v>8081354.4799999818</v>
      </c>
      <c r="N133" s="12">
        <f t="shared" si="26"/>
        <v>1.8542249160374915E-2</v>
      </c>
    </row>
    <row r="134" spans="1:14">
      <c r="A134" s="15">
        <v>41753</v>
      </c>
      <c r="B134" s="14">
        <v>2520938.52</v>
      </c>
      <c r="C134" s="13">
        <v>-538702.28999999992</v>
      </c>
      <c r="D134" s="27">
        <v>423435823.74999994</v>
      </c>
      <c r="E134" s="3">
        <f t="shared" si="25"/>
        <v>41753</v>
      </c>
      <c r="F134" s="12">
        <f t="shared" si="21"/>
        <v>4.6813144255133422E-3</v>
      </c>
      <c r="G134" s="25">
        <f t="shared" si="22"/>
        <v>1982236.23</v>
      </c>
      <c r="H134" s="12">
        <f t="shared" si="23"/>
        <v>4.6813144255133422E-3</v>
      </c>
      <c r="I134" s="25">
        <f t="shared" si="24"/>
        <v>1982236.23</v>
      </c>
      <c r="J134" s="11">
        <f t="shared" si="27"/>
        <v>0.14938507559293235</v>
      </c>
      <c r="K134" s="25">
        <f t="shared" si="28"/>
        <v>45063590.709999979</v>
      </c>
      <c r="L134" s="25">
        <f t="shared" si="20"/>
        <v>0</v>
      </c>
      <c r="M134" s="25">
        <f t="shared" si="29"/>
        <v>10063590.709999982</v>
      </c>
      <c r="N134" s="12">
        <f t="shared" si="26"/>
        <v>2.3766507568669038E-2</v>
      </c>
    </row>
    <row r="135" spans="1:14">
      <c r="A135" s="15">
        <v>41754</v>
      </c>
      <c r="B135" s="14">
        <v>5582263.25</v>
      </c>
      <c r="C135" s="13">
        <v>-9706476.2799999993</v>
      </c>
      <c r="D135" s="27">
        <v>416531760.06999999</v>
      </c>
      <c r="E135" s="3">
        <f t="shared" si="25"/>
        <v>41754</v>
      </c>
      <c r="F135" s="12">
        <f t="shared" si="21"/>
        <v>9.9013170791752043E-3</v>
      </c>
      <c r="G135" s="25">
        <f t="shared" si="22"/>
        <v>4124213.0299999993</v>
      </c>
      <c r="H135" s="12">
        <f t="shared" si="23"/>
        <v>-9.9013170791752043E-3</v>
      </c>
      <c r="I135" s="25">
        <f t="shared" si="24"/>
        <v>-4124213.0299999993</v>
      </c>
      <c r="J135" s="11">
        <f t="shared" si="27"/>
        <v>0.13948375851375713</v>
      </c>
      <c r="K135" s="25">
        <f t="shared" si="28"/>
        <v>40939377.679999977</v>
      </c>
      <c r="L135" s="25">
        <f t="shared" si="20"/>
        <v>0</v>
      </c>
      <c r="M135" s="25">
        <f t="shared" si="29"/>
        <v>5939377.6799999829</v>
      </c>
      <c r="N135" s="12">
        <f t="shared" si="26"/>
        <v>1.4259123191474869E-2</v>
      </c>
    </row>
    <row r="136" spans="1:14">
      <c r="A136" s="15">
        <v>41757</v>
      </c>
      <c r="B136" s="14">
        <v>447090.51999999996</v>
      </c>
      <c r="C136" s="13">
        <v>-2526439.9099999997</v>
      </c>
      <c r="D136" s="27">
        <v>412707109.66999996</v>
      </c>
      <c r="E136" s="3">
        <f t="shared" si="25"/>
        <v>41757</v>
      </c>
      <c r="F136" s="12">
        <f t="shared" si="21"/>
        <v>5.0383173472893271E-3</v>
      </c>
      <c r="G136" s="25">
        <f t="shared" si="22"/>
        <v>2079349.3899999997</v>
      </c>
      <c r="H136" s="12">
        <f t="shared" si="23"/>
        <v>-5.0383173472893271E-3</v>
      </c>
      <c r="I136" s="25">
        <f t="shared" si="24"/>
        <v>-2079349.3899999997</v>
      </c>
      <c r="J136" s="11">
        <f t="shared" si="27"/>
        <v>0.13444544116646781</v>
      </c>
      <c r="K136" s="25">
        <f t="shared" si="28"/>
        <v>38860028.289999977</v>
      </c>
      <c r="L136" s="25">
        <f t="shared" ref="L136:L199" si="30">CorrectNCCF($N$1,M135+I136,GETPIVOTDATA("Sum of A_OUTSTANDING",$A$1,"D_H_PROCESSED",E136),$O$1)</f>
        <v>0</v>
      </c>
      <c r="M136" s="25">
        <f t="shared" si="29"/>
        <v>3860028.2899999833</v>
      </c>
      <c r="N136" s="12">
        <f t="shared" si="26"/>
        <v>9.3529483732094094E-3</v>
      </c>
    </row>
    <row r="137" spans="1:14">
      <c r="A137" s="15">
        <v>41758</v>
      </c>
      <c r="B137" s="14">
        <v>207104.75</v>
      </c>
      <c r="C137" s="13">
        <v>-2673023.7300000004</v>
      </c>
      <c r="D137" s="27">
        <v>424428659.04999995</v>
      </c>
      <c r="E137" s="3">
        <f t="shared" si="25"/>
        <v>41758</v>
      </c>
      <c r="F137" s="12">
        <f t="shared" si="21"/>
        <v>5.8099728362346571E-3</v>
      </c>
      <c r="G137" s="25">
        <f t="shared" si="22"/>
        <v>2465918.9800000004</v>
      </c>
      <c r="H137" s="12">
        <f t="shared" si="23"/>
        <v>-5.8099728362346571E-3</v>
      </c>
      <c r="I137" s="25">
        <f t="shared" si="24"/>
        <v>-2465918.9800000004</v>
      </c>
      <c r="J137" s="11">
        <f t="shared" si="27"/>
        <v>0.12863546833023315</v>
      </c>
      <c r="K137" s="25">
        <f t="shared" si="28"/>
        <v>36394109.309999973</v>
      </c>
      <c r="L137" s="25">
        <f t="shared" si="30"/>
        <v>0</v>
      </c>
      <c r="M137" s="25">
        <f t="shared" si="29"/>
        <v>1394109.3099999828</v>
      </c>
      <c r="N137" s="12">
        <f t="shared" si="26"/>
        <v>3.2846728897158411E-3</v>
      </c>
    </row>
    <row r="138" spans="1:14">
      <c r="A138" s="15">
        <v>41759</v>
      </c>
      <c r="B138" s="14">
        <v>483571.9</v>
      </c>
      <c r="C138" s="13">
        <v>-1968549.81</v>
      </c>
      <c r="D138" s="27">
        <v>376347286.41999996</v>
      </c>
      <c r="E138" s="3">
        <f t="shared" si="25"/>
        <v>41759</v>
      </c>
      <c r="F138" s="12">
        <f t="shared" si="21"/>
        <v>3.9457648921182309E-3</v>
      </c>
      <c r="G138" s="25">
        <f t="shared" si="22"/>
        <v>1484977.9100000001</v>
      </c>
      <c r="H138" s="12">
        <f t="shared" si="23"/>
        <v>-3.9457648921182309E-3</v>
      </c>
      <c r="I138" s="25">
        <f t="shared" si="24"/>
        <v>-1484977.9100000001</v>
      </c>
      <c r="J138" s="11">
        <f t="shared" si="27"/>
        <v>0.12468970343811492</v>
      </c>
      <c r="K138" s="25">
        <f t="shared" si="28"/>
        <v>34909131.399999976</v>
      </c>
      <c r="L138" s="25">
        <f t="shared" si="30"/>
        <v>0</v>
      </c>
      <c r="M138" s="25">
        <f t="shared" si="29"/>
        <v>-90868.600000017323</v>
      </c>
      <c r="N138" s="12">
        <f t="shared" si="26"/>
        <v>-2.4144879816831956E-4</v>
      </c>
    </row>
    <row r="139" spans="1:14">
      <c r="A139" s="15">
        <v>41760</v>
      </c>
      <c r="B139" s="14">
        <v>1201659.1300000001</v>
      </c>
      <c r="C139" s="13">
        <v>-1492823.33</v>
      </c>
      <c r="D139" s="27">
        <v>424297648.26999998</v>
      </c>
      <c r="E139" s="3">
        <f t="shared" si="25"/>
        <v>41760</v>
      </c>
      <c r="F139" s="12">
        <f t="shared" si="21"/>
        <v>6.8622628757706162E-4</v>
      </c>
      <c r="G139" s="25">
        <f t="shared" si="22"/>
        <v>291164.19999999995</v>
      </c>
      <c r="H139" s="12">
        <f t="shared" si="23"/>
        <v>-6.8622628757706162E-4</v>
      </c>
      <c r="I139" s="25">
        <f t="shared" si="24"/>
        <v>-291164.19999999995</v>
      </c>
      <c r="J139" s="11">
        <f t="shared" si="27"/>
        <v>0.12400347715053786</v>
      </c>
      <c r="K139" s="25">
        <f t="shared" si="28"/>
        <v>34617967.199999973</v>
      </c>
      <c r="L139" s="25">
        <f t="shared" si="30"/>
        <v>0</v>
      </c>
      <c r="M139" s="25">
        <f t="shared" si="29"/>
        <v>-382032.80000001728</v>
      </c>
      <c r="N139" s="12">
        <f t="shared" si="26"/>
        <v>-9.0038868128939601E-4</v>
      </c>
    </row>
    <row r="140" spans="1:14">
      <c r="A140" s="15">
        <v>41761</v>
      </c>
      <c r="B140" s="14">
        <v>193238.66</v>
      </c>
      <c r="C140" s="13">
        <v>-373427.39000000007</v>
      </c>
      <c r="D140" s="27">
        <v>370127279.74000001</v>
      </c>
      <c r="E140" s="3">
        <f t="shared" si="25"/>
        <v>41761</v>
      </c>
      <c r="F140" s="12">
        <f t="shared" si="21"/>
        <v>4.8682909869971115E-4</v>
      </c>
      <c r="G140" s="25">
        <f t="shared" si="22"/>
        <v>180188.73000000007</v>
      </c>
      <c r="H140" s="12">
        <f t="shared" si="23"/>
        <v>-4.8682909869971115E-4</v>
      </c>
      <c r="I140" s="25">
        <f t="shared" si="24"/>
        <v>-180188.73000000007</v>
      </c>
      <c r="J140" s="11">
        <f t="shared" si="27"/>
        <v>0.12351664805183815</v>
      </c>
      <c r="K140" s="25">
        <f t="shared" si="28"/>
        <v>34437778.469999976</v>
      </c>
      <c r="L140" s="25">
        <f t="shared" si="30"/>
        <v>0</v>
      </c>
      <c r="M140" s="25">
        <f t="shared" si="29"/>
        <v>-562221.53000001737</v>
      </c>
      <c r="N140" s="12">
        <f t="shared" si="26"/>
        <v>-1.5189951153964012E-3</v>
      </c>
    </row>
    <row r="141" spans="1:14">
      <c r="A141" s="15">
        <v>41765</v>
      </c>
      <c r="B141" s="14">
        <v>2211181.2400000002</v>
      </c>
      <c r="C141" s="13">
        <v>-114027.51999999999</v>
      </c>
      <c r="D141" s="27">
        <v>411222883.69</v>
      </c>
      <c r="E141" s="3">
        <f t="shared" si="25"/>
        <v>41765</v>
      </c>
      <c r="F141" s="12">
        <f t="shared" si="21"/>
        <v>5.0997981950365815E-3</v>
      </c>
      <c r="G141" s="25">
        <f t="shared" si="22"/>
        <v>2097153.7200000002</v>
      </c>
      <c r="H141" s="12">
        <f t="shared" si="23"/>
        <v>5.0997981950365815E-3</v>
      </c>
      <c r="I141" s="25">
        <f t="shared" si="24"/>
        <v>2097153.7200000002</v>
      </c>
      <c r="J141" s="11">
        <f t="shared" si="27"/>
        <v>0.12861644624687474</v>
      </c>
      <c r="K141" s="25">
        <f t="shared" si="28"/>
        <v>36534932.189999975</v>
      </c>
      <c r="L141" s="25">
        <f t="shared" si="30"/>
        <v>0</v>
      </c>
      <c r="M141" s="25">
        <f t="shared" si="29"/>
        <v>1534932.1899999827</v>
      </c>
      <c r="N141" s="12">
        <f t="shared" si="26"/>
        <v>3.7326040229733177E-3</v>
      </c>
    </row>
    <row r="142" spans="1:14">
      <c r="A142" s="15">
        <v>41766</v>
      </c>
      <c r="B142" s="14">
        <v>2157867.0900000003</v>
      </c>
      <c r="C142" s="13">
        <v>-355597.68</v>
      </c>
      <c r="D142" s="27">
        <v>415251895.90999991</v>
      </c>
      <c r="E142" s="3">
        <f t="shared" si="25"/>
        <v>41766</v>
      </c>
      <c r="F142" s="12">
        <f t="shared" si="21"/>
        <v>4.3401834591277029E-3</v>
      </c>
      <c r="G142" s="25">
        <f t="shared" si="22"/>
        <v>1802269.4100000004</v>
      </c>
      <c r="H142" s="12">
        <f t="shared" si="23"/>
        <v>4.3401834591277029E-3</v>
      </c>
      <c r="I142" s="25">
        <f t="shared" si="24"/>
        <v>1802269.4100000004</v>
      </c>
      <c r="J142" s="11">
        <f t="shared" si="27"/>
        <v>0.13295662970600244</v>
      </c>
      <c r="K142" s="25">
        <f t="shared" si="28"/>
        <v>38337201.599999979</v>
      </c>
      <c r="L142" s="25">
        <f t="shared" si="30"/>
        <v>0</v>
      </c>
      <c r="M142" s="25">
        <f t="shared" si="29"/>
        <v>3337201.5999999829</v>
      </c>
      <c r="N142" s="12">
        <f t="shared" si="26"/>
        <v>8.0365716156134658E-3</v>
      </c>
    </row>
    <row r="143" spans="1:14">
      <c r="A143" s="15">
        <v>41767</v>
      </c>
      <c r="B143" s="14">
        <v>2663466.0099999993</v>
      </c>
      <c r="C143" s="13">
        <v>-762823.02999999991</v>
      </c>
      <c r="D143" s="27">
        <v>432685072.19</v>
      </c>
      <c r="E143" s="3">
        <f t="shared" si="25"/>
        <v>41767</v>
      </c>
      <c r="F143" s="12">
        <f t="shared" si="21"/>
        <v>4.3926705637891573E-3</v>
      </c>
      <c r="G143" s="25">
        <f t="shared" si="22"/>
        <v>1900642.9799999995</v>
      </c>
      <c r="H143" s="12">
        <f t="shared" si="23"/>
        <v>4.3926705637891573E-3</v>
      </c>
      <c r="I143" s="25">
        <f t="shared" si="24"/>
        <v>1900642.9799999995</v>
      </c>
      <c r="J143" s="11">
        <f t="shared" si="27"/>
        <v>0.13734930026979161</v>
      </c>
      <c r="K143" s="25">
        <f t="shared" si="28"/>
        <v>40237844.579999976</v>
      </c>
      <c r="L143" s="25">
        <f t="shared" si="30"/>
        <v>0</v>
      </c>
      <c r="M143" s="25">
        <f t="shared" si="29"/>
        <v>5237844.5799999824</v>
      </c>
      <c r="N143" s="12">
        <f t="shared" si="26"/>
        <v>1.2105443234935427E-2</v>
      </c>
    </row>
    <row r="144" spans="1:14">
      <c r="A144" s="15">
        <v>41768</v>
      </c>
      <c r="B144" s="14">
        <v>2206837.71</v>
      </c>
      <c r="C144" s="13">
        <v>-1213942.6299999999</v>
      </c>
      <c r="D144" s="27">
        <v>411010486.98000002</v>
      </c>
      <c r="E144" s="3">
        <f t="shared" si="25"/>
        <v>41768</v>
      </c>
      <c r="F144" s="12">
        <f t="shared" si="21"/>
        <v>2.4157414748600193E-3</v>
      </c>
      <c r="G144" s="25">
        <f t="shared" si="22"/>
        <v>992895.08000000007</v>
      </c>
      <c r="H144" s="12">
        <f t="shared" si="23"/>
        <v>2.4157414748600193E-3</v>
      </c>
      <c r="I144" s="25">
        <f t="shared" si="24"/>
        <v>992895.08000000007</v>
      </c>
      <c r="J144" s="11">
        <f t="shared" si="27"/>
        <v>0.13976504174465162</v>
      </c>
      <c r="K144" s="25">
        <f t="shared" si="28"/>
        <v>41230739.659999974</v>
      </c>
      <c r="L144" s="25">
        <f t="shared" si="30"/>
        <v>0</v>
      </c>
      <c r="M144" s="25">
        <f t="shared" si="29"/>
        <v>6230739.6599999825</v>
      </c>
      <c r="N144" s="12">
        <f t="shared" si="26"/>
        <v>1.5159563703062335E-2</v>
      </c>
    </row>
    <row r="145" spans="1:14">
      <c r="A145" s="15">
        <v>41771</v>
      </c>
      <c r="B145" s="14">
        <v>2816677.4200000009</v>
      </c>
      <c r="C145" s="13">
        <v>-415784.69</v>
      </c>
      <c r="D145" s="27">
        <v>426249221.17000002</v>
      </c>
      <c r="E145" s="3">
        <f t="shared" si="25"/>
        <v>41771</v>
      </c>
      <c r="F145" s="12">
        <f t="shared" si="21"/>
        <v>5.6326032066635924E-3</v>
      </c>
      <c r="G145" s="25">
        <f t="shared" si="22"/>
        <v>2400892.7300000009</v>
      </c>
      <c r="H145" s="12">
        <f t="shared" si="23"/>
        <v>5.6326032066635924E-3</v>
      </c>
      <c r="I145" s="25">
        <f t="shared" si="24"/>
        <v>2400892.7300000009</v>
      </c>
      <c r="J145" s="11">
        <f t="shared" si="27"/>
        <v>0.14539764495131521</v>
      </c>
      <c r="K145" s="25">
        <f t="shared" si="28"/>
        <v>43631632.389999978</v>
      </c>
      <c r="L145" s="25">
        <f t="shared" si="30"/>
        <v>0</v>
      </c>
      <c r="M145" s="25">
        <f t="shared" si="29"/>
        <v>8631632.3899999838</v>
      </c>
      <c r="N145" s="12">
        <f t="shared" si="26"/>
        <v>2.0250200965311441E-2</v>
      </c>
    </row>
    <row r="146" spans="1:14">
      <c r="A146" s="15">
        <v>41772</v>
      </c>
      <c r="B146" s="14">
        <v>5039975.1500000004</v>
      </c>
      <c r="C146" s="13">
        <v>-2862272.39</v>
      </c>
      <c r="D146" s="27">
        <v>429782554.44</v>
      </c>
      <c r="E146" s="3">
        <f t="shared" si="25"/>
        <v>41772</v>
      </c>
      <c r="F146" s="12">
        <f t="shared" si="21"/>
        <v>5.066987334647664E-3</v>
      </c>
      <c r="G146" s="25">
        <f t="shared" si="22"/>
        <v>2177702.7600000002</v>
      </c>
      <c r="H146" s="12">
        <f t="shared" si="23"/>
        <v>5.066987334647664E-3</v>
      </c>
      <c r="I146" s="25">
        <f t="shared" si="24"/>
        <v>2177702.7600000002</v>
      </c>
      <c r="J146" s="11">
        <f t="shared" si="27"/>
        <v>0.15046463228596288</v>
      </c>
      <c r="K146" s="25">
        <f t="shared" si="28"/>
        <v>45809335.149999976</v>
      </c>
      <c r="L146" s="25">
        <f t="shared" si="30"/>
        <v>0</v>
      </c>
      <c r="M146" s="25">
        <f t="shared" si="29"/>
        <v>10809335.149999984</v>
      </c>
      <c r="N146" s="12">
        <f t="shared" si="26"/>
        <v>2.5150707115332727E-2</v>
      </c>
    </row>
    <row r="147" spans="1:14">
      <c r="A147" s="15">
        <v>41773</v>
      </c>
      <c r="B147" s="14">
        <v>3766362.48</v>
      </c>
      <c r="C147" s="13">
        <v>-333381.26</v>
      </c>
      <c r="D147" s="27">
        <v>425957335.70999998</v>
      </c>
      <c r="E147" s="3">
        <f t="shared" si="25"/>
        <v>41773</v>
      </c>
      <c r="F147" s="12">
        <f t="shared" si="21"/>
        <v>8.0594485226502584E-3</v>
      </c>
      <c r="G147" s="25">
        <f t="shared" si="22"/>
        <v>3432981.2199999997</v>
      </c>
      <c r="H147" s="12">
        <f t="shared" si="23"/>
        <v>8.0594485226502584E-3</v>
      </c>
      <c r="I147" s="25">
        <f t="shared" si="24"/>
        <v>3432981.2199999997</v>
      </c>
      <c r="J147" s="11">
        <f t="shared" si="27"/>
        <v>0.15852408080861313</v>
      </c>
      <c r="K147" s="25">
        <f t="shared" si="28"/>
        <v>49242316.369999975</v>
      </c>
      <c r="L147" s="25">
        <f t="shared" si="30"/>
        <v>0</v>
      </c>
      <c r="M147" s="25">
        <f t="shared" si="29"/>
        <v>14242316.369999982</v>
      </c>
      <c r="N147" s="12">
        <f t="shared" si="26"/>
        <v>3.3436016182842379E-2</v>
      </c>
    </row>
    <row r="148" spans="1:14">
      <c r="A148" s="15">
        <v>41774</v>
      </c>
      <c r="B148" s="14">
        <v>7105288.6800000006</v>
      </c>
      <c r="C148" s="13">
        <v>-1000652.9500000001</v>
      </c>
      <c r="D148" s="27">
        <v>430908212.45999998</v>
      </c>
      <c r="E148" s="3">
        <f t="shared" si="25"/>
        <v>41774</v>
      </c>
      <c r="F148" s="12">
        <f t="shared" si="21"/>
        <v>1.4166905047247566E-2</v>
      </c>
      <c r="G148" s="25">
        <f t="shared" si="22"/>
        <v>6104635.7300000004</v>
      </c>
      <c r="H148" s="12">
        <f t="shared" si="23"/>
        <v>1.4166905047247566E-2</v>
      </c>
      <c r="I148" s="25">
        <f t="shared" si="24"/>
        <v>6104635.7300000004</v>
      </c>
      <c r="J148" s="11">
        <f t="shared" si="27"/>
        <v>0.17269098585586071</v>
      </c>
      <c r="K148" s="25">
        <f t="shared" si="28"/>
        <v>55346952.099999979</v>
      </c>
      <c r="L148" s="25">
        <f t="shared" si="30"/>
        <v>-20000000</v>
      </c>
      <c r="M148" s="25">
        <f t="shared" si="29"/>
        <v>346952.09999998286</v>
      </c>
      <c r="N148" s="12">
        <f t="shared" si="26"/>
        <v>8.0516474267055063E-4</v>
      </c>
    </row>
    <row r="149" spans="1:14">
      <c r="A149" s="15">
        <v>41775</v>
      </c>
      <c r="B149" s="14">
        <v>1074680.4099999999</v>
      </c>
      <c r="C149" s="13">
        <v>-2251689.59</v>
      </c>
      <c r="D149" s="27">
        <v>427371251.64999998</v>
      </c>
      <c r="E149" s="3">
        <f t="shared" si="25"/>
        <v>41775</v>
      </c>
      <c r="F149" s="12">
        <f t="shared" si="21"/>
        <v>2.7540672786383947E-3</v>
      </c>
      <c r="G149" s="25">
        <f t="shared" si="22"/>
        <v>1177009.18</v>
      </c>
      <c r="H149" s="12">
        <f t="shared" si="23"/>
        <v>-2.7540672786383947E-3</v>
      </c>
      <c r="I149" s="25">
        <f t="shared" si="24"/>
        <v>-1177009.18</v>
      </c>
      <c r="J149" s="11">
        <f t="shared" si="27"/>
        <v>0.16993691857722232</v>
      </c>
      <c r="K149" s="25">
        <f t="shared" si="28"/>
        <v>54169942.919999979</v>
      </c>
      <c r="L149" s="25">
        <f t="shared" si="30"/>
        <v>0</v>
      </c>
      <c r="M149" s="25">
        <f t="shared" si="29"/>
        <v>-830057.08000001707</v>
      </c>
      <c r="N149" s="12">
        <f t="shared" si="26"/>
        <v>-1.9422389241094784E-3</v>
      </c>
    </row>
    <row r="150" spans="1:14">
      <c r="A150" s="15">
        <v>41778</v>
      </c>
      <c r="B150" s="14">
        <v>372121.44000000006</v>
      </c>
      <c r="C150" s="13">
        <v>-9028969.3000000007</v>
      </c>
      <c r="D150" s="27">
        <v>433687778.77999997</v>
      </c>
      <c r="E150" s="3">
        <f t="shared" si="25"/>
        <v>41778</v>
      </c>
      <c r="F150" s="12">
        <f t="shared" si="21"/>
        <v>1.9961014083339952E-2</v>
      </c>
      <c r="G150" s="25">
        <f t="shared" si="22"/>
        <v>8656847.8600000013</v>
      </c>
      <c r="H150" s="12">
        <f t="shared" si="23"/>
        <v>-1.9961014083339952E-2</v>
      </c>
      <c r="I150" s="25">
        <f t="shared" si="24"/>
        <v>-8656847.8600000013</v>
      </c>
      <c r="J150" s="11">
        <f t="shared" si="27"/>
        <v>0.14997590449388237</v>
      </c>
      <c r="K150" s="25">
        <f t="shared" si="28"/>
        <v>45513095.05999998</v>
      </c>
      <c r="L150" s="25">
        <f t="shared" si="30"/>
        <v>0</v>
      </c>
      <c r="M150" s="25">
        <f t="shared" si="29"/>
        <v>-9486904.9400000181</v>
      </c>
      <c r="N150" s="12">
        <f t="shared" si="26"/>
        <v>-2.187496490375513E-2</v>
      </c>
    </row>
    <row r="151" spans="1:14">
      <c r="A151" s="15">
        <v>41779</v>
      </c>
      <c r="B151" s="14">
        <v>979793.96</v>
      </c>
      <c r="C151" s="13">
        <v>-14644302.26</v>
      </c>
      <c r="D151" s="27">
        <v>421620686.92000002</v>
      </c>
      <c r="E151" s="3">
        <f t="shared" si="25"/>
        <v>41779</v>
      </c>
      <c r="F151" s="12">
        <f t="shared" si="21"/>
        <v>3.2409482560785158E-2</v>
      </c>
      <c r="G151" s="25">
        <f t="shared" si="22"/>
        <v>13664508.300000001</v>
      </c>
      <c r="H151" s="12">
        <f t="shared" si="23"/>
        <v>-3.2409482560785158E-2</v>
      </c>
      <c r="I151" s="25">
        <f t="shared" si="24"/>
        <v>-13664508.300000001</v>
      </c>
      <c r="J151" s="11">
        <f t="shared" si="27"/>
        <v>0.11756642193309721</v>
      </c>
      <c r="K151" s="25">
        <f t="shared" si="28"/>
        <v>31848586.759999979</v>
      </c>
      <c r="L151" s="25">
        <f t="shared" si="30"/>
        <v>25000000</v>
      </c>
      <c r="M151" s="25">
        <f t="shared" si="29"/>
        <v>1848586.7599999812</v>
      </c>
      <c r="N151" s="12">
        <f t="shared" si="26"/>
        <v>4.3844783174757729E-3</v>
      </c>
    </row>
    <row r="152" spans="1:14">
      <c r="A152" s="15">
        <v>41780</v>
      </c>
      <c r="B152" s="14">
        <v>542464.07999999996</v>
      </c>
      <c r="C152" s="13">
        <v>-477362.12999999995</v>
      </c>
      <c r="D152" s="27">
        <v>377590526.00999999</v>
      </c>
      <c r="E152" s="3">
        <f t="shared" si="25"/>
        <v>41780</v>
      </c>
      <c r="F152" s="12">
        <f t="shared" si="21"/>
        <v>1.724141510856548E-4</v>
      </c>
      <c r="G152" s="25">
        <f t="shared" si="22"/>
        <v>65101.950000000012</v>
      </c>
      <c r="H152" s="12">
        <f t="shared" si="23"/>
        <v>1.724141510856548E-4</v>
      </c>
      <c r="I152" s="25">
        <f t="shared" si="24"/>
        <v>65101.950000000012</v>
      </c>
      <c r="J152" s="11">
        <f t="shared" si="27"/>
        <v>0.11773883608418287</v>
      </c>
      <c r="K152" s="25">
        <f t="shared" si="28"/>
        <v>31913688.709999979</v>
      </c>
      <c r="L152" s="25">
        <f t="shared" si="30"/>
        <v>0</v>
      </c>
      <c r="M152" s="25">
        <f t="shared" si="29"/>
        <v>1913688.7099999811</v>
      </c>
      <c r="N152" s="12">
        <f t="shared" si="26"/>
        <v>5.068158701495862E-3</v>
      </c>
    </row>
    <row r="153" spans="1:14">
      <c r="A153" s="15">
        <v>41781</v>
      </c>
      <c r="B153" s="14">
        <v>13347796.939999999</v>
      </c>
      <c r="C153" s="13">
        <v>-2465344.9500000002</v>
      </c>
      <c r="D153" s="27">
        <v>415829991.63999999</v>
      </c>
      <c r="E153" s="3">
        <f t="shared" si="25"/>
        <v>41781</v>
      </c>
      <c r="F153" s="12">
        <f t="shared" si="21"/>
        <v>2.6170435535639178E-2</v>
      </c>
      <c r="G153" s="25">
        <f t="shared" si="22"/>
        <v>10882451.989999998</v>
      </c>
      <c r="H153" s="12">
        <f t="shared" si="23"/>
        <v>2.6170435535639178E-2</v>
      </c>
      <c r="I153" s="25">
        <f t="shared" si="24"/>
        <v>10882451.989999998</v>
      </c>
      <c r="J153" s="11">
        <f t="shared" si="27"/>
        <v>0.14390927161982203</v>
      </c>
      <c r="K153" s="25">
        <f t="shared" si="28"/>
        <v>42796140.699999973</v>
      </c>
      <c r="L153" s="25">
        <f t="shared" si="30"/>
        <v>0</v>
      </c>
      <c r="M153" s="25">
        <f t="shared" si="29"/>
        <v>12796140.699999979</v>
      </c>
      <c r="N153" s="12">
        <f t="shared" si="26"/>
        <v>3.0772529536729737E-2</v>
      </c>
    </row>
    <row r="154" spans="1:14">
      <c r="A154" s="15">
        <v>41782</v>
      </c>
      <c r="B154" s="14">
        <v>961957.37</v>
      </c>
      <c r="C154" s="13">
        <v>-1211427.95</v>
      </c>
      <c r="D154" s="27">
        <v>373789335.07999998</v>
      </c>
      <c r="E154" s="3">
        <f t="shared" si="25"/>
        <v>41782</v>
      </c>
      <c r="F154" s="12">
        <f t="shared" si="21"/>
        <v>6.6740957161500391E-4</v>
      </c>
      <c r="G154" s="25">
        <f t="shared" si="22"/>
        <v>249470.57999999996</v>
      </c>
      <c r="H154" s="12">
        <f t="shared" si="23"/>
        <v>-6.6740957161500391E-4</v>
      </c>
      <c r="I154" s="25">
        <f t="shared" si="24"/>
        <v>-249470.57999999996</v>
      </c>
      <c r="J154" s="11">
        <f t="shared" si="27"/>
        <v>0.14324186204820702</v>
      </c>
      <c r="K154" s="25">
        <f t="shared" si="28"/>
        <v>42546670.119999975</v>
      </c>
      <c r="L154" s="25">
        <f t="shared" si="30"/>
        <v>0</v>
      </c>
      <c r="M154" s="25">
        <f t="shared" si="29"/>
        <v>12546670.119999979</v>
      </c>
      <c r="N154" s="12">
        <f t="shared" si="26"/>
        <v>3.3566153291438042E-2</v>
      </c>
    </row>
    <row r="155" spans="1:14">
      <c r="A155" s="15">
        <v>41786</v>
      </c>
      <c r="B155" s="14">
        <v>724041.35</v>
      </c>
      <c r="C155" s="13">
        <v>-333369.26999999996</v>
      </c>
      <c r="D155" s="27">
        <v>373266504.38999999</v>
      </c>
      <c r="E155" s="3">
        <f t="shared" si="25"/>
        <v>41786</v>
      </c>
      <c r="F155" s="12">
        <f t="shared" si="21"/>
        <v>1.0466304246571616E-3</v>
      </c>
      <c r="G155" s="25">
        <f t="shared" si="22"/>
        <v>390672.08</v>
      </c>
      <c r="H155" s="12">
        <f t="shared" si="23"/>
        <v>1.0466304246571616E-3</v>
      </c>
      <c r="I155" s="25">
        <f t="shared" si="24"/>
        <v>390672.08</v>
      </c>
      <c r="J155" s="11">
        <f t="shared" si="27"/>
        <v>0.14428849247286418</v>
      </c>
      <c r="K155" s="25">
        <f t="shared" si="28"/>
        <v>42937342.199999973</v>
      </c>
      <c r="L155" s="25">
        <f t="shared" si="30"/>
        <v>0</v>
      </c>
      <c r="M155" s="25">
        <f t="shared" si="29"/>
        <v>12937342.199999979</v>
      </c>
      <c r="N155" s="12">
        <f t="shared" si="26"/>
        <v>3.4659799494043693E-2</v>
      </c>
    </row>
    <row r="156" spans="1:14">
      <c r="A156" s="15">
        <v>41787</v>
      </c>
      <c r="B156" s="14">
        <v>9215782.9800000004</v>
      </c>
      <c r="C156" s="13">
        <v>-2766871.21</v>
      </c>
      <c r="D156" s="27">
        <v>442146654.62000006</v>
      </c>
      <c r="E156" s="3">
        <f t="shared" si="25"/>
        <v>41787</v>
      </c>
      <c r="F156" s="12">
        <f t="shared" si="21"/>
        <v>1.4585458699314312E-2</v>
      </c>
      <c r="G156" s="25">
        <f t="shared" si="22"/>
        <v>6448911.7700000005</v>
      </c>
      <c r="H156" s="12">
        <f t="shared" si="23"/>
        <v>1.4585458699314312E-2</v>
      </c>
      <c r="I156" s="25">
        <f t="shared" si="24"/>
        <v>6448911.7700000005</v>
      </c>
      <c r="J156" s="11">
        <f t="shared" si="27"/>
        <v>0.15887395117217851</v>
      </c>
      <c r="K156" s="25">
        <f t="shared" si="28"/>
        <v>49386253.969999976</v>
      </c>
      <c r="L156" s="25">
        <f t="shared" si="30"/>
        <v>-15000000</v>
      </c>
      <c r="M156" s="25">
        <f t="shared" si="29"/>
        <v>4386253.9699999793</v>
      </c>
      <c r="N156" s="12">
        <f t="shared" si="26"/>
        <v>9.9203599623969001E-3</v>
      </c>
    </row>
    <row r="157" spans="1:14">
      <c r="A157" s="15">
        <v>41788</v>
      </c>
      <c r="B157" s="14">
        <v>1400330.04</v>
      </c>
      <c r="C157" s="13">
        <v>-1173335.5</v>
      </c>
      <c r="D157" s="27">
        <v>435003554.89999992</v>
      </c>
      <c r="E157" s="3">
        <f t="shared" si="25"/>
        <v>41788</v>
      </c>
      <c r="F157" s="12">
        <f t="shared" si="21"/>
        <v>5.2182226430812109E-4</v>
      </c>
      <c r="G157" s="25">
        <f t="shared" si="22"/>
        <v>226994.54000000004</v>
      </c>
      <c r="H157" s="12">
        <f t="shared" si="23"/>
        <v>5.2182226430812109E-4</v>
      </c>
      <c r="I157" s="25">
        <f t="shared" si="24"/>
        <v>226994.54000000004</v>
      </c>
      <c r="J157" s="11">
        <f t="shared" si="27"/>
        <v>0.15939577343648662</v>
      </c>
      <c r="K157" s="25">
        <f t="shared" si="28"/>
        <v>49613248.509999976</v>
      </c>
      <c r="L157" s="25">
        <f t="shared" si="30"/>
        <v>0</v>
      </c>
      <c r="M157" s="25">
        <f t="shared" si="29"/>
        <v>4613248.5099999793</v>
      </c>
      <c r="N157" s="12">
        <f t="shared" si="26"/>
        <v>1.0605082321822607E-2</v>
      </c>
    </row>
    <row r="158" spans="1:14">
      <c r="A158" s="15">
        <v>41789</v>
      </c>
      <c r="B158" s="14">
        <v>146930.94</v>
      </c>
      <c r="C158" s="13">
        <v>-2347171.4700000002</v>
      </c>
      <c r="D158" s="27">
        <v>424502873.57999998</v>
      </c>
      <c r="E158" s="3">
        <f t="shared" si="25"/>
        <v>41789</v>
      </c>
      <c r="F158" s="12">
        <f t="shared" si="21"/>
        <v>5.1830992601875816E-3</v>
      </c>
      <c r="G158" s="25">
        <f t="shared" si="22"/>
        <v>2200240.5300000003</v>
      </c>
      <c r="H158" s="12">
        <f t="shared" si="23"/>
        <v>-5.1830992601875816E-3</v>
      </c>
      <c r="I158" s="25">
        <f t="shared" si="24"/>
        <v>-2200240.5300000003</v>
      </c>
      <c r="J158" s="11">
        <f t="shared" si="27"/>
        <v>0.15421267417629902</v>
      </c>
      <c r="K158" s="25">
        <f t="shared" si="28"/>
        <v>47413007.979999974</v>
      </c>
      <c r="L158" s="25">
        <f t="shared" si="30"/>
        <v>0</v>
      </c>
      <c r="M158" s="25">
        <f t="shared" si="29"/>
        <v>2413007.979999979</v>
      </c>
      <c r="N158" s="12">
        <f t="shared" si="26"/>
        <v>5.6843148307810778E-3</v>
      </c>
    </row>
    <row r="159" spans="1:14">
      <c r="A159" s="15">
        <v>41793</v>
      </c>
      <c r="B159" s="14">
        <v>1134884.9000000001</v>
      </c>
      <c r="C159" s="13">
        <v>-2183915.7999999998</v>
      </c>
      <c r="D159" s="27">
        <v>437143267.81000012</v>
      </c>
      <c r="E159" s="3">
        <f t="shared" si="25"/>
        <v>41793</v>
      </c>
      <c r="F159" s="12">
        <f t="shared" si="21"/>
        <v>2.3997416344884678E-3</v>
      </c>
      <c r="G159" s="25">
        <f t="shared" si="22"/>
        <v>1049030.8999999997</v>
      </c>
      <c r="H159" s="12">
        <f t="shared" si="23"/>
        <v>-2.3997416344884678E-3</v>
      </c>
      <c r="I159" s="25">
        <f t="shared" si="24"/>
        <v>-1049030.8999999997</v>
      </c>
      <c r="J159" s="11">
        <f t="shared" si="27"/>
        <v>0.15181293254181055</v>
      </c>
      <c r="K159" s="25">
        <f t="shared" si="28"/>
        <v>46363977.079999976</v>
      </c>
      <c r="L159" s="25">
        <f t="shared" si="30"/>
        <v>0</v>
      </c>
      <c r="M159" s="25">
        <f t="shared" si="29"/>
        <v>1363977.0799999794</v>
      </c>
      <c r="N159" s="12">
        <f t="shared" si="26"/>
        <v>3.1202060753062269E-3</v>
      </c>
    </row>
    <row r="160" spans="1:14">
      <c r="A160" s="15">
        <v>41794</v>
      </c>
      <c r="B160" s="14">
        <v>6156091.1399999997</v>
      </c>
      <c r="C160" s="13">
        <v>-15537983.16</v>
      </c>
      <c r="D160" s="27">
        <v>426536748.27000004</v>
      </c>
      <c r="E160" s="3">
        <f t="shared" si="25"/>
        <v>41794</v>
      </c>
      <c r="F160" s="12">
        <f t="shared" si="21"/>
        <v>2.1995506971092704E-2</v>
      </c>
      <c r="G160" s="25">
        <f t="shared" si="22"/>
        <v>9381892.0199999996</v>
      </c>
      <c r="H160" s="12">
        <f t="shared" si="23"/>
        <v>-2.1995506971092704E-2</v>
      </c>
      <c r="I160" s="25">
        <f t="shared" si="24"/>
        <v>-9381892.0199999996</v>
      </c>
      <c r="J160" s="11">
        <f t="shared" si="27"/>
        <v>0.12981742557071785</v>
      </c>
      <c r="K160" s="25">
        <f t="shared" si="28"/>
        <v>36982085.059999973</v>
      </c>
      <c r="L160" s="25">
        <f t="shared" si="30"/>
        <v>0</v>
      </c>
      <c r="M160" s="25">
        <f t="shared" si="29"/>
        <v>-8017914.94000002</v>
      </c>
      <c r="N160" s="12">
        <f t="shared" si="26"/>
        <v>-1.8797711973282633E-2</v>
      </c>
    </row>
    <row r="161" spans="1:14">
      <c r="A161" s="15">
        <v>41795</v>
      </c>
      <c r="B161" s="14">
        <v>3434004.29</v>
      </c>
      <c r="C161" s="13">
        <v>-580876.57999999996</v>
      </c>
      <c r="D161" s="27">
        <v>393660639.04000002</v>
      </c>
      <c r="E161" s="3">
        <f t="shared" si="25"/>
        <v>41795</v>
      </c>
      <c r="F161" s="12">
        <f t="shared" si="21"/>
        <v>7.2476834792469368E-3</v>
      </c>
      <c r="G161" s="25">
        <f t="shared" si="22"/>
        <v>2853127.71</v>
      </c>
      <c r="H161" s="12">
        <f t="shared" si="23"/>
        <v>7.2476834792469368E-3</v>
      </c>
      <c r="I161" s="25">
        <f t="shared" si="24"/>
        <v>2853127.71</v>
      </c>
      <c r="J161" s="11">
        <f t="shared" si="27"/>
        <v>0.13706510904996477</v>
      </c>
      <c r="K161" s="25">
        <f t="shared" si="28"/>
        <v>39835212.769999973</v>
      </c>
      <c r="L161" s="25">
        <f t="shared" si="30"/>
        <v>0</v>
      </c>
      <c r="M161" s="25">
        <f t="shared" si="29"/>
        <v>-5164787.23000002</v>
      </c>
      <c r="N161" s="12">
        <f t="shared" si="26"/>
        <v>-1.3119897489866198E-2</v>
      </c>
    </row>
    <row r="162" spans="1:14">
      <c r="A162" s="15">
        <v>41796</v>
      </c>
      <c r="B162" s="14">
        <v>746440.62999999989</v>
      </c>
      <c r="C162" s="13">
        <v>-1415844.1500000001</v>
      </c>
      <c r="D162" s="27">
        <v>432498202.51000005</v>
      </c>
      <c r="E162" s="3">
        <f t="shared" si="25"/>
        <v>41796</v>
      </c>
      <c r="F162" s="12">
        <f t="shared" si="21"/>
        <v>1.5477602360313221E-3</v>
      </c>
      <c r="G162" s="25">
        <f t="shared" si="22"/>
        <v>669403.52000000025</v>
      </c>
      <c r="H162" s="12">
        <f t="shared" si="23"/>
        <v>-1.5477602360313221E-3</v>
      </c>
      <c r="I162" s="25">
        <f t="shared" si="24"/>
        <v>-669403.52000000025</v>
      </c>
      <c r="J162" s="11">
        <f t="shared" si="27"/>
        <v>0.13551734881393346</v>
      </c>
      <c r="K162" s="25">
        <f t="shared" si="28"/>
        <v>39165809.24999997</v>
      </c>
      <c r="L162" s="25">
        <f t="shared" si="30"/>
        <v>0</v>
      </c>
      <c r="M162" s="25">
        <f t="shared" si="29"/>
        <v>-5834190.7500000205</v>
      </c>
      <c r="N162" s="12">
        <f t="shared" si="26"/>
        <v>-1.348951444454876E-2</v>
      </c>
    </row>
    <row r="163" spans="1:14">
      <c r="A163" s="15">
        <v>41799</v>
      </c>
      <c r="B163" s="14">
        <v>1575782.5300000003</v>
      </c>
      <c r="C163" s="13">
        <v>-1010090.5600000002</v>
      </c>
      <c r="D163" s="27">
        <v>434972320.31999993</v>
      </c>
      <c r="E163" s="3">
        <f t="shared" si="25"/>
        <v>41799</v>
      </c>
      <c r="F163" s="12">
        <f t="shared" si="21"/>
        <v>1.3005240645745746E-3</v>
      </c>
      <c r="G163" s="25">
        <f t="shared" si="22"/>
        <v>565691.97000000009</v>
      </c>
      <c r="H163" s="12">
        <f t="shared" si="23"/>
        <v>1.3005240645745746E-3</v>
      </c>
      <c r="I163" s="25">
        <f t="shared" si="24"/>
        <v>565691.97000000009</v>
      </c>
      <c r="J163" s="11">
        <f t="shared" si="27"/>
        <v>0.13681787287850802</v>
      </c>
      <c r="K163" s="25">
        <f t="shared" si="28"/>
        <v>39731501.219999969</v>
      </c>
      <c r="L163" s="25">
        <f t="shared" si="30"/>
        <v>0</v>
      </c>
      <c r="M163" s="25">
        <f t="shared" si="29"/>
        <v>-5268498.7800000207</v>
      </c>
      <c r="N163" s="12">
        <f t="shared" si="26"/>
        <v>-1.2112262169059626E-2</v>
      </c>
    </row>
    <row r="164" spans="1:14">
      <c r="A164" s="15">
        <v>41800</v>
      </c>
      <c r="B164" s="14">
        <v>1023037.72</v>
      </c>
      <c r="C164" s="13">
        <v>-516110.33999999997</v>
      </c>
      <c r="D164" s="27">
        <v>427507422.62</v>
      </c>
      <c r="E164" s="3">
        <f t="shared" si="25"/>
        <v>41800</v>
      </c>
      <c r="F164" s="12">
        <f t="shared" si="21"/>
        <v>1.1857744525072124E-3</v>
      </c>
      <c r="G164" s="25">
        <f t="shared" si="22"/>
        <v>506927.38</v>
      </c>
      <c r="H164" s="12">
        <f t="shared" si="23"/>
        <v>1.1857744525072124E-3</v>
      </c>
      <c r="I164" s="25">
        <f t="shared" si="24"/>
        <v>506927.38</v>
      </c>
      <c r="J164" s="11">
        <f t="shared" si="27"/>
        <v>0.13800364733101522</v>
      </c>
      <c r="K164" s="25">
        <f t="shared" si="28"/>
        <v>40238428.599999972</v>
      </c>
      <c r="L164" s="25">
        <f t="shared" si="30"/>
        <v>0</v>
      </c>
      <c r="M164" s="25">
        <f t="shared" si="29"/>
        <v>-4761571.4000000209</v>
      </c>
      <c r="N164" s="12">
        <f t="shared" si="26"/>
        <v>-1.1137985326239481E-2</v>
      </c>
    </row>
    <row r="165" spans="1:14">
      <c r="A165" s="15">
        <v>41801</v>
      </c>
      <c r="B165" s="14">
        <v>205688.91999999998</v>
      </c>
      <c r="C165" s="13">
        <v>-2063224.31</v>
      </c>
      <c r="D165" s="27">
        <v>435697945.07999992</v>
      </c>
      <c r="E165" s="3">
        <f t="shared" si="25"/>
        <v>41801</v>
      </c>
      <c r="F165" s="12">
        <f t="shared" si="21"/>
        <v>4.2633558660895958E-3</v>
      </c>
      <c r="G165" s="25">
        <f t="shared" si="22"/>
        <v>1857535.3900000001</v>
      </c>
      <c r="H165" s="12">
        <f t="shared" si="23"/>
        <v>-4.2633558660895958E-3</v>
      </c>
      <c r="I165" s="25">
        <f t="shared" si="24"/>
        <v>-1857535.3900000001</v>
      </c>
      <c r="J165" s="11">
        <f t="shared" si="27"/>
        <v>0.13374029146492564</v>
      </c>
      <c r="K165" s="25">
        <f t="shared" si="28"/>
        <v>38380893.209999971</v>
      </c>
      <c r="L165" s="25">
        <f t="shared" si="30"/>
        <v>0</v>
      </c>
      <c r="M165" s="25">
        <f t="shared" si="29"/>
        <v>-6619106.7900000215</v>
      </c>
      <c r="N165" s="12">
        <f t="shared" si="26"/>
        <v>-1.5191962378396496E-2</v>
      </c>
    </row>
    <row r="166" spans="1:14">
      <c r="A166" s="15">
        <v>41802</v>
      </c>
      <c r="B166" s="14">
        <v>9692369.5700000003</v>
      </c>
      <c r="C166" s="13">
        <v>-2261329.6999999997</v>
      </c>
      <c r="D166" s="27">
        <v>440352617.51999998</v>
      </c>
      <c r="E166" s="3">
        <f t="shared" si="25"/>
        <v>41802</v>
      </c>
      <c r="F166" s="12">
        <f t="shared" si="21"/>
        <v>1.687520313118724E-2</v>
      </c>
      <c r="G166" s="25">
        <f t="shared" si="22"/>
        <v>7431039.870000001</v>
      </c>
      <c r="H166" s="12">
        <f t="shared" si="23"/>
        <v>1.687520313118724E-2</v>
      </c>
      <c r="I166" s="25">
        <f t="shared" si="24"/>
        <v>7431039.870000001</v>
      </c>
      <c r="J166" s="11">
        <f t="shared" si="27"/>
        <v>0.15061549459611287</v>
      </c>
      <c r="K166" s="25">
        <f t="shared" si="28"/>
        <v>45811933.079999968</v>
      </c>
      <c r="L166" s="25">
        <f t="shared" si="30"/>
        <v>0</v>
      </c>
      <c r="M166" s="25">
        <f t="shared" si="29"/>
        <v>811933.07999997959</v>
      </c>
      <c r="N166" s="12">
        <f t="shared" si="26"/>
        <v>1.8438248069755215E-3</v>
      </c>
    </row>
    <row r="167" spans="1:14">
      <c r="A167" s="15">
        <v>41803</v>
      </c>
      <c r="B167" s="14">
        <v>1328986.5099999998</v>
      </c>
      <c r="C167" s="13">
        <v>-958966.69000000006</v>
      </c>
      <c r="D167" s="27">
        <v>437880350.49000001</v>
      </c>
      <c r="E167" s="3">
        <f t="shared" si="25"/>
        <v>41803</v>
      </c>
      <c r="F167" s="12">
        <f t="shared" si="21"/>
        <v>8.4502494707957892E-4</v>
      </c>
      <c r="G167" s="25">
        <f t="shared" si="22"/>
        <v>370019.81999999972</v>
      </c>
      <c r="H167" s="12">
        <f t="shared" si="23"/>
        <v>8.4502494707957892E-4</v>
      </c>
      <c r="I167" s="25">
        <f t="shared" si="24"/>
        <v>370019.81999999972</v>
      </c>
      <c r="J167" s="11">
        <f t="shared" si="27"/>
        <v>0.15146051954319245</v>
      </c>
      <c r="K167" s="25">
        <f t="shared" si="28"/>
        <v>46181952.899999969</v>
      </c>
      <c r="L167" s="25">
        <f t="shared" si="30"/>
        <v>0</v>
      </c>
      <c r="M167" s="25">
        <f t="shared" si="29"/>
        <v>1181952.8999999794</v>
      </c>
      <c r="N167" s="12">
        <f t="shared" si="26"/>
        <v>2.6992599660554352E-3</v>
      </c>
    </row>
    <row r="168" spans="1:14">
      <c r="A168" s="15">
        <v>41806</v>
      </c>
      <c r="B168" s="14">
        <v>866556.23999999987</v>
      </c>
      <c r="C168" s="13">
        <v>-1727710.5999999996</v>
      </c>
      <c r="D168" s="27">
        <v>428904643.95999998</v>
      </c>
      <c r="E168" s="3">
        <f t="shared" si="25"/>
        <v>41806</v>
      </c>
      <c r="F168" s="12">
        <f t="shared" si="21"/>
        <v>2.0077991043629543E-3</v>
      </c>
      <c r="G168" s="25">
        <f t="shared" si="22"/>
        <v>861154.35999999975</v>
      </c>
      <c r="H168" s="12">
        <f t="shared" si="23"/>
        <v>-2.0077991043629543E-3</v>
      </c>
      <c r="I168" s="25">
        <f t="shared" si="24"/>
        <v>-861154.35999999975</v>
      </c>
      <c r="J168" s="11">
        <f t="shared" si="27"/>
        <v>0.14945272043882948</v>
      </c>
      <c r="K168" s="25">
        <f t="shared" si="28"/>
        <v>45320798.539999969</v>
      </c>
      <c r="L168" s="25">
        <f t="shared" si="30"/>
        <v>0</v>
      </c>
      <c r="M168" s="25">
        <f t="shared" si="29"/>
        <v>320798.53999997966</v>
      </c>
      <c r="N168" s="12">
        <f t="shared" si="26"/>
        <v>7.4794839486489123E-4</v>
      </c>
    </row>
    <row r="169" spans="1:14">
      <c r="A169" s="15">
        <v>41807</v>
      </c>
      <c r="B169" s="14">
        <v>9391305.7999999989</v>
      </c>
      <c r="C169" s="13">
        <v>-4578667.2300000004</v>
      </c>
      <c r="D169" s="27">
        <v>442419033.89999998</v>
      </c>
      <c r="E169" s="3">
        <f t="shared" si="25"/>
        <v>41807</v>
      </c>
      <c r="F169" s="12">
        <f t="shared" si="21"/>
        <v>1.0878009762771191E-2</v>
      </c>
      <c r="G169" s="25">
        <f t="shared" si="22"/>
        <v>4812638.5699999984</v>
      </c>
      <c r="H169" s="12">
        <f t="shared" si="23"/>
        <v>1.0878009762771191E-2</v>
      </c>
      <c r="I169" s="25">
        <f t="shared" si="24"/>
        <v>4812638.5699999984</v>
      </c>
      <c r="J169" s="11">
        <f t="shared" si="27"/>
        <v>0.16033073020160069</v>
      </c>
      <c r="K169" s="25">
        <f t="shared" si="28"/>
        <v>50133437.10999997</v>
      </c>
      <c r="L169" s="25">
        <f t="shared" si="30"/>
        <v>0</v>
      </c>
      <c r="M169" s="25">
        <f t="shared" si="29"/>
        <v>5133437.109999978</v>
      </c>
      <c r="N169" s="12">
        <f t="shared" si="26"/>
        <v>1.160311088957418E-2</v>
      </c>
    </row>
    <row r="170" spans="1:14">
      <c r="A170" s="15">
        <v>41808</v>
      </c>
      <c r="B170" s="14">
        <v>10292370.110000001</v>
      </c>
      <c r="C170" s="13">
        <v>-611690.47</v>
      </c>
      <c r="D170" s="27">
        <v>454832364.73999995</v>
      </c>
      <c r="E170" s="3">
        <f t="shared" si="25"/>
        <v>41808</v>
      </c>
      <c r="F170" s="12">
        <f t="shared" si="21"/>
        <v>2.1284060657235458E-2</v>
      </c>
      <c r="G170" s="25">
        <f t="shared" si="22"/>
        <v>9680679.6400000006</v>
      </c>
      <c r="H170" s="12">
        <f t="shared" si="23"/>
        <v>2.1284060657235458E-2</v>
      </c>
      <c r="I170" s="25">
        <f t="shared" si="24"/>
        <v>9680679.6400000006</v>
      </c>
      <c r="J170" s="11">
        <f t="shared" si="27"/>
        <v>0.18161479085883614</v>
      </c>
      <c r="K170" s="25">
        <f t="shared" si="28"/>
        <v>59814116.74999997</v>
      </c>
      <c r="L170" s="25">
        <f t="shared" si="30"/>
        <v>0</v>
      </c>
      <c r="M170" s="25">
        <f t="shared" si="29"/>
        <v>14814116.749999978</v>
      </c>
      <c r="N170" s="12">
        <f t="shared" si="26"/>
        <v>3.2570498272409237E-2</v>
      </c>
    </row>
    <row r="171" spans="1:14">
      <c r="A171" s="15">
        <v>41809</v>
      </c>
      <c r="B171" s="14">
        <v>452584.97</v>
      </c>
      <c r="C171" s="13">
        <v>-581250.88</v>
      </c>
      <c r="D171" s="27">
        <v>405877675.98000008</v>
      </c>
      <c r="E171" s="3">
        <f t="shared" si="25"/>
        <v>41809</v>
      </c>
      <c r="F171" s="12">
        <f t="shared" si="21"/>
        <v>3.170066195174039E-4</v>
      </c>
      <c r="G171" s="25">
        <f t="shared" si="22"/>
        <v>128665.91000000003</v>
      </c>
      <c r="H171" s="12">
        <f t="shared" si="23"/>
        <v>-3.170066195174039E-4</v>
      </c>
      <c r="I171" s="25">
        <f t="shared" si="24"/>
        <v>-128665.91000000003</v>
      </c>
      <c r="J171" s="11">
        <f t="shared" si="27"/>
        <v>0.18129778423931875</v>
      </c>
      <c r="K171" s="25">
        <f t="shared" si="28"/>
        <v>59685450.839999974</v>
      </c>
      <c r="L171" s="25">
        <f t="shared" si="30"/>
        <v>0</v>
      </c>
      <c r="M171" s="25">
        <f t="shared" si="29"/>
        <v>14685450.839999977</v>
      </c>
      <c r="N171" s="12">
        <f t="shared" si="26"/>
        <v>3.6181962470691817E-2</v>
      </c>
    </row>
    <row r="172" spans="1:14">
      <c r="A172" s="15">
        <v>41810</v>
      </c>
      <c r="B172" s="14">
        <v>2645282.4</v>
      </c>
      <c r="C172" s="13">
        <v>-402355.58999999997</v>
      </c>
      <c r="D172" s="27">
        <v>461304892.34999996</v>
      </c>
      <c r="E172" s="3">
        <f t="shared" si="25"/>
        <v>41810</v>
      </c>
      <c r="F172" s="12">
        <f t="shared" si="21"/>
        <v>4.8621353191681581E-3</v>
      </c>
      <c r="G172" s="25">
        <f t="shared" si="22"/>
        <v>2242926.81</v>
      </c>
      <c r="H172" s="12">
        <f t="shared" si="23"/>
        <v>4.8621353191681581E-3</v>
      </c>
      <c r="I172" s="25">
        <f t="shared" si="24"/>
        <v>2242926.81</v>
      </c>
      <c r="J172" s="11">
        <f t="shared" si="27"/>
        <v>0.1861599195584869</v>
      </c>
      <c r="K172" s="25">
        <f t="shared" si="28"/>
        <v>61928377.649999976</v>
      </c>
      <c r="L172" s="25">
        <f t="shared" si="30"/>
        <v>0</v>
      </c>
      <c r="M172" s="25">
        <f t="shared" si="29"/>
        <v>16928377.649999976</v>
      </c>
      <c r="N172" s="12">
        <f t="shared" si="26"/>
        <v>3.6696722559699461E-2</v>
      </c>
    </row>
    <row r="173" spans="1:14">
      <c r="A173" s="15">
        <v>41813</v>
      </c>
      <c r="B173" s="14">
        <v>2350266.4300000002</v>
      </c>
      <c r="C173" s="13">
        <v>-1259503.6099999999</v>
      </c>
      <c r="D173" s="27">
        <v>463891130.29999995</v>
      </c>
      <c r="E173" s="3">
        <f t="shared" si="25"/>
        <v>41813</v>
      </c>
      <c r="F173" s="12">
        <f t="shared" si="21"/>
        <v>2.3513336400603313E-3</v>
      </c>
      <c r="G173" s="25">
        <f t="shared" si="22"/>
        <v>1090762.8200000003</v>
      </c>
      <c r="H173" s="12">
        <f t="shared" si="23"/>
        <v>2.3513336400603313E-3</v>
      </c>
      <c r="I173" s="25">
        <f t="shared" si="24"/>
        <v>1090762.8200000003</v>
      </c>
      <c r="J173" s="11">
        <f t="shared" si="27"/>
        <v>0.18851125319854722</v>
      </c>
      <c r="K173" s="25">
        <f t="shared" si="28"/>
        <v>63019140.469999976</v>
      </c>
      <c r="L173" s="25">
        <f t="shared" si="30"/>
        <v>0</v>
      </c>
      <c r="M173" s="25">
        <f t="shared" si="29"/>
        <v>18019140.469999976</v>
      </c>
      <c r="N173" s="12">
        <f t="shared" si="26"/>
        <v>3.8843468419728001E-2</v>
      </c>
    </row>
    <row r="174" spans="1:14">
      <c r="A174" s="15">
        <v>41814</v>
      </c>
      <c r="B174" s="14">
        <v>3931514.28</v>
      </c>
      <c r="C174" s="13">
        <v>-3482329.67</v>
      </c>
      <c r="D174" s="27">
        <v>464724876.57999998</v>
      </c>
      <c r="E174" s="3">
        <f t="shared" si="25"/>
        <v>41814</v>
      </c>
      <c r="F174" s="12">
        <f t="shared" si="21"/>
        <v>9.6656028682095966E-4</v>
      </c>
      <c r="G174" s="25">
        <f t="shared" si="22"/>
        <v>449184.60999999987</v>
      </c>
      <c r="H174" s="12">
        <f t="shared" si="23"/>
        <v>9.6656028682095966E-4</v>
      </c>
      <c r="I174" s="25">
        <f t="shared" si="24"/>
        <v>449184.60999999987</v>
      </c>
      <c r="J174" s="11">
        <f t="shared" si="27"/>
        <v>0.18947781348536819</v>
      </c>
      <c r="K174" s="25">
        <f t="shared" si="28"/>
        <v>63468325.079999976</v>
      </c>
      <c r="L174" s="25">
        <f t="shared" si="30"/>
        <v>0</v>
      </c>
      <c r="M174" s="25">
        <f t="shared" si="29"/>
        <v>18468325.079999976</v>
      </c>
      <c r="N174" s="12">
        <f t="shared" si="26"/>
        <v>3.9740341029109401E-2</v>
      </c>
    </row>
    <row r="175" spans="1:14">
      <c r="A175" s="15">
        <v>41815</v>
      </c>
      <c r="B175" s="14">
        <v>882110.91999999993</v>
      </c>
      <c r="C175" s="13">
        <v>-1461269.8499999999</v>
      </c>
      <c r="D175" s="27">
        <v>451225294.15999991</v>
      </c>
      <c r="E175" s="3">
        <f t="shared" si="25"/>
        <v>41815</v>
      </c>
      <c r="F175" s="12">
        <f t="shared" si="21"/>
        <v>1.2835249652352956E-3</v>
      </c>
      <c r="G175" s="25">
        <f t="shared" si="22"/>
        <v>579158.92999999993</v>
      </c>
      <c r="H175" s="12">
        <f t="shared" si="23"/>
        <v>-1.2835249652352956E-3</v>
      </c>
      <c r="I175" s="25">
        <f t="shared" si="24"/>
        <v>-579158.92999999993</v>
      </c>
      <c r="J175" s="11">
        <f t="shared" si="27"/>
        <v>0.1881942885201329</v>
      </c>
      <c r="K175" s="25">
        <f t="shared" si="28"/>
        <v>62889166.149999976</v>
      </c>
      <c r="L175" s="25">
        <f t="shared" si="30"/>
        <v>0</v>
      </c>
      <c r="M175" s="25">
        <f t="shared" si="29"/>
        <v>17889166.149999976</v>
      </c>
      <c r="N175" s="12">
        <f t="shared" si="26"/>
        <v>3.9645752092205763E-2</v>
      </c>
    </row>
    <row r="176" spans="1:14">
      <c r="A176" s="15">
        <v>41816</v>
      </c>
      <c r="B176" s="14">
        <v>768598.77</v>
      </c>
      <c r="C176" s="13">
        <v>-1231741.3699999999</v>
      </c>
      <c r="D176" s="27">
        <v>447979762.00999987</v>
      </c>
      <c r="E176" s="3">
        <f t="shared" si="25"/>
        <v>41816</v>
      </c>
      <c r="F176" s="12">
        <f t="shared" si="21"/>
        <v>1.0338471495273966E-3</v>
      </c>
      <c r="G176" s="25">
        <f t="shared" si="22"/>
        <v>463142.59999999986</v>
      </c>
      <c r="H176" s="12">
        <f t="shared" si="23"/>
        <v>-1.0338471495273966E-3</v>
      </c>
      <c r="I176" s="25">
        <f t="shared" si="24"/>
        <v>-463142.59999999986</v>
      </c>
      <c r="J176" s="11">
        <f t="shared" si="27"/>
        <v>0.1871604413706055</v>
      </c>
      <c r="K176" s="25">
        <f t="shared" si="28"/>
        <v>62426023.549999975</v>
      </c>
      <c r="L176" s="25">
        <f t="shared" si="30"/>
        <v>0</v>
      </c>
      <c r="M176" s="25">
        <f t="shared" si="29"/>
        <v>17426023.549999975</v>
      </c>
      <c r="N176" s="12">
        <f t="shared" si="26"/>
        <v>3.8899131228189249E-2</v>
      </c>
    </row>
    <row r="177" spans="1:14">
      <c r="A177" s="15">
        <v>41817</v>
      </c>
      <c r="B177" s="14">
        <v>1013683.52</v>
      </c>
      <c r="C177" s="13">
        <v>-15489519.76</v>
      </c>
      <c r="D177" s="27">
        <v>441997537.2299999</v>
      </c>
      <c r="E177" s="3">
        <f t="shared" si="25"/>
        <v>41817</v>
      </c>
      <c r="F177" s="12">
        <f t="shared" si="21"/>
        <v>3.2750943208236218E-2</v>
      </c>
      <c r="G177" s="25">
        <f t="shared" si="22"/>
        <v>14475836.24</v>
      </c>
      <c r="H177" s="12">
        <f t="shared" si="23"/>
        <v>-3.2750943208236218E-2</v>
      </c>
      <c r="I177" s="25">
        <f t="shared" si="24"/>
        <v>-14475836.24</v>
      </c>
      <c r="J177" s="11">
        <f t="shared" si="27"/>
        <v>0.15440949816236929</v>
      </c>
      <c r="K177" s="25">
        <f t="shared" si="28"/>
        <v>47950187.309999973</v>
      </c>
      <c r="L177" s="25">
        <f t="shared" si="30"/>
        <v>0</v>
      </c>
      <c r="M177" s="25">
        <f t="shared" si="29"/>
        <v>2950187.3099999744</v>
      </c>
      <c r="N177" s="12">
        <f t="shared" si="26"/>
        <v>6.6746691135177103E-3</v>
      </c>
    </row>
    <row r="178" spans="1:14">
      <c r="A178" s="15">
        <v>41820</v>
      </c>
      <c r="B178" s="14">
        <v>506159.9</v>
      </c>
      <c r="C178" s="13">
        <v>-9625647.7899999991</v>
      </c>
      <c r="D178" s="27">
        <v>435092814.21000004</v>
      </c>
      <c r="E178" s="3">
        <f t="shared" si="25"/>
        <v>41820</v>
      </c>
      <c r="F178" s="12">
        <f t="shared" si="21"/>
        <v>2.0959867853846986E-2</v>
      </c>
      <c r="G178" s="25">
        <f t="shared" si="22"/>
        <v>9119487.8899999987</v>
      </c>
      <c r="H178" s="12">
        <f t="shared" si="23"/>
        <v>-2.0959867853846986E-2</v>
      </c>
      <c r="I178" s="25">
        <f t="shared" si="24"/>
        <v>-9119487.8899999987</v>
      </c>
      <c r="J178" s="11">
        <f t="shared" si="27"/>
        <v>0.1334496303085223</v>
      </c>
      <c r="K178" s="25">
        <f t="shared" si="28"/>
        <v>38830699.419999972</v>
      </c>
      <c r="L178" s="25">
        <f t="shared" si="30"/>
        <v>0</v>
      </c>
      <c r="M178" s="25">
        <f t="shared" si="29"/>
        <v>-6169300.5800000243</v>
      </c>
      <c r="N178" s="12">
        <f t="shared" si="26"/>
        <v>-1.4179274808759254E-2</v>
      </c>
    </row>
    <row r="179" spans="1:14">
      <c r="A179" s="15">
        <v>41821</v>
      </c>
      <c r="B179" s="14">
        <v>2280209.04</v>
      </c>
      <c r="C179" s="13">
        <v>-314455.7</v>
      </c>
      <c r="D179" s="27">
        <v>435536699.76000005</v>
      </c>
      <c r="E179" s="3">
        <f t="shared" si="25"/>
        <v>41821</v>
      </c>
      <c r="F179" s="12">
        <f t="shared" si="21"/>
        <v>4.5134045904357016E-3</v>
      </c>
      <c r="G179" s="25">
        <f t="shared" si="22"/>
        <v>1965753.34</v>
      </c>
      <c r="H179" s="12">
        <f t="shared" si="23"/>
        <v>4.5134045904357016E-3</v>
      </c>
      <c r="I179" s="25">
        <f t="shared" si="24"/>
        <v>1965753.34</v>
      </c>
      <c r="J179" s="11">
        <f t="shared" si="27"/>
        <v>0.137963034898958</v>
      </c>
      <c r="K179" s="25">
        <f t="shared" si="28"/>
        <v>40796452.759999976</v>
      </c>
      <c r="L179" s="25">
        <f t="shared" si="30"/>
        <v>0</v>
      </c>
      <c r="M179" s="25">
        <f t="shared" si="29"/>
        <v>-4203547.2400000244</v>
      </c>
      <c r="N179" s="12">
        <f t="shared" si="26"/>
        <v>-9.6514191394579708E-3</v>
      </c>
    </row>
    <row r="180" spans="1:14">
      <c r="A180" s="15">
        <v>41822</v>
      </c>
      <c r="B180" s="14">
        <v>7548201.6000000006</v>
      </c>
      <c r="C180" s="13">
        <v>-322225.01</v>
      </c>
      <c r="D180" s="27">
        <v>441786562.06</v>
      </c>
      <c r="E180" s="3">
        <f t="shared" si="25"/>
        <v>41822</v>
      </c>
      <c r="F180" s="12">
        <f t="shared" si="21"/>
        <v>1.6356261621689221E-2</v>
      </c>
      <c r="G180" s="25">
        <f t="shared" si="22"/>
        <v>7225976.5900000008</v>
      </c>
      <c r="H180" s="12">
        <f t="shared" si="23"/>
        <v>1.6356261621689221E-2</v>
      </c>
      <c r="I180" s="25">
        <f t="shared" si="24"/>
        <v>7225976.5900000008</v>
      </c>
      <c r="J180" s="11">
        <f t="shared" si="27"/>
        <v>0.15431929652064721</v>
      </c>
      <c r="K180" s="25">
        <f t="shared" si="28"/>
        <v>48022429.349999979</v>
      </c>
      <c r="L180" s="25">
        <f t="shared" si="30"/>
        <v>0</v>
      </c>
      <c r="M180" s="25">
        <f t="shared" si="29"/>
        <v>3022429.3499999763</v>
      </c>
      <c r="N180" s="12">
        <f t="shared" si="26"/>
        <v>6.8413790947074882E-3</v>
      </c>
    </row>
    <row r="181" spans="1:14">
      <c r="A181" s="15">
        <v>41823</v>
      </c>
      <c r="B181" s="14">
        <v>800993.33</v>
      </c>
      <c r="C181" s="13">
        <v>-3909667.84</v>
      </c>
      <c r="D181" s="27">
        <v>434178727.20999998</v>
      </c>
      <c r="E181" s="3">
        <f t="shared" si="25"/>
        <v>41823</v>
      </c>
      <c r="F181" s="12">
        <f t="shared" si="21"/>
        <v>7.1598959487861359E-3</v>
      </c>
      <c r="G181" s="25">
        <f t="shared" si="22"/>
        <v>3108674.51</v>
      </c>
      <c r="H181" s="12">
        <f t="shared" si="23"/>
        <v>-7.1598959487861359E-3</v>
      </c>
      <c r="I181" s="25">
        <f t="shared" si="24"/>
        <v>-3108674.51</v>
      </c>
      <c r="J181" s="11">
        <f t="shared" si="27"/>
        <v>0.14715940057186108</v>
      </c>
      <c r="K181" s="25">
        <f t="shared" si="28"/>
        <v>44913754.839999981</v>
      </c>
      <c r="L181" s="25">
        <f t="shared" si="30"/>
        <v>0</v>
      </c>
      <c r="M181" s="25">
        <f t="shared" si="29"/>
        <v>-86245.160000023432</v>
      </c>
      <c r="N181" s="12">
        <f t="shared" si="26"/>
        <v>-1.9863976421467808E-4</v>
      </c>
    </row>
    <row r="182" spans="1:14">
      <c r="A182" s="15">
        <v>41827</v>
      </c>
      <c r="B182" s="14">
        <v>674653.41999999993</v>
      </c>
      <c r="C182" s="13">
        <v>-6174357.5299999993</v>
      </c>
      <c r="D182" s="27">
        <v>420934358.19999999</v>
      </c>
      <c r="E182" s="3">
        <f t="shared" si="25"/>
        <v>41827</v>
      </c>
      <c r="F182" s="12">
        <f t="shared" si="21"/>
        <v>1.3065467341553777E-2</v>
      </c>
      <c r="G182" s="25">
        <f t="shared" si="22"/>
        <v>5499704.1099999994</v>
      </c>
      <c r="H182" s="12">
        <f t="shared" si="23"/>
        <v>-1.3065467341553777E-2</v>
      </c>
      <c r="I182" s="25">
        <f t="shared" si="24"/>
        <v>-5499704.1099999994</v>
      </c>
      <c r="J182" s="11">
        <f t="shared" si="27"/>
        <v>0.1340939332303073</v>
      </c>
      <c r="K182" s="25">
        <f t="shared" si="28"/>
        <v>39414050.729999982</v>
      </c>
      <c r="L182" s="25">
        <f t="shared" si="30"/>
        <v>0</v>
      </c>
      <c r="M182" s="25">
        <f t="shared" si="29"/>
        <v>-5585949.2700000228</v>
      </c>
      <c r="N182" s="12">
        <f t="shared" si="26"/>
        <v>-1.3270357149952467E-2</v>
      </c>
    </row>
    <row r="183" spans="1:14">
      <c r="A183" s="15">
        <v>41828</v>
      </c>
      <c r="B183" s="14">
        <v>468461.64</v>
      </c>
      <c r="C183" s="13">
        <v>-1664072.8300000003</v>
      </c>
      <c r="D183" s="27">
        <v>401729293.78000003</v>
      </c>
      <c r="E183" s="3">
        <f t="shared" si="25"/>
        <v>41828</v>
      </c>
      <c r="F183" s="12">
        <f t="shared" si="21"/>
        <v>2.9761613318015981E-3</v>
      </c>
      <c r="G183" s="25">
        <f t="shared" si="22"/>
        <v>1195611.1900000004</v>
      </c>
      <c r="H183" s="12">
        <f t="shared" si="23"/>
        <v>-2.9761613318015981E-3</v>
      </c>
      <c r="I183" s="25">
        <f t="shared" si="24"/>
        <v>-1195611.1900000004</v>
      </c>
      <c r="J183" s="11">
        <f t="shared" si="27"/>
        <v>0.13111777189850571</v>
      </c>
      <c r="K183" s="25">
        <f t="shared" si="28"/>
        <v>38218439.539999984</v>
      </c>
      <c r="L183" s="25">
        <f t="shared" si="30"/>
        <v>0</v>
      </c>
      <c r="M183" s="25">
        <f t="shared" si="29"/>
        <v>-6781560.4600000232</v>
      </c>
      <c r="N183" s="12">
        <f t="shared" si="26"/>
        <v>-1.6880920970910887E-2</v>
      </c>
    </row>
    <row r="184" spans="1:14">
      <c r="A184" s="15">
        <v>41829</v>
      </c>
      <c r="B184" s="14">
        <v>4808720.6900000004</v>
      </c>
      <c r="C184" s="13">
        <v>-3748887.3</v>
      </c>
      <c r="D184" s="27">
        <v>424854692.44000012</v>
      </c>
      <c r="E184" s="3">
        <f t="shared" si="25"/>
        <v>41829</v>
      </c>
      <c r="F184" s="12">
        <f t="shared" si="21"/>
        <v>2.4945785202776711E-3</v>
      </c>
      <c r="G184" s="25">
        <f t="shared" si="22"/>
        <v>1059833.3900000006</v>
      </c>
      <c r="H184" s="12">
        <f t="shared" si="23"/>
        <v>2.4945785202776711E-3</v>
      </c>
      <c r="I184" s="25">
        <f t="shared" si="24"/>
        <v>1059833.3900000006</v>
      </c>
      <c r="J184" s="11">
        <f t="shared" si="27"/>
        <v>0.13361235041878339</v>
      </c>
      <c r="K184" s="25">
        <f t="shared" si="28"/>
        <v>39278272.929999985</v>
      </c>
      <c r="L184" s="25">
        <f t="shared" si="30"/>
        <v>0</v>
      </c>
      <c r="M184" s="25">
        <f t="shared" si="29"/>
        <v>-5721727.0700000226</v>
      </c>
      <c r="N184" s="12">
        <f t="shared" si="26"/>
        <v>-1.3467491760863794E-2</v>
      </c>
    </row>
    <row r="185" spans="1:14">
      <c r="A185" s="15">
        <v>41830</v>
      </c>
      <c r="B185" s="14">
        <v>412385.37</v>
      </c>
      <c r="C185" s="13">
        <v>-5117045.58</v>
      </c>
      <c r="D185" s="27">
        <v>428079553</v>
      </c>
      <c r="E185" s="3">
        <f t="shared" si="25"/>
        <v>41830</v>
      </c>
      <c r="F185" s="12">
        <f t="shared" si="21"/>
        <v>1.0990153995979341E-2</v>
      </c>
      <c r="G185" s="25">
        <f t="shared" si="22"/>
        <v>4704660.21</v>
      </c>
      <c r="H185" s="12">
        <f t="shared" si="23"/>
        <v>-1.0990153995979341E-2</v>
      </c>
      <c r="I185" s="25">
        <f t="shared" si="24"/>
        <v>-4704660.21</v>
      </c>
      <c r="J185" s="11">
        <f t="shared" si="27"/>
        <v>0.12262219642280404</v>
      </c>
      <c r="K185" s="25">
        <f t="shared" si="28"/>
        <v>34573612.719999984</v>
      </c>
      <c r="L185" s="25">
        <f t="shared" si="30"/>
        <v>0</v>
      </c>
      <c r="M185" s="25">
        <f t="shared" si="29"/>
        <v>-10426387.280000024</v>
      </c>
      <c r="N185" s="12">
        <f t="shared" si="26"/>
        <v>-2.4356190822316673E-2</v>
      </c>
    </row>
    <row r="186" spans="1:14">
      <c r="A186" s="15">
        <v>41831</v>
      </c>
      <c r="B186" s="14">
        <v>1360518.81</v>
      </c>
      <c r="C186" s="13">
        <v>-3089094.4499999997</v>
      </c>
      <c r="D186" s="27">
        <v>416490149.45999998</v>
      </c>
      <c r="E186" s="3">
        <f t="shared" si="25"/>
        <v>41831</v>
      </c>
      <c r="F186" s="12">
        <f t="shared" si="21"/>
        <v>4.1503397913280381E-3</v>
      </c>
      <c r="G186" s="25">
        <f t="shared" si="22"/>
        <v>1728575.6399999997</v>
      </c>
      <c r="H186" s="12">
        <f t="shared" si="23"/>
        <v>-4.1503397913280381E-3</v>
      </c>
      <c r="I186" s="25">
        <f t="shared" si="24"/>
        <v>-1728575.6399999997</v>
      </c>
      <c r="J186" s="11">
        <f t="shared" si="27"/>
        <v>0.11847185663147601</v>
      </c>
      <c r="K186" s="25">
        <f t="shared" si="28"/>
        <v>32845037.079999983</v>
      </c>
      <c r="L186" s="25">
        <f t="shared" si="30"/>
        <v>0</v>
      </c>
      <c r="M186" s="25">
        <f t="shared" si="29"/>
        <v>-12154962.920000024</v>
      </c>
      <c r="N186" s="12">
        <f t="shared" si="26"/>
        <v>-2.9184274671944902E-2</v>
      </c>
    </row>
    <row r="187" spans="1:14">
      <c r="A187" s="15">
        <v>41834</v>
      </c>
      <c r="B187" s="14">
        <v>608262.31000000006</v>
      </c>
      <c r="C187" s="13">
        <v>-4789055.55</v>
      </c>
      <c r="D187" s="27">
        <v>413303864.94999999</v>
      </c>
      <c r="E187" s="3">
        <f t="shared" si="25"/>
        <v>41834</v>
      </c>
      <c r="F187" s="12">
        <f t="shared" si="21"/>
        <v>1.0115543537212692E-2</v>
      </c>
      <c r="G187" s="25">
        <f t="shared" si="22"/>
        <v>4180793.2399999998</v>
      </c>
      <c r="H187" s="12">
        <f t="shared" si="23"/>
        <v>-1.0115543537212692E-2</v>
      </c>
      <c r="I187" s="25">
        <f t="shared" si="24"/>
        <v>-4180793.2399999998</v>
      </c>
      <c r="J187" s="11">
        <f t="shared" si="27"/>
        <v>0.10835631309426332</v>
      </c>
      <c r="K187" s="25">
        <f t="shared" si="28"/>
        <v>28664243.839999985</v>
      </c>
      <c r="L187" s="25">
        <f t="shared" si="30"/>
        <v>0</v>
      </c>
      <c r="M187" s="25">
        <f t="shared" si="29"/>
        <v>-16335756.160000024</v>
      </c>
      <c r="N187" s="12">
        <f t="shared" si="26"/>
        <v>-3.9524808610188693E-2</v>
      </c>
    </row>
    <row r="188" spans="1:14">
      <c r="A188" s="15">
        <v>41835</v>
      </c>
      <c r="B188" s="14">
        <v>3452694.67</v>
      </c>
      <c r="C188" s="13">
        <v>-693215.32000000007</v>
      </c>
      <c r="D188" s="27">
        <v>391017851.33999997</v>
      </c>
      <c r="E188" s="3">
        <f t="shared" si="25"/>
        <v>41835</v>
      </c>
      <c r="F188" s="12">
        <f t="shared" si="21"/>
        <v>7.0571697444078126E-3</v>
      </c>
      <c r="G188" s="25">
        <f t="shared" si="22"/>
        <v>2759479.3499999996</v>
      </c>
      <c r="H188" s="12">
        <f t="shared" si="23"/>
        <v>7.0571697444078126E-3</v>
      </c>
      <c r="I188" s="25">
        <f t="shared" si="24"/>
        <v>2759479.3499999996</v>
      </c>
      <c r="J188" s="11">
        <f t="shared" si="27"/>
        <v>0.11541348283867113</v>
      </c>
      <c r="K188" s="25">
        <f t="shared" si="28"/>
        <v>31423723.189999983</v>
      </c>
      <c r="L188" s="25">
        <f t="shared" si="30"/>
        <v>0</v>
      </c>
      <c r="M188" s="25">
        <f t="shared" si="29"/>
        <v>-13576276.810000025</v>
      </c>
      <c r="N188" s="12">
        <f t="shared" si="26"/>
        <v>-3.4720350396982534E-2</v>
      </c>
    </row>
    <row r="189" spans="1:14">
      <c r="A189" s="15">
        <v>41836</v>
      </c>
      <c r="B189" s="14">
        <v>1359672.15</v>
      </c>
      <c r="C189" s="13">
        <v>-2782450.92</v>
      </c>
      <c r="D189" s="27">
        <v>424680521.94000006</v>
      </c>
      <c r="E189" s="3">
        <f t="shared" si="25"/>
        <v>41836</v>
      </c>
      <c r="F189" s="12">
        <f t="shared" si="21"/>
        <v>3.3502331670417743E-3</v>
      </c>
      <c r="G189" s="25">
        <f t="shared" si="22"/>
        <v>1422778.77</v>
      </c>
      <c r="H189" s="12">
        <f t="shared" si="23"/>
        <v>-3.3502331670417743E-3</v>
      </c>
      <c r="I189" s="25">
        <f t="shared" si="24"/>
        <v>-1422778.77</v>
      </c>
      <c r="J189" s="11">
        <f t="shared" si="27"/>
        <v>0.11206324967162935</v>
      </c>
      <c r="K189" s="25">
        <f t="shared" si="28"/>
        <v>30000944.419999983</v>
      </c>
      <c r="L189" s="25">
        <f t="shared" si="30"/>
        <v>0</v>
      </c>
      <c r="M189" s="25">
        <f t="shared" si="29"/>
        <v>-14999055.580000024</v>
      </c>
      <c r="N189" s="12">
        <f t="shared" si="26"/>
        <v>-3.5318444819372075E-2</v>
      </c>
    </row>
    <row r="190" spans="1:14">
      <c r="A190" s="15">
        <v>41837</v>
      </c>
      <c r="B190" s="14">
        <v>1820637.4199999997</v>
      </c>
      <c r="C190" s="13">
        <v>-299116.31</v>
      </c>
      <c r="D190" s="27">
        <v>434876524.60000008</v>
      </c>
      <c r="E190" s="3">
        <f t="shared" si="25"/>
        <v>41837</v>
      </c>
      <c r="F190" s="12">
        <f t="shared" si="21"/>
        <v>3.4987428015331398E-3</v>
      </c>
      <c r="G190" s="25">
        <f t="shared" si="22"/>
        <v>1521521.1099999996</v>
      </c>
      <c r="H190" s="12">
        <f t="shared" si="23"/>
        <v>3.4987428015331398E-3</v>
      </c>
      <c r="I190" s="25">
        <f t="shared" si="24"/>
        <v>1521521.1099999996</v>
      </c>
      <c r="J190" s="11">
        <f t="shared" si="27"/>
        <v>0.1155619924731625</v>
      </c>
      <c r="K190" s="25">
        <f t="shared" si="28"/>
        <v>31522465.529999983</v>
      </c>
      <c r="L190" s="25">
        <f t="shared" si="30"/>
        <v>0</v>
      </c>
      <c r="M190" s="25">
        <f t="shared" si="29"/>
        <v>-13477534.470000025</v>
      </c>
      <c r="N190" s="12">
        <f t="shared" si="26"/>
        <v>-3.0991634883940161E-2</v>
      </c>
    </row>
    <row r="191" spans="1:14">
      <c r="A191" s="15">
        <v>41838</v>
      </c>
      <c r="B191" s="14">
        <v>1835759.77</v>
      </c>
      <c r="C191" s="13">
        <v>-2134572.6</v>
      </c>
      <c r="D191" s="27">
        <v>421798095.34999996</v>
      </c>
      <c r="E191" s="3">
        <f t="shared" si="25"/>
        <v>41838</v>
      </c>
      <c r="F191" s="12">
        <f t="shared" si="21"/>
        <v>7.0842621930772569E-4</v>
      </c>
      <c r="G191" s="25">
        <f t="shared" si="22"/>
        <v>298812.83000000007</v>
      </c>
      <c r="H191" s="12">
        <f t="shared" si="23"/>
        <v>-7.0842621930772569E-4</v>
      </c>
      <c r="I191" s="25">
        <f t="shared" si="24"/>
        <v>-298812.83000000007</v>
      </c>
      <c r="J191" s="11">
        <f t="shared" si="27"/>
        <v>0.11485356625385477</v>
      </c>
      <c r="K191" s="25">
        <f t="shared" si="28"/>
        <v>31223652.699999981</v>
      </c>
      <c r="L191" s="25">
        <f t="shared" si="30"/>
        <v>0</v>
      </c>
      <c r="M191" s="25">
        <f t="shared" si="29"/>
        <v>-13776347.300000025</v>
      </c>
      <c r="N191" s="12">
        <f t="shared" si="26"/>
        <v>-3.2660999307189083E-2</v>
      </c>
    </row>
    <row r="192" spans="1:14">
      <c r="A192" s="15">
        <v>41841</v>
      </c>
      <c r="B192" s="14">
        <v>683074.76</v>
      </c>
      <c r="C192" s="13">
        <v>-1277499.5000000002</v>
      </c>
      <c r="D192" s="27">
        <v>406283020.61000001</v>
      </c>
      <c r="E192" s="3">
        <f t="shared" si="25"/>
        <v>41841</v>
      </c>
      <c r="F192" s="12">
        <f t="shared" si="21"/>
        <v>1.4630804386250775E-3</v>
      </c>
      <c r="G192" s="25">
        <f t="shared" si="22"/>
        <v>594424.74000000022</v>
      </c>
      <c r="H192" s="12">
        <f t="shared" si="23"/>
        <v>-1.4630804386250775E-3</v>
      </c>
      <c r="I192" s="25">
        <f t="shared" si="24"/>
        <v>-594424.74000000022</v>
      </c>
      <c r="J192" s="11">
        <f t="shared" si="27"/>
        <v>0.1133904858152297</v>
      </c>
      <c r="K192" s="25">
        <f t="shared" si="28"/>
        <v>30629227.959999979</v>
      </c>
      <c r="L192" s="25">
        <f t="shared" si="30"/>
        <v>0</v>
      </c>
      <c r="M192" s="25">
        <f t="shared" si="29"/>
        <v>-14370772.040000025</v>
      </c>
      <c r="N192" s="12">
        <f t="shared" si="26"/>
        <v>-3.5371333063398791E-2</v>
      </c>
    </row>
    <row r="193" spans="1:14">
      <c r="A193" s="15">
        <v>41842</v>
      </c>
      <c r="B193" s="14">
        <v>2141310.04</v>
      </c>
      <c r="C193" s="13">
        <v>-1754793.52</v>
      </c>
      <c r="D193" s="27">
        <v>422523635.67999995</v>
      </c>
      <c r="E193" s="3">
        <f t="shared" si="25"/>
        <v>41842</v>
      </c>
      <c r="F193" s="12">
        <f t="shared" si="21"/>
        <v>9.1478082493053699E-4</v>
      </c>
      <c r="G193" s="25">
        <f t="shared" si="22"/>
        <v>386516.52</v>
      </c>
      <c r="H193" s="12">
        <f t="shared" si="23"/>
        <v>9.1478082493053699E-4</v>
      </c>
      <c r="I193" s="25">
        <f t="shared" si="24"/>
        <v>386516.52</v>
      </c>
      <c r="J193" s="11">
        <f t="shared" si="27"/>
        <v>0.11430526664016023</v>
      </c>
      <c r="K193" s="25">
        <f t="shared" si="28"/>
        <v>31015744.479999978</v>
      </c>
      <c r="L193" s="25">
        <f t="shared" si="30"/>
        <v>0</v>
      </c>
      <c r="M193" s="25">
        <f t="shared" si="29"/>
        <v>-13984255.520000026</v>
      </c>
      <c r="N193" s="12">
        <f t="shared" si="26"/>
        <v>-3.30969781074947E-2</v>
      </c>
    </row>
    <row r="194" spans="1:14">
      <c r="A194" s="15">
        <v>41843</v>
      </c>
      <c r="B194" s="14">
        <v>1359176.01</v>
      </c>
      <c r="C194" s="13">
        <v>-427679.93000000005</v>
      </c>
      <c r="D194" s="27">
        <v>418036727.44</v>
      </c>
      <c r="E194" s="3">
        <f t="shared" si="25"/>
        <v>41843</v>
      </c>
      <c r="F194" s="12">
        <f t="shared" si="21"/>
        <v>2.2282637358309525E-3</v>
      </c>
      <c r="G194" s="25">
        <f t="shared" si="22"/>
        <v>931496.08</v>
      </c>
      <c r="H194" s="12">
        <f t="shared" si="23"/>
        <v>2.2282637358309525E-3</v>
      </c>
      <c r="I194" s="25">
        <f t="shared" si="24"/>
        <v>931496.08</v>
      </c>
      <c r="J194" s="11">
        <f t="shared" si="27"/>
        <v>0.11653353037599118</v>
      </c>
      <c r="K194" s="25">
        <f t="shared" si="28"/>
        <v>31947240.559999976</v>
      </c>
      <c r="L194" s="25">
        <f t="shared" si="30"/>
        <v>0</v>
      </c>
      <c r="M194" s="25">
        <f t="shared" si="29"/>
        <v>-13052759.440000026</v>
      </c>
      <c r="N194" s="12">
        <f t="shared" si="26"/>
        <v>-3.122395374189571E-2</v>
      </c>
    </row>
    <row r="195" spans="1:14">
      <c r="A195" s="15">
        <v>41844</v>
      </c>
      <c r="B195" s="14">
        <v>1638843.6500000001</v>
      </c>
      <c r="C195" s="13">
        <v>-268622.75</v>
      </c>
      <c r="D195" s="27">
        <v>409861677.51000005</v>
      </c>
      <c r="E195" s="3">
        <f t="shared" si="25"/>
        <v>41844</v>
      </c>
      <c r="F195" s="12">
        <f t="shared" ref="F195:F242" si="31">G195/GETPIVOTDATA("Sum of A_OUTSTANDING",$A$1,"D_H_PROCESSED",A195)</f>
        <v>3.3431300733564404E-3</v>
      </c>
      <c r="G195" s="25">
        <f t="shared" ref="G195:G242" si="32">ABS(GETPIVOTDATA("Sum of A_SHARE_SUB",$A$1,"D_H_PROCESSED",A195)+GETPIVOTDATA("Sum of A_SHARE_RED",$A$1,"D_H_PROCESSED",A195))</f>
        <v>1370220.9000000001</v>
      </c>
      <c r="H195" s="12">
        <f t="shared" ref="H195:H242" si="33">I195/GETPIVOTDATA("Sum of A_OUTSTANDING",$A$1,"D_H_PROCESSED",A195)</f>
        <v>3.3431300733564404E-3</v>
      </c>
      <c r="I195" s="25">
        <f t="shared" ref="I195:I242" si="34">GETPIVOTDATA("Sum of A_SHARE_SUB",$A$1,"D_H_PROCESSED",A195)+GETPIVOTDATA("Sum of A_SHARE_RED",$A$1,"D_H_PROCESSED",A195)</f>
        <v>1370220.9000000001</v>
      </c>
      <c r="J195" s="11">
        <f t="shared" si="27"/>
        <v>0.11987666044934762</v>
      </c>
      <c r="K195" s="25">
        <f t="shared" si="28"/>
        <v>33317461.459999975</v>
      </c>
      <c r="L195" s="25">
        <f t="shared" si="30"/>
        <v>0</v>
      </c>
      <c r="M195" s="25">
        <f t="shared" si="29"/>
        <v>-11682538.540000025</v>
      </c>
      <c r="N195" s="12">
        <f t="shared" si="26"/>
        <v>-2.8503612757782137E-2</v>
      </c>
    </row>
    <row r="196" spans="1:14">
      <c r="A196" s="15">
        <v>41845</v>
      </c>
      <c r="B196" s="14">
        <v>2795066.4299999997</v>
      </c>
      <c r="C196" s="13">
        <v>-1219073.4400000002</v>
      </c>
      <c r="D196" s="27">
        <v>422302069.27999997</v>
      </c>
      <c r="E196" s="3">
        <f t="shared" ref="E196:E242" si="35">A196</f>
        <v>41845</v>
      </c>
      <c r="F196" s="12">
        <f t="shared" si="31"/>
        <v>3.7319092295403011E-3</v>
      </c>
      <c r="G196" s="25">
        <f t="shared" si="32"/>
        <v>1575992.9899999995</v>
      </c>
      <c r="H196" s="12">
        <f t="shared" si="33"/>
        <v>3.7319092295403011E-3</v>
      </c>
      <c r="I196" s="25">
        <f t="shared" si="34"/>
        <v>1575992.9899999995</v>
      </c>
      <c r="J196" s="11">
        <f t="shared" si="27"/>
        <v>0.12360856967888792</v>
      </c>
      <c r="K196" s="25">
        <f t="shared" si="28"/>
        <v>34893454.449999973</v>
      </c>
      <c r="L196" s="25">
        <f t="shared" si="30"/>
        <v>0</v>
      </c>
      <c r="M196" s="25">
        <f t="shared" si="29"/>
        <v>-10106545.550000025</v>
      </c>
      <c r="N196" s="12">
        <f t="shared" ref="N196:N242" si="36">M196/GETPIVOTDATA("Sum of A_OUTSTANDING",$A$1,"D_H_PROCESSED",A196)</f>
        <v>-2.3932029429150292E-2</v>
      </c>
    </row>
    <row r="197" spans="1:14">
      <c r="A197" s="15">
        <v>41848</v>
      </c>
      <c r="B197" s="14">
        <v>1021109.1900000001</v>
      </c>
      <c r="C197" s="13">
        <v>-516731.54</v>
      </c>
      <c r="D197" s="27">
        <v>413191650.52999997</v>
      </c>
      <c r="E197" s="3">
        <f t="shared" si="35"/>
        <v>41848</v>
      </c>
      <c r="F197" s="12">
        <f t="shared" si="31"/>
        <v>1.2206869363237036E-3</v>
      </c>
      <c r="G197" s="25">
        <f t="shared" si="32"/>
        <v>504377.65000000008</v>
      </c>
      <c r="H197" s="12">
        <f t="shared" si="33"/>
        <v>1.2206869363237036E-3</v>
      </c>
      <c r="I197" s="25">
        <f t="shared" si="34"/>
        <v>504377.65000000008</v>
      </c>
      <c r="J197" s="11">
        <f t="shared" ref="J197:J242" si="37">J196+H197</f>
        <v>0.12482925661521162</v>
      </c>
      <c r="K197" s="25">
        <f t="shared" ref="K197:K242" si="38">K196+I197</f>
        <v>35397832.099999972</v>
      </c>
      <c r="L197" s="25">
        <f t="shared" si="30"/>
        <v>0</v>
      </c>
      <c r="M197" s="25">
        <f t="shared" ref="M197:M242" si="39">M196+L197+I197</f>
        <v>-9602167.9000000246</v>
      </c>
      <c r="N197" s="12">
        <f t="shared" si="36"/>
        <v>-2.3239017263982333E-2</v>
      </c>
    </row>
    <row r="198" spans="1:14">
      <c r="A198" s="15">
        <v>41849</v>
      </c>
      <c r="B198" s="14">
        <v>1462668.33</v>
      </c>
      <c r="C198" s="13">
        <v>-2017620.95</v>
      </c>
      <c r="D198" s="27">
        <v>420486127.25999993</v>
      </c>
      <c r="E198" s="3">
        <f t="shared" si="35"/>
        <v>41849</v>
      </c>
      <c r="F198" s="12">
        <f t="shared" si="31"/>
        <v>1.3197881785451985E-3</v>
      </c>
      <c r="G198" s="25">
        <f t="shared" si="32"/>
        <v>554952.61999999988</v>
      </c>
      <c r="H198" s="12">
        <f t="shared" si="33"/>
        <v>-1.3197881785451985E-3</v>
      </c>
      <c r="I198" s="25">
        <f t="shared" si="34"/>
        <v>-554952.61999999988</v>
      </c>
      <c r="J198" s="11">
        <f t="shared" si="37"/>
        <v>0.12350946843666642</v>
      </c>
      <c r="K198" s="25">
        <f t="shared" si="38"/>
        <v>34842879.479999974</v>
      </c>
      <c r="L198" s="25">
        <f t="shared" si="30"/>
        <v>0</v>
      </c>
      <c r="M198" s="25">
        <f t="shared" si="39"/>
        <v>-10157120.520000024</v>
      </c>
      <c r="N198" s="12">
        <f t="shared" si="36"/>
        <v>-2.4155661415482449E-2</v>
      </c>
    </row>
    <row r="199" spans="1:14">
      <c r="A199" s="15">
        <v>41850</v>
      </c>
      <c r="B199" s="14">
        <v>584720.47</v>
      </c>
      <c r="C199" s="13">
        <v>-2671107.4600000004</v>
      </c>
      <c r="D199" s="27">
        <v>414872785.88</v>
      </c>
      <c r="E199" s="3">
        <f t="shared" si="35"/>
        <v>41850</v>
      </c>
      <c r="F199" s="12">
        <f t="shared" si="31"/>
        <v>5.0289801139269666E-3</v>
      </c>
      <c r="G199" s="25">
        <f t="shared" si="32"/>
        <v>2086386.9900000005</v>
      </c>
      <c r="H199" s="12">
        <f t="shared" si="33"/>
        <v>-5.0289801139269666E-3</v>
      </c>
      <c r="I199" s="25">
        <f t="shared" si="34"/>
        <v>-2086386.9900000005</v>
      </c>
      <c r="J199" s="11">
        <f t="shared" si="37"/>
        <v>0.11848048832273946</v>
      </c>
      <c r="K199" s="25">
        <f t="shared" si="38"/>
        <v>32756492.489999972</v>
      </c>
      <c r="L199" s="25">
        <f t="shared" si="30"/>
        <v>0</v>
      </c>
      <c r="M199" s="25">
        <f t="shared" si="39"/>
        <v>-12243507.510000024</v>
      </c>
      <c r="N199" s="12">
        <f t="shared" si="36"/>
        <v>-2.9511474183658317E-2</v>
      </c>
    </row>
    <row r="200" spans="1:14">
      <c r="A200" s="15">
        <v>41851</v>
      </c>
      <c r="B200" s="14">
        <v>1530914.48</v>
      </c>
      <c r="C200" s="13">
        <v>-619215.69000000006</v>
      </c>
      <c r="D200" s="27">
        <v>389450033.42999995</v>
      </c>
      <c r="E200" s="3">
        <f t="shared" si="35"/>
        <v>41851</v>
      </c>
      <c r="F200" s="12">
        <f t="shared" si="31"/>
        <v>2.340990401182927E-3</v>
      </c>
      <c r="G200" s="25">
        <f t="shared" si="32"/>
        <v>911698.78999999992</v>
      </c>
      <c r="H200" s="12">
        <f t="shared" si="33"/>
        <v>2.340990401182927E-3</v>
      </c>
      <c r="I200" s="25">
        <f t="shared" si="34"/>
        <v>911698.78999999992</v>
      </c>
      <c r="J200" s="11">
        <f t="shared" si="37"/>
        <v>0.12082147872392238</v>
      </c>
      <c r="K200" s="25">
        <f t="shared" si="38"/>
        <v>33668191.279999971</v>
      </c>
      <c r="L200" s="25">
        <f t="shared" ref="L200:L242" si="40">CorrectNCCF($N$1,M199+I200,GETPIVOTDATA("Sum of A_OUTSTANDING",$A$1,"D_H_PROCESSED",E200),$O$1)</f>
        <v>0</v>
      </c>
      <c r="M200" s="25">
        <f t="shared" si="39"/>
        <v>-11331808.720000025</v>
      </c>
      <c r="N200" s="12">
        <f t="shared" si="36"/>
        <v>-2.9096951463060568E-2</v>
      </c>
    </row>
    <row r="201" spans="1:14">
      <c r="A201" s="15">
        <v>41852</v>
      </c>
      <c r="B201" s="14">
        <v>111872.54000000001</v>
      </c>
      <c r="C201" s="13">
        <v>-1309142.3</v>
      </c>
      <c r="D201" s="27">
        <v>389247161.57999998</v>
      </c>
      <c r="E201" s="3">
        <f t="shared" si="35"/>
        <v>41852</v>
      </c>
      <c r="F201" s="12">
        <f t="shared" si="31"/>
        <v>3.0758599629606581E-3</v>
      </c>
      <c r="G201" s="25">
        <f t="shared" si="32"/>
        <v>1197269.76</v>
      </c>
      <c r="H201" s="12">
        <f t="shared" si="33"/>
        <v>-3.0758599629606581E-3</v>
      </c>
      <c r="I201" s="25">
        <f t="shared" si="34"/>
        <v>-1197269.76</v>
      </c>
      <c r="J201" s="11">
        <f t="shared" si="37"/>
        <v>0.11774561876096172</v>
      </c>
      <c r="K201" s="25">
        <f t="shared" si="38"/>
        <v>32470921.51999997</v>
      </c>
      <c r="L201" s="25">
        <f t="shared" si="40"/>
        <v>0</v>
      </c>
      <c r="M201" s="25">
        <f t="shared" si="39"/>
        <v>-12529078.480000025</v>
      </c>
      <c r="N201" s="12">
        <f t="shared" si="36"/>
        <v>-3.2187976475263232E-2</v>
      </c>
    </row>
    <row r="202" spans="1:14">
      <c r="A202" s="15">
        <v>41856</v>
      </c>
      <c r="B202" s="14">
        <v>1023175.62</v>
      </c>
      <c r="C202" s="13">
        <v>-886769.7699999999</v>
      </c>
      <c r="D202" s="27">
        <v>409090592.01999998</v>
      </c>
      <c r="E202" s="3">
        <f t="shared" si="35"/>
        <v>41856</v>
      </c>
      <c r="F202" s="12">
        <f t="shared" si="31"/>
        <v>3.3343678065647463E-4</v>
      </c>
      <c r="G202" s="25">
        <f t="shared" si="32"/>
        <v>136405.85000000009</v>
      </c>
      <c r="H202" s="12">
        <f t="shared" si="33"/>
        <v>3.3343678065647463E-4</v>
      </c>
      <c r="I202" s="25">
        <f t="shared" si="34"/>
        <v>136405.85000000009</v>
      </c>
      <c r="J202" s="11">
        <f t="shared" si="37"/>
        <v>0.1180790555416182</v>
      </c>
      <c r="K202" s="25">
        <f t="shared" si="38"/>
        <v>32607327.369999971</v>
      </c>
      <c r="L202" s="25">
        <f t="shared" si="40"/>
        <v>0</v>
      </c>
      <c r="M202" s="25">
        <f t="shared" si="39"/>
        <v>-12392672.630000025</v>
      </c>
      <c r="N202" s="12">
        <f t="shared" si="36"/>
        <v>-3.0293223241355208E-2</v>
      </c>
    </row>
    <row r="203" spans="1:14">
      <c r="A203" s="15">
        <v>41857</v>
      </c>
      <c r="B203" s="14">
        <v>1063521.8299999998</v>
      </c>
      <c r="C203" s="13">
        <v>-5239344.7700000005</v>
      </c>
      <c r="D203" s="27">
        <v>415436587.80000001</v>
      </c>
      <c r="E203" s="3">
        <f t="shared" si="35"/>
        <v>41857</v>
      </c>
      <c r="F203" s="12">
        <f t="shared" si="31"/>
        <v>1.0051649427686736E-2</v>
      </c>
      <c r="G203" s="25">
        <f t="shared" si="32"/>
        <v>4175822.9400000004</v>
      </c>
      <c r="H203" s="12">
        <f t="shared" si="33"/>
        <v>-1.0051649427686736E-2</v>
      </c>
      <c r="I203" s="25">
        <f t="shared" si="34"/>
        <v>-4175822.9400000004</v>
      </c>
      <c r="J203" s="11">
        <f t="shared" si="37"/>
        <v>0.10802740611393147</v>
      </c>
      <c r="K203" s="25">
        <f t="shared" si="38"/>
        <v>28431504.42999997</v>
      </c>
      <c r="L203" s="25">
        <f t="shared" si="40"/>
        <v>0</v>
      </c>
      <c r="M203" s="25">
        <f t="shared" si="39"/>
        <v>-16568495.570000026</v>
      </c>
      <c r="N203" s="12">
        <f t="shared" si="36"/>
        <v>-3.988212896158403E-2</v>
      </c>
    </row>
    <row r="204" spans="1:14">
      <c r="A204" s="15">
        <v>41858</v>
      </c>
      <c r="B204" s="14">
        <v>1136966.49</v>
      </c>
      <c r="C204" s="13">
        <v>-4277856.3</v>
      </c>
      <c r="D204" s="27">
        <v>405358756.10999995</v>
      </c>
      <c r="E204" s="3">
        <f t="shared" si="35"/>
        <v>41858</v>
      </c>
      <c r="F204" s="12">
        <f t="shared" si="31"/>
        <v>7.7484197951990796E-3</v>
      </c>
      <c r="G204" s="25">
        <f t="shared" si="32"/>
        <v>3140889.8099999996</v>
      </c>
      <c r="H204" s="12">
        <f t="shared" si="33"/>
        <v>-7.7484197951990796E-3</v>
      </c>
      <c r="I204" s="25">
        <f t="shared" si="34"/>
        <v>-3140889.8099999996</v>
      </c>
      <c r="J204" s="11">
        <f t="shared" si="37"/>
        <v>0.10027898631873239</v>
      </c>
      <c r="K204" s="25">
        <f t="shared" si="38"/>
        <v>25290614.619999971</v>
      </c>
      <c r="L204" s="25">
        <f t="shared" si="40"/>
        <v>20000000</v>
      </c>
      <c r="M204" s="25">
        <f t="shared" si="39"/>
        <v>290614.61999997403</v>
      </c>
      <c r="N204" s="12">
        <f t="shared" si="36"/>
        <v>7.1693189210673307E-4</v>
      </c>
    </row>
    <row r="205" spans="1:14">
      <c r="A205" s="15">
        <v>41859</v>
      </c>
      <c r="B205" s="14">
        <v>804409.99000000011</v>
      </c>
      <c r="C205" s="13">
        <v>-89992.760000000009</v>
      </c>
      <c r="D205" s="27">
        <v>382264521.28000009</v>
      </c>
      <c r="E205" s="3">
        <f t="shared" si="35"/>
        <v>41859</v>
      </c>
      <c r="F205" s="12">
        <f t="shared" si="31"/>
        <v>1.8689080210943921E-3</v>
      </c>
      <c r="G205" s="25">
        <f t="shared" si="32"/>
        <v>714417.2300000001</v>
      </c>
      <c r="H205" s="12">
        <f t="shared" si="33"/>
        <v>1.8689080210943921E-3</v>
      </c>
      <c r="I205" s="25">
        <f t="shared" si="34"/>
        <v>714417.2300000001</v>
      </c>
      <c r="J205" s="11">
        <f t="shared" si="37"/>
        <v>0.10214789433982678</v>
      </c>
      <c r="K205" s="25">
        <f t="shared" si="38"/>
        <v>26005031.849999972</v>
      </c>
      <c r="L205" s="25">
        <f t="shared" si="40"/>
        <v>0</v>
      </c>
      <c r="M205" s="25">
        <f t="shared" si="39"/>
        <v>1005031.8499999741</v>
      </c>
      <c r="N205" s="12">
        <f t="shared" si="36"/>
        <v>2.6291528354100407E-3</v>
      </c>
    </row>
    <row r="206" spans="1:14">
      <c r="A206" s="15">
        <v>41862</v>
      </c>
      <c r="B206" s="14">
        <v>670213.88</v>
      </c>
      <c r="C206" s="13">
        <v>-2752415.4</v>
      </c>
      <c r="D206" s="27">
        <v>397657306.70000005</v>
      </c>
      <c r="E206" s="3">
        <f t="shared" si="35"/>
        <v>41862</v>
      </c>
      <c r="F206" s="12">
        <f t="shared" si="31"/>
        <v>5.236170654776503E-3</v>
      </c>
      <c r="G206" s="25">
        <f t="shared" si="32"/>
        <v>2082201.52</v>
      </c>
      <c r="H206" s="12">
        <f t="shared" si="33"/>
        <v>-5.236170654776503E-3</v>
      </c>
      <c r="I206" s="25">
        <f t="shared" si="34"/>
        <v>-2082201.52</v>
      </c>
      <c r="J206" s="11">
        <f t="shared" si="37"/>
        <v>9.6911723685050272E-2</v>
      </c>
      <c r="K206" s="25">
        <f t="shared" si="38"/>
        <v>23922830.329999972</v>
      </c>
      <c r="L206" s="25">
        <f t="shared" si="40"/>
        <v>0</v>
      </c>
      <c r="M206" s="25">
        <f t="shared" si="39"/>
        <v>-1077169.670000026</v>
      </c>
      <c r="N206" s="12">
        <f t="shared" si="36"/>
        <v>-2.7087888285997532E-3</v>
      </c>
    </row>
    <row r="207" spans="1:14">
      <c r="A207" s="15">
        <v>41863</v>
      </c>
      <c r="B207" s="14">
        <v>1610832.0599999998</v>
      </c>
      <c r="C207" s="13">
        <v>-504837.72000000003</v>
      </c>
      <c r="D207" s="27">
        <v>410869458.78999996</v>
      </c>
      <c r="E207" s="3">
        <f t="shared" si="35"/>
        <v>41863</v>
      </c>
      <c r="F207" s="12">
        <f t="shared" si="31"/>
        <v>2.6918387734564766E-3</v>
      </c>
      <c r="G207" s="25">
        <f t="shared" si="32"/>
        <v>1105994.3399999999</v>
      </c>
      <c r="H207" s="12">
        <f t="shared" si="33"/>
        <v>2.6918387734564766E-3</v>
      </c>
      <c r="I207" s="25">
        <f t="shared" si="34"/>
        <v>1105994.3399999999</v>
      </c>
      <c r="J207" s="11">
        <f t="shared" si="37"/>
        <v>9.9603562458506753E-2</v>
      </c>
      <c r="K207" s="25">
        <f t="shared" si="38"/>
        <v>25028824.669999972</v>
      </c>
      <c r="L207" s="25">
        <f t="shared" si="40"/>
        <v>0</v>
      </c>
      <c r="M207" s="25">
        <f t="shared" si="39"/>
        <v>28824.669999973848</v>
      </c>
      <c r="N207" s="12">
        <f t="shared" si="36"/>
        <v>7.0155299653719123E-5</v>
      </c>
    </row>
    <row r="208" spans="1:14">
      <c r="A208" s="15">
        <v>41864</v>
      </c>
      <c r="B208" s="14">
        <v>1241634.3299999998</v>
      </c>
      <c r="C208" s="13">
        <v>-186887.48</v>
      </c>
      <c r="D208" s="27">
        <v>399744389.24000001</v>
      </c>
      <c r="E208" s="3">
        <f t="shared" si="35"/>
        <v>41864</v>
      </c>
      <c r="F208" s="12">
        <f t="shared" si="31"/>
        <v>2.6385532314920049E-3</v>
      </c>
      <c r="G208" s="25">
        <f t="shared" si="32"/>
        <v>1054746.8499999999</v>
      </c>
      <c r="H208" s="12">
        <f t="shared" si="33"/>
        <v>2.6385532314920049E-3</v>
      </c>
      <c r="I208" s="25">
        <f t="shared" si="34"/>
        <v>1054746.8499999999</v>
      </c>
      <c r="J208" s="11">
        <f t="shared" si="37"/>
        <v>0.10224211568999876</v>
      </c>
      <c r="K208" s="25">
        <f t="shared" si="38"/>
        <v>26083571.519999973</v>
      </c>
      <c r="L208" s="25">
        <f t="shared" si="40"/>
        <v>0</v>
      </c>
      <c r="M208" s="25">
        <f t="shared" si="39"/>
        <v>1083571.5199999737</v>
      </c>
      <c r="N208" s="12">
        <f t="shared" si="36"/>
        <v>2.7106609852863128E-3</v>
      </c>
    </row>
    <row r="209" spans="1:14">
      <c r="A209" s="15">
        <v>41865</v>
      </c>
      <c r="B209" s="14">
        <v>2098247.2599999998</v>
      </c>
      <c r="C209" s="13">
        <v>-3087713.8899999997</v>
      </c>
      <c r="D209" s="27">
        <v>408400961.17000008</v>
      </c>
      <c r="E209" s="3">
        <f t="shared" si="35"/>
        <v>41865</v>
      </c>
      <c r="F209" s="12">
        <f t="shared" si="31"/>
        <v>2.4227823244229014E-3</v>
      </c>
      <c r="G209" s="25">
        <f t="shared" si="32"/>
        <v>989466.62999999989</v>
      </c>
      <c r="H209" s="12">
        <f t="shared" si="33"/>
        <v>-2.4227823244229014E-3</v>
      </c>
      <c r="I209" s="25">
        <f t="shared" si="34"/>
        <v>-989466.62999999989</v>
      </c>
      <c r="J209" s="11">
        <f t="shared" si="37"/>
        <v>9.9819333365575857E-2</v>
      </c>
      <c r="K209" s="25">
        <f t="shared" si="38"/>
        <v>25094104.889999975</v>
      </c>
      <c r="L209" s="25">
        <f t="shared" si="40"/>
        <v>0</v>
      </c>
      <c r="M209" s="25">
        <f t="shared" si="39"/>
        <v>94104.889999973821</v>
      </c>
      <c r="N209" s="12">
        <f t="shared" si="36"/>
        <v>2.3042279266527468E-4</v>
      </c>
    </row>
    <row r="210" spans="1:14">
      <c r="A210" s="15">
        <v>41866</v>
      </c>
      <c r="B210" s="14">
        <v>713947.96000000008</v>
      </c>
      <c r="C210" s="13">
        <v>-309530.31000000006</v>
      </c>
      <c r="D210" s="27">
        <v>407743464.52999997</v>
      </c>
      <c r="E210" s="3">
        <f t="shared" si="35"/>
        <v>41866</v>
      </c>
      <c r="F210" s="12">
        <f t="shared" si="31"/>
        <v>9.9184336520553775E-4</v>
      </c>
      <c r="G210" s="25">
        <f t="shared" si="32"/>
        <v>404417.65</v>
      </c>
      <c r="H210" s="12">
        <f t="shared" si="33"/>
        <v>9.9184336520553775E-4</v>
      </c>
      <c r="I210" s="25">
        <f t="shared" si="34"/>
        <v>404417.65</v>
      </c>
      <c r="J210" s="11">
        <f t="shared" si="37"/>
        <v>0.1008111767307814</v>
      </c>
      <c r="K210" s="25">
        <f t="shared" si="38"/>
        <v>25498522.539999973</v>
      </c>
      <c r="L210" s="25">
        <f t="shared" si="40"/>
        <v>0</v>
      </c>
      <c r="M210" s="25">
        <f t="shared" si="39"/>
        <v>498522.53999997384</v>
      </c>
      <c r="N210" s="12">
        <f t="shared" si="36"/>
        <v>1.2226377204466383E-3</v>
      </c>
    </row>
    <row r="211" spans="1:14">
      <c r="A211" s="15">
        <v>41869</v>
      </c>
      <c r="B211" s="14">
        <v>847174.08</v>
      </c>
      <c r="C211" s="13">
        <v>-758884.11</v>
      </c>
      <c r="D211" s="27">
        <v>393793839.59999996</v>
      </c>
      <c r="E211" s="3">
        <f t="shared" si="35"/>
        <v>41869</v>
      </c>
      <c r="F211" s="12">
        <f t="shared" si="31"/>
        <v>2.2420353271570068E-4</v>
      </c>
      <c r="G211" s="25">
        <f t="shared" si="32"/>
        <v>88289.969999999972</v>
      </c>
      <c r="H211" s="12">
        <f t="shared" si="33"/>
        <v>2.2420353271570068E-4</v>
      </c>
      <c r="I211" s="25">
        <f t="shared" si="34"/>
        <v>88289.969999999972</v>
      </c>
      <c r="J211" s="11">
        <f t="shared" si="37"/>
        <v>0.10103538026349709</v>
      </c>
      <c r="K211" s="25">
        <f t="shared" si="38"/>
        <v>25586812.509999972</v>
      </c>
      <c r="L211" s="25">
        <f t="shared" si="40"/>
        <v>0</v>
      </c>
      <c r="M211" s="25">
        <f t="shared" si="39"/>
        <v>586812.50999997382</v>
      </c>
      <c r="N211" s="12">
        <f t="shared" si="36"/>
        <v>1.4901515742248139E-3</v>
      </c>
    </row>
    <row r="212" spans="1:14">
      <c r="A212" s="15">
        <v>41870</v>
      </c>
      <c r="B212" s="14">
        <v>7246639.3600000003</v>
      </c>
      <c r="C212" s="13">
        <v>-364825.89999999997</v>
      </c>
      <c r="D212" s="27">
        <v>423986470.3499999</v>
      </c>
      <c r="E212" s="3">
        <f t="shared" si="35"/>
        <v>41870</v>
      </c>
      <c r="F212" s="12">
        <f t="shared" si="31"/>
        <v>1.6231210053280893E-2</v>
      </c>
      <c r="G212" s="25">
        <f t="shared" si="32"/>
        <v>6881813.46</v>
      </c>
      <c r="H212" s="12">
        <f t="shared" si="33"/>
        <v>1.6231210053280893E-2</v>
      </c>
      <c r="I212" s="25">
        <f t="shared" si="34"/>
        <v>6881813.46</v>
      </c>
      <c r="J212" s="11">
        <f t="shared" si="37"/>
        <v>0.11726659031677798</v>
      </c>
      <c r="K212" s="25">
        <f t="shared" si="38"/>
        <v>32468625.969999973</v>
      </c>
      <c r="L212" s="25">
        <f t="shared" si="40"/>
        <v>0</v>
      </c>
      <c r="M212" s="25">
        <f t="shared" si="39"/>
        <v>7468625.9699999737</v>
      </c>
      <c r="N212" s="12">
        <f t="shared" si="36"/>
        <v>1.7615245986115167E-2</v>
      </c>
    </row>
    <row r="213" spans="1:14">
      <c r="A213" s="15">
        <v>41871</v>
      </c>
      <c r="B213" s="14">
        <v>1246888.3599999999</v>
      </c>
      <c r="C213" s="13">
        <v>-438302.96</v>
      </c>
      <c r="D213" s="27">
        <v>414080020.21000004</v>
      </c>
      <c r="E213" s="3">
        <f t="shared" si="35"/>
        <v>41871</v>
      </c>
      <c r="F213" s="12">
        <f t="shared" si="31"/>
        <v>1.9527273969652704E-3</v>
      </c>
      <c r="G213" s="25">
        <f t="shared" si="32"/>
        <v>808585.39999999991</v>
      </c>
      <c r="H213" s="12">
        <f t="shared" si="33"/>
        <v>1.9527273969652704E-3</v>
      </c>
      <c r="I213" s="25">
        <f t="shared" si="34"/>
        <v>808585.39999999991</v>
      </c>
      <c r="J213" s="11">
        <f t="shared" si="37"/>
        <v>0.11921931771374325</v>
      </c>
      <c r="K213" s="25">
        <f t="shared" si="38"/>
        <v>33277211.369999971</v>
      </c>
      <c r="L213" s="25">
        <f t="shared" si="40"/>
        <v>0</v>
      </c>
      <c r="M213" s="25">
        <f t="shared" si="39"/>
        <v>8277211.3699999731</v>
      </c>
      <c r="N213" s="12">
        <f t="shared" si="36"/>
        <v>1.9989400516842611E-2</v>
      </c>
    </row>
    <row r="214" spans="1:14">
      <c r="A214" s="15">
        <v>41872</v>
      </c>
      <c r="B214" s="14">
        <v>4300537.41</v>
      </c>
      <c r="C214" s="13">
        <v>-2661761.2000000002</v>
      </c>
      <c r="D214" s="27">
        <v>425919654.50999999</v>
      </c>
      <c r="E214" s="3">
        <f t="shared" si="35"/>
        <v>41872</v>
      </c>
      <c r="F214" s="12">
        <f t="shared" si="31"/>
        <v>3.8476181895980661E-3</v>
      </c>
      <c r="G214" s="25">
        <f t="shared" si="32"/>
        <v>1638776.21</v>
      </c>
      <c r="H214" s="12">
        <f t="shared" si="33"/>
        <v>3.8476181895980661E-3</v>
      </c>
      <c r="I214" s="25">
        <f t="shared" si="34"/>
        <v>1638776.21</v>
      </c>
      <c r="J214" s="11">
        <f t="shared" si="37"/>
        <v>0.12306693590334132</v>
      </c>
      <c r="K214" s="25">
        <f t="shared" si="38"/>
        <v>34915987.579999968</v>
      </c>
      <c r="L214" s="25">
        <f t="shared" si="40"/>
        <v>0</v>
      </c>
      <c r="M214" s="25">
        <f t="shared" si="39"/>
        <v>9915987.5799999721</v>
      </c>
      <c r="N214" s="12">
        <f t="shared" si="36"/>
        <v>2.3281357117477561E-2</v>
      </c>
    </row>
    <row r="215" spans="1:14">
      <c r="A215" s="15">
        <v>41873</v>
      </c>
      <c r="B215" s="14">
        <v>341816.81999999995</v>
      </c>
      <c r="C215" s="13">
        <v>-4000610.23</v>
      </c>
      <c r="D215" s="27">
        <v>421822909.09000003</v>
      </c>
      <c r="E215" s="3">
        <f t="shared" si="35"/>
        <v>41873</v>
      </c>
      <c r="F215" s="12">
        <f t="shared" si="31"/>
        <v>8.6737664815150217E-3</v>
      </c>
      <c r="G215" s="25">
        <f t="shared" si="32"/>
        <v>3658793.41</v>
      </c>
      <c r="H215" s="12">
        <f t="shared" si="33"/>
        <v>-8.6737664815150217E-3</v>
      </c>
      <c r="I215" s="25">
        <f t="shared" si="34"/>
        <v>-3658793.41</v>
      </c>
      <c r="J215" s="11">
        <f t="shared" si="37"/>
        <v>0.1143931694218263</v>
      </c>
      <c r="K215" s="25">
        <f t="shared" si="38"/>
        <v>31257194.169999968</v>
      </c>
      <c r="L215" s="25">
        <f t="shared" si="40"/>
        <v>0</v>
      </c>
      <c r="M215" s="25">
        <f t="shared" si="39"/>
        <v>6257194.169999972</v>
      </c>
      <c r="N215" s="12">
        <f t="shared" si="36"/>
        <v>1.4833699249523071E-2</v>
      </c>
    </row>
    <row r="216" spans="1:14">
      <c r="A216" s="15">
        <v>41876</v>
      </c>
      <c r="B216" s="14">
        <v>14347483.779999999</v>
      </c>
      <c r="C216" s="13">
        <v>-846870.84</v>
      </c>
      <c r="D216" s="27">
        <v>423654454.3599999</v>
      </c>
      <c r="E216" s="3">
        <f t="shared" si="35"/>
        <v>41876</v>
      </c>
      <c r="F216" s="12">
        <f t="shared" si="31"/>
        <v>3.1867038812078363E-2</v>
      </c>
      <c r="G216" s="25">
        <f t="shared" si="32"/>
        <v>13500612.939999999</v>
      </c>
      <c r="H216" s="12">
        <f t="shared" si="33"/>
        <v>3.1867038812078363E-2</v>
      </c>
      <c r="I216" s="25">
        <f t="shared" si="34"/>
        <v>13500612.939999999</v>
      </c>
      <c r="J216" s="11">
        <f t="shared" si="37"/>
        <v>0.14626020823390468</v>
      </c>
      <c r="K216" s="25">
        <f t="shared" si="38"/>
        <v>44757807.10999997</v>
      </c>
      <c r="L216" s="25">
        <f t="shared" si="40"/>
        <v>-15000000</v>
      </c>
      <c r="M216" s="25">
        <f t="shared" si="39"/>
        <v>4757807.1099999715</v>
      </c>
      <c r="N216" s="12">
        <f t="shared" si="36"/>
        <v>1.1230395576006455E-2</v>
      </c>
    </row>
    <row r="217" spans="1:14">
      <c r="A217" s="15">
        <v>41877</v>
      </c>
      <c r="B217" s="14">
        <v>3735663.18</v>
      </c>
      <c r="C217" s="13">
        <v>-162243.68000000002</v>
      </c>
      <c r="D217" s="27">
        <v>427754171.56</v>
      </c>
      <c r="E217" s="3">
        <f t="shared" si="35"/>
        <v>41877</v>
      </c>
      <c r="F217" s="12">
        <f t="shared" si="31"/>
        <v>8.3539091786478704E-3</v>
      </c>
      <c r="G217" s="25">
        <f t="shared" si="32"/>
        <v>3573419.5</v>
      </c>
      <c r="H217" s="12">
        <f t="shared" si="33"/>
        <v>8.3539091786478704E-3</v>
      </c>
      <c r="I217" s="25">
        <f t="shared" si="34"/>
        <v>3573419.5</v>
      </c>
      <c r="J217" s="11">
        <f t="shared" si="37"/>
        <v>0.15461411741255254</v>
      </c>
      <c r="K217" s="25">
        <f t="shared" si="38"/>
        <v>48331226.60999997</v>
      </c>
      <c r="L217" s="25">
        <f t="shared" si="40"/>
        <v>0</v>
      </c>
      <c r="M217" s="25">
        <f t="shared" si="39"/>
        <v>8331226.6099999715</v>
      </c>
      <c r="N217" s="12">
        <f t="shared" si="36"/>
        <v>1.9476669460911082E-2</v>
      </c>
    </row>
    <row r="218" spans="1:14">
      <c r="A218" s="15">
        <v>41878</v>
      </c>
      <c r="B218" s="14">
        <v>848820.84999999986</v>
      </c>
      <c r="C218" s="13">
        <v>-469225.41</v>
      </c>
      <c r="D218" s="27">
        <v>429939276.30000001</v>
      </c>
      <c r="E218" s="3">
        <f t="shared" si="35"/>
        <v>41878</v>
      </c>
      <c r="F218" s="12">
        <f t="shared" si="31"/>
        <v>8.8290477498763906E-4</v>
      </c>
      <c r="G218" s="25">
        <f t="shared" si="32"/>
        <v>379595.43999999989</v>
      </c>
      <c r="H218" s="12">
        <f t="shared" si="33"/>
        <v>8.8290477498763906E-4</v>
      </c>
      <c r="I218" s="25">
        <f t="shared" si="34"/>
        <v>379595.43999999989</v>
      </c>
      <c r="J218" s="11">
        <f t="shared" si="37"/>
        <v>0.15549702218754019</v>
      </c>
      <c r="K218" s="25">
        <f t="shared" si="38"/>
        <v>48710822.049999967</v>
      </c>
      <c r="L218" s="25">
        <f t="shared" si="40"/>
        <v>0</v>
      </c>
      <c r="M218" s="25">
        <f t="shared" si="39"/>
        <v>8710822.0499999709</v>
      </c>
      <c r="N218" s="12">
        <f t="shared" si="36"/>
        <v>2.0260586855344181E-2</v>
      </c>
    </row>
    <row r="219" spans="1:14">
      <c r="A219" s="15">
        <v>41879</v>
      </c>
      <c r="B219" s="14">
        <v>14294961.700000003</v>
      </c>
      <c r="C219" s="13">
        <v>-1167285.1700000002</v>
      </c>
      <c r="D219" s="27">
        <v>441345349.67999995</v>
      </c>
      <c r="E219" s="3">
        <f t="shared" si="35"/>
        <v>41879</v>
      </c>
      <c r="F219" s="12">
        <f t="shared" si="31"/>
        <v>2.9744680757412087E-2</v>
      </c>
      <c r="G219" s="25">
        <f t="shared" si="32"/>
        <v>13127676.530000003</v>
      </c>
      <c r="H219" s="12">
        <f t="shared" si="33"/>
        <v>2.9744680757412087E-2</v>
      </c>
      <c r="I219" s="25">
        <f t="shared" si="34"/>
        <v>13127676.530000003</v>
      </c>
      <c r="J219" s="11">
        <f t="shared" si="37"/>
        <v>0.18524170294495229</v>
      </c>
      <c r="K219" s="25">
        <f t="shared" si="38"/>
        <v>61838498.579999968</v>
      </c>
      <c r="L219" s="25">
        <f t="shared" si="40"/>
        <v>-20000000</v>
      </c>
      <c r="M219" s="25">
        <f t="shared" si="39"/>
        <v>1838498.579999974</v>
      </c>
      <c r="N219" s="12">
        <f t="shared" si="36"/>
        <v>4.1656688607526696E-3</v>
      </c>
    </row>
    <row r="220" spans="1:14">
      <c r="A220" s="15">
        <v>41880</v>
      </c>
      <c r="B220" s="14">
        <v>3131857.7500000005</v>
      </c>
      <c r="C220" s="13">
        <v>-2621372.3699999996</v>
      </c>
      <c r="D220" s="27">
        <v>458580565.31</v>
      </c>
      <c r="E220" s="3">
        <f t="shared" si="35"/>
        <v>41880</v>
      </c>
      <c r="F220" s="12">
        <f t="shared" si="31"/>
        <v>1.1131858142634397E-3</v>
      </c>
      <c r="G220" s="25">
        <f t="shared" si="32"/>
        <v>510485.38000000082</v>
      </c>
      <c r="H220" s="12">
        <f t="shared" si="33"/>
        <v>1.1131858142634397E-3</v>
      </c>
      <c r="I220" s="25">
        <f t="shared" si="34"/>
        <v>510485.38000000082</v>
      </c>
      <c r="J220" s="11">
        <f t="shared" si="37"/>
        <v>0.18635488875921574</v>
      </c>
      <c r="K220" s="25">
        <f t="shared" si="38"/>
        <v>62348983.959999971</v>
      </c>
      <c r="L220" s="25">
        <f t="shared" si="40"/>
        <v>0</v>
      </c>
      <c r="M220" s="25">
        <f t="shared" si="39"/>
        <v>2348983.9599999748</v>
      </c>
      <c r="N220" s="12">
        <f t="shared" si="36"/>
        <v>5.1222928699825388E-3</v>
      </c>
    </row>
    <row r="221" spans="1:14">
      <c r="A221" s="15">
        <v>41884</v>
      </c>
      <c r="B221" s="14">
        <v>3689773.19</v>
      </c>
      <c r="C221" s="13">
        <v>-452955.53</v>
      </c>
      <c r="D221" s="27">
        <v>429022151.16999996</v>
      </c>
      <c r="E221" s="3">
        <f t="shared" si="35"/>
        <v>41884</v>
      </c>
      <c r="F221" s="12">
        <f t="shared" si="31"/>
        <v>7.5446399473145425E-3</v>
      </c>
      <c r="G221" s="25">
        <f t="shared" si="32"/>
        <v>3236817.66</v>
      </c>
      <c r="H221" s="12">
        <f t="shared" si="33"/>
        <v>7.5446399473145425E-3</v>
      </c>
      <c r="I221" s="25">
        <f t="shared" si="34"/>
        <v>3236817.66</v>
      </c>
      <c r="J221" s="11">
        <f t="shared" si="37"/>
        <v>0.19389952870653029</v>
      </c>
      <c r="K221" s="25">
        <f t="shared" si="38"/>
        <v>65585801.619999975</v>
      </c>
      <c r="L221" s="25">
        <f t="shared" si="40"/>
        <v>0</v>
      </c>
      <c r="M221" s="25">
        <f t="shared" si="39"/>
        <v>5585801.619999975</v>
      </c>
      <c r="N221" s="12">
        <f t="shared" si="36"/>
        <v>1.3019844324510419E-2</v>
      </c>
    </row>
    <row r="222" spans="1:14">
      <c r="A222" s="15">
        <v>41885</v>
      </c>
      <c r="B222" s="14">
        <v>5616754.7200000007</v>
      </c>
      <c r="C222" s="13">
        <v>-511406.16999999993</v>
      </c>
      <c r="D222" s="27">
        <v>443662636.79000002</v>
      </c>
      <c r="E222" s="3">
        <f t="shared" si="35"/>
        <v>41885</v>
      </c>
      <c r="F222" s="12">
        <f t="shared" si="31"/>
        <v>1.150727631007731E-2</v>
      </c>
      <c r="G222" s="25">
        <f t="shared" si="32"/>
        <v>5105348.5500000007</v>
      </c>
      <c r="H222" s="12">
        <f t="shared" si="33"/>
        <v>1.150727631007731E-2</v>
      </c>
      <c r="I222" s="25">
        <f t="shared" si="34"/>
        <v>5105348.5500000007</v>
      </c>
      <c r="J222" s="11">
        <f t="shared" si="37"/>
        <v>0.2054068050166076</v>
      </c>
      <c r="K222" s="25">
        <f t="shared" si="38"/>
        <v>70691150.169999972</v>
      </c>
      <c r="L222" s="25">
        <f t="shared" si="40"/>
        <v>0</v>
      </c>
      <c r="M222" s="25">
        <f t="shared" si="39"/>
        <v>10691150.169999976</v>
      </c>
      <c r="N222" s="12">
        <f t="shared" si="36"/>
        <v>2.4097476964372921E-2</v>
      </c>
    </row>
    <row r="223" spans="1:14">
      <c r="A223" s="15">
        <v>41886</v>
      </c>
      <c r="B223" s="14">
        <v>2680964.25</v>
      </c>
      <c r="C223" s="13">
        <v>-4927870.5900000008</v>
      </c>
      <c r="D223" s="27">
        <v>449697704.35999995</v>
      </c>
      <c r="E223" s="3">
        <f t="shared" si="35"/>
        <v>41886</v>
      </c>
      <c r="F223" s="12">
        <f t="shared" si="31"/>
        <v>4.9964816769472939E-3</v>
      </c>
      <c r="G223" s="25">
        <f t="shared" si="32"/>
        <v>2246906.3400000008</v>
      </c>
      <c r="H223" s="12">
        <f t="shared" si="33"/>
        <v>-4.9964816769472939E-3</v>
      </c>
      <c r="I223" s="25">
        <f t="shared" si="34"/>
        <v>-2246906.3400000008</v>
      </c>
      <c r="J223" s="11">
        <f t="shared" si="37"/>
        <v>0.2004103233396603</v>
      </c>
      <c r="K223" s="25">
        <f t="shared" si="38"/>
        <v>68444243.829999968</v>
      </c>
      <c r="L223" s="25">
        <f t="shared" si="40"/>
        <v>0</v>
      </c>
      <c r="M223" s="25">
        <f t="shared" si="39"/>
        <v>8444243.8299999759</v>
      </c>
      <c r="N223" s="12">
        <f t="shared" si="36"/>
        <v>1.8777600481678335E-2</v>
      </c>
    </row>
    <row r="224" spans="1:14">
      <c r="A224" s="15">
        <v>41887</v>
      </c>
      <c r="B224" s="14">
        <v>1016186.19</v>
      </c>
      <c r="C224" s="13">
        <v>-5628890.1499999994</v>
      </c>
      <c r="D224" s="27">
        <v>461852051.09000003</v>
      </c>
      <c r="E224" s="3">
        <f t="shared" si="35"/>
        <v>41887</v>
      </c>
      <c r="F224" s="12">
        <f t="shared" si="31"/>
        <v>9.987406029947743E-3</v>
      </c>
      <c r="G224" s="25">
        <f t="shared" si="32"/>
        <v>4612703.959999999</v>
      </c>
      <c r="H224" s="12">
        <f t="shared" si="33"/>
        <v>-9.987406029947743E-3</v>
      </c>
      <c r="I224" s="25">
        <f t="shared" si="34"/>
        <v>-4612703.959999999</v>
      </c>
      <c r="J224" s="11">
        <f t="shared" si="37"/>
        <v>0.19042291730971256</v>
      </c>
      <c r="K224" s="25">
        <f t="shared" si="38"/>
        <v>63831539.869999968</v>
      </c>
      <c r="L224" s="25">
        <f t="shared" si="40"/>
        <v>0</v>
      </c>
      <c r="M224" s="25">
        <f t="shared" si="39"/>
        <v>3831539.8699999768</v>
      </c>
      <c r="N224" s="12">
        <f t="shared" si="36"/>
        <v>8.2960330282333926E-3</v>
      </c>
    </row>
    <row r="225" spans="1:14">
      <c r="A225" s="15">
        <v>41890</v>
      </c>
      <c r="B225" s="14">
        <v>8493861.3300000001</v>
      </c>
      <c r="C225" s="13">
        <v>-163110.62000000002</v>
      </c>
      <c r="D225" s="27">
        <v>471559269.6500001</v>
      </c>
      <c r="E225" s="3">
        <f t="shared" si="35"/>
        <v>41890</v>
      </c>
      <c r="F225" s="12">
        <f t="shared" si="31"/>
        <v>1.7666391578270182E-2</v>
      </c>
      <c r="G225" s="25">
        <f t="shared" si="32"/>
        <v>8330750.71</v>
      </c>
      <c r="H225" s="12">
        <f t="shared" si="33"/>
        <v>1.7666391578270182E-2</v>
      </c>
      <c r="I225" s="25">
        <f t="shared" si="34"/>
        <v>8330750.71</v>
      </c>
      <c r="J225" s="11">
        <f t="shared" si="37"/>
        <v>0.20808930888798274</v>
      </c>
      <c r="K225" s="25">
        <f t="shared" si="38"/>
        <v>72162290.579999968</v>
      </c>
      <c r="L225" s="25">
        <f t="shared" si="40"/>
        <v>0</v>
      </c>
      <c r="M225" s="25">
        <f t="shared" si="39"/>
        <v>12162290.579999976</v>
      </c>
      <c r="N225" s="12">
        <f t="shared" si="36"/>
        <v>2.5791647758355064E-2</v>
      </c>
    </row>
    <row r="226" spans="1:14">
      <c r="A226" s="15">
        <v>41891</v>
      </c>
      <c r="B226" s="14">
        <v>1653564.76</v>
      </c>
      <c r="C226" s="13">
        <v>-115989.65</v>
      </c>
      <c r="D226" s="27">
        <v>432239979.95999998</v>
      </c>
      <c r="E226" s="3">
        <f t="shared" si="35"/>
        <v>41891</v>
      </c>
      <c r="F226" s="12">
        <f t="shared" si="31"/>
        <v>3.5572255721053134E-3</v>
      </c>
      <c r="G226" s="25">
        <f t="shared" si="32"/>
        <v>1537575.11</v>
      </c>
      <c r="H226" s="12">
        <f t="shared" si="33"/>
        <v>3.5572255721053134E-3</v>
      </c>
      <c r="I226" s="25">
        <f t="shared" si="34"/>
        <v>1537575.11</v>
      </c>
      <c r="J226" s="11">
        <f t="shared" si="37"/>
        <v>0.21164653446008805</v>
      </c>
      <c r="K226" s="25">
        <f t="shared" si="38"/>
        <v>73699865.689999968</v>
      </c>
      <c r="L226" s="25">
        <f t="shared" si="40"/>
        <v>0</v>
      </c>
      <c r="M226" s="25">
        <f t="shared" si="39"/>
        <v>13699865.689999975</v>
      </c>
      <c r="N226" s="12">
        <f t="shared" si="36"/>
        <v>3.169504517205414E-2</v>
      </c>
    </row>
    <row r="227" spans="1:14">
      <c r="A227" s="15">
        <v>41892</v>
      </c>
      <c r="B227" s="14">
        <v>4878019.169999999</v>
      </c>
      <c r="C227" s="13">
        <v>-4989068.1300000008</v>
      </c>
      <c r="D227" s="27">
        <v>445012663.28000003</v>
      </c>
      <c r="E227" s="3">
        <f t="shared" si="35"/>
        <v>41892</v>
      </c>
      <c r="F227" s="12">
        <f t="shared" si="31"/>
        <v>2.495411235750168E-4</v>
      </c>
      <c r="G227" s="25">
        <f t="shared" si="32"/>
        <v>111048.96000000183</v>
      </c>
      <c r="H227" s="12">
        <f t="shared" si="33"/>
        <v>-2.495411235750168E-4</v>
      </c>
      <c r="I227" s="25">
        <f t="shared" si="34"/>
        <v>-111048.96000000183</v>
      </c>
      <c r="J227" s="11">
        <f t="shared" si="37"/>
        <v>0.21139699333651304</v>
      </c>
      <c r="K227" s="25">
        <f t="shared" si="38"/>
        <v>73588816.729999959</v>
      </c>
      <c r="L227" s="25">
        <f t="shared" si="40"/>
        <v>0</v>
      </c>
      <c r="M227" s="25">
        <f t="shared" si="39"/>
        <v>13588816.729999974</v>
      </c>
      <c r="N227" s="12">
        <f t="shared" si="36"/>
        <v>3.0535797857621751E-2</v>
      </c>
    </row>
    <row r="228" spans="1:14">
      <c r="A228" s="15">
        <v>41893</v>
      </c>
      <c r="B228" s="14">
        <v>2548718.04</v>
      </c>
      <c r="C228" s="13">
        <v>-3837351.6</v>
      </c>
      <c r="D228" s="27">
        <v>439461636.01000005</v>
      </c>
      <c r="E228" s="3">
        <f t="shared" si="35"/>
        <v>41893</v>
      </c>
      <c r="F228" s="12">
        <f t="shared" si="31"/>
        <v>2.9323004658606353E-3</v>
      </c>
      <c r="G228" s="25">
        <f t="shared" si="32"/>
        <v>1288633.56</v>
      </c>
      <c r="H228" s="12">
        <f t="shared" si="33"/>
        <v>-2.9323004658606353E-3</v>
      </c>
      <c r="I228" s="25">
        <f t="shared" si="34"/>
        <v>-1288633.56</v>
      </c>
      <c r="J228" s="11">
        <f t="shared" si="37"/>
        <v>0.20846469287065242</v>
      </c>
      <c r="K228" s="25">
        <f t="shared" si="38"/>
        <v>72300183.169999957</v>
      </c>
      <c r="L228" s="25">
        <f t="shared" si="40"/>
        <v>0</v>
      </c>
      <c r="M228" s="25">
        <f t="shared" si="39"/>
        <v>12300183.169999974</v>
      </c>
      <c r="N228" s="12">
        <f t="shared" si="36"/>
        <v>2.7989208072124138E-2</v>
      </c>
    </row>
    <row r="229" spans="1:14">
      <c r="A229" s="15">
        <v>41894</v>
      </c>
      <c r="B229" s="14">
        <v>3189545.09</v>
      </c>
      <c r="C229" s="13">
        <v>-16545254.870000001</v>
      </c>
      <c r="D229" s="27">
        <v>425428629.75999993</v>
      </c>
      <c r="E229" s="3">
        <f t="shared" si="35"/>
        <v>41894</v>
      </c>
      <c r="F229" s="12">
        <f t="shared" si="31"/>
        <v>3.1393537824509959E-2</v>
      </c>
      <c r="G229" s="25">
        <f t="shared" si="32"/>
        <v>13355709.780000001</v>
      </c>
      <c r="H229" s="12">
        <f t="shared" si="33"/>
        <v>-3.1393537824509959E-2</v>
      </c>
      <c r="I229" s="25">
        <f t="shared" si="34"/>
        <v>-13355709.780000001</v>
      </c>
      <c r="J229" s="11">
        <f t="shared" si="37"/>
        <v>0.17707115504614246</v>
      </c>
      <c r="K229" s="25">
        <f t="shared" si="38"/>
        <v>58944473.389999956</v>
      </c>
      <c r="L229" s="25">
        <f t="shared" si="40"/>
        <v>0</v>
      </c>
      <c r="M229" s="25">
        <f t="shared" si="39"/>
        <v>-1055526.6100000273</v>
      </c>
      <c r="N229" s="12">
        <f t="shared" si="36"/>
        <v>-2.4810897437614601E-3</v>
      </c>
    </row>
    <row r="230" spans="1:14">
      <c r="A230" s="15">
        <v>41897</v>
      </c>
      <c r="B230" s="14">
        <v>262098.71999999997</v>
      </c>
      <c r="C230" s="13">
        <v>-4732890.3600000003</v>
      </c>
      <c r="D230" s="27">
        <v>442792596.26999998</v>
      </c>
      <c r="E230" s="3">
        <f t="shared" si="35"/>
        <v>41897</v>
      </c>
      <c r="F230" s="12">
        <f t="shared" si="31"/>
        <v>1.0096807574609632E-2</v>
      </c>
      <c r="G230" s="25">
        <f t="shared" si="32"/>
        <v>4470791.6400000006</v>
      </c>
      <c r="H230" s="12">
        <f t="shared" si="33"/>
        <v>-1.0096807574609632E-2</v>
      </c>
      <c r="I230" s="25">
        <f t="shared" si="34"/>
        <v>-4470791.6400000006</v>
      </c>
      <c r="J230" s="11">
        <f t="shared" si="37"/>
        <v>0.16697434747153284</v>
      </c>
      <c r="K230" s="25">
        <f t="shared" si="38"/>
        <v>54473681.749999955</v>
      </c>
      <c r="L230" s="25">
        <f t="shared" si="40"/>
        <v>0</v>
      </c>
      <c r="M230" s="25">
        <f t="shared" si="39"/>
        <v>-5526318.2500000279</v>
      </c>
      <c r="N230" s="12">
        <f t="shared" si="36"/>
        <v>-1.2480602197400485E-2</v>
      </c>
    </row>
    <row r="231" spans="1:14">
      <c r="A231" s="15">
        <v>41898</v>
      </c>
      <c r="B231" s="14">
        <v>488398.29000000004</v>
      </c>
      <c r="C231" s="13">
        <v>-5240366.7399999993</v>
      </c>
      <c r="D231" s="27">
        <v>440777529.71999991</v>
      </c>
      <c r="E231" s="3">
        <f t="shared" si="35"/>
        <v>41898</v>
      </c>
      <c r="F231" s="12">
        <f t="shared" si="31"/>
        <v>1.0780877267084477E-2</v>
      </c>
      <c r="G231" s="25">
        <f t="shared" si="32"/>
        <v>4751968.4499999993</v>
      </c>
      <c r="H231" s="12">
        <f t="shared" si="33"/>
        <v>-1.0780877267084477E-2</v>
      </c>
      <c r="I231" s="25">
        <f t="shared" si="34"/>
        <v>-4751968.4499999993</v>
      </c>
      <c r="J231" s="11">
        <f t="shared" si="37"/>
        <v>0.15619347020444835</v>
      </c>
      <c r="K231" s="25">
        <f t="shared" si="38"/>
        <v>49721713.299999952</v>
      </c>
      <c r="L231" s="25">
        <f t="shared" si="40"/>
        <v>0</v>
      </c>
      <c r="M231" s="25">
        <f t="shared" si="39"/>
        <v>-10278286.700000027</v>
      </c>
      <c r="N231" s="12">
        <f t="shared" si="36"/>
        <v>-2.3318536011872518E-2</v>
      </c>
    </row>
    <row r="232" spans="1:14">
      <c r="A232" s="15">
        <v>41899</v>
      </c>
      <c r="B232" s="14">
        <v>578926.25</v>
      </c>
      <c r="C232" s="13">
        <v>-1498418.43</v>
      </c>
      <c r="D232" s="27">
        <v>433545884.88</v>
      </c>
      <c r="E232" s="3">
        <f t="shared" si="35"/>
        <v>41899</v>
      </c>
      <c r="F232" s="12">
        <f t="shared" si="31"/>
        <v>2.1208647390448736E-3</v>
      </c>
      <c r="G232" s="25">
        <f t="shared" si="32"/>
        <v>919492.17999999993</v>
      </c>
      <c r="H232" s="12">
        <f t="shared" si="33"/>
        <v>-2.1208647390448736E-3</v>
      </c>
      <c r="I232" s="25">
        <f t="shared" si="34"/>
        <v>-919492.17999999993</v>
      </c>
      <c r="J232" s="11">
        <f t="shared" si="37"/>
        <v>0.15407260546540347</v>
      </c>
      <c r="K232" s="25">
        <f t="shared" si="38"/>
        <v>48802221.119999953</v>
      </c>
      <c r="L232" s="25">
        <f t="shared" si="40"/>
        <v>0</v>
      </c>
      <c r="M232" s="25">
        <f t="shared" si="39"/>
        <v>-11197778.880000027</v>
      </c>
      <c r="N232" s="12">
        <f t="shared" si="36"/>
        <v>-2.5828359282200154E-2</v>
      </c>
    </row>
    <row r="233" spans="1:14">
      <c r="A233" s="15">
        <v>41900</v>
      </c>
      <c r="B233" s="14">
        <v>1319915.8500000001</v>
      </c>
      <c r="C233" s="13">
        <v>-237161.54</v>
      </c>
      <c r="D233" s="27">
        <v>437025506.03000003</v>
      </c>
      <c r="E233" s="3">
        <f t="shared" si="35"/>
        <v>41900</v>
      </c>
      <c r="F233" s="12">
        <f t="shared" si="31"/>
        <v>2.4775540444673116E-3</v>
      </c>
      <c r="G233" s="25">
        <f t="shared" si="32"/>
        <v>1082754.31</v>
      </c>
      <c r="H233" s="12">
        <f t="shared" si="33"/>
        <v>2.4775540444673116E-3</v>
      </c>
      <c r="I233" s="25">
        <f t="shared" si="34"/>
        <v>1082754.31</v>
      </c>
      <c r="J233" s="11">
        <f t="shared" si="37"/>
        <v>0.15655015950987078</v>
      </c>
      <c r="K233" s="25">
        <f t="shared" si="38"/>
        <v>49884975.429999955</v>
      </c>
      <c r="L233" s="25">
        <f t="shared" si="40"/>
        <v>0</v>
      </c>
      <c r="M233" s="25">
        <f t="shared" si="39"/>
        <v>-10115024.570000026</v>
      </c>
      <c r="N233" s="12">
        <f t="shared" si="36"/>
        <v>-2.3145158418524138E-2</v>
      </c>
    </row>
    <row r="234" spans="1:14">
      <c r="A234" s="15">
        <v>41901</v>
      </c>
      <c r="B234" s="14">
        <v>2497701.3899999997</v>
      </c>
      <c r="C234" s="13">
        <v>-458380.79999999999</v>
      </c>
      <c r="D234" s="27">
        <v>449195927.70000005</v>
      </c>
      <c r="E234" s="3">
        <f t="shared" si="35"/>
        <v>41901</v>
      </c>
      <c r="F234" s="12">
        <f t="shared" si="31"/>
        <v>4.539935614380681E-3</v>
      </c>
      <c r="G234" s="25">
        <f t="shared" si="32"/>
        <v>2039320.5899999996</v>
      </c>
      <c r="H234" s="12">
        <f t="shared" si="33"/>
        <v>4.539935614380681E-3</v>
      </c>
      <c r="I234" s="25">
        <f t="shared" si="34"/>
        <v>2039320.5899999996</v>
      </c>
      <c r="J234" s="11">
        <f t="shared" si="37"/>
        <v>0.16109009512425146</v>
      </c>
      <c r="K234" s="25">
        <f t="shared" si="38"/>
        <v>51924296.019999951</v>
      </c>
      <c r="L234" s="25">
        <f t="shared" si="40"/>
        <v>0</v>
      </c>
      <c r="M234" s="25">
        <f t="shared" si="39"/>
        <v>-8075703.9800000265</v>
      </c>
      <c r="N234" s="12">
        <f t="shared" si="36"/>
        <v>-1.797813266328956E-2</v>
      </c>
    </row>
    <row r="235" spans="1:14">
      <c r="A235" s="15">
        <v>41904</v>
      </c>
      <c r="B235" s="14">
        <v>6149043.3199999994</v>
      </c>
      <c r="C235" s="13">
        <v>-828178.5900000002</v>
      </c>
      <c r="D235" s="27">
        <v>456203187.01000005</v>
      </c>
      <c r="E235" s="3">
        <f t="shared" si="35"/>
        <v>41904</v>
      </c>
      <c r="F235" s="12">
        <f t="shared" si="31"/>
        <v>1.1663365977062684E-2</v>
      </c>
      <c r="G235" s="25">
        <f t="shared" si="32"/>
        <v>5320864.7299999995</v>
      </c>
      <c r="H235" s="12">
        <f t="shared" si="33"/>
        <v>1.1663365977062684E-2</v>
      </c>
      <c r="I235" s="25">
        <f t="shared" si="34"/>
        <v>5320864.7299999995</v>
      </c>
      <c r="J235" s="11">
        <f t="shared" si="37"/>
        <v>0.17275346110131415</v>
      </c>
      <c r="K235" s="25">
        <f t="shared" si="38"/>
        <v>57245160.749999948</v>
      </c>
      <c r="L235" s="25">
        <f t="shared" si="40"/>
        <v>0</v>
      </c>
      <c r="M235" s="25">
        <f t="shared" si="39"/>
        <v>-2754839.250000027</v>
      </c>
      <c r="N235" s="12">
        <f t="shared" si="36"/>
        <v>-6.038623421409023E-3</v>
      </c>
    </row>
    <row r="236" spans="1:14">
      <c r="A236" s="15">
        <v>41905</v>
      </c>
      <c r="B236" s="14">
        <v>4055669.1999999997</v>
      </c>
      <c r="C236" s="13">
        <v>-10773533.66</v>
      </c>
      <c r="D236" s="27">
        <v>455083841.05999994</v>
      </c>
      <c r="E236" s="3">
        <f t="shared" si="35"/>
        <v>41905</v>
      </c>
      <c r="F236" s="12">
        <f t="shared" si="31"/>
        <v>1.4761817172748819E-2</v>
      </c>
      <c r="G236" s="25">
        <f t="shared" si="32"/>
        <v>6717864.4600000009</v>
      </c>
      <c r="H236" s="12">
        <f t="shared" si="33"/>
        <v>-1.4761817172748819E-2</v>
      </c>
      <c r="I236" s="25">
        <f t="shared" si="34"/>
        <v>-6717864.4600000009</v>
      </c>
      <c r="J236" s="11">
        <f t="shared" si="37"/>
        <v>0.15799164392856532</v>
      </c>
      <c r="K236" s="25">
        <f t="shared" si="38"/>
        <v>50527296.289999947</v>
      </c>
      <c r="L236" s="25">
        <f t="shared" si="40"/>
        <v>0</v>
      </c>
      <c r="M236" s="25">
        <f t="shared" si="39"/>
        <v>-9472703.710000027</v>
      </c>
      <c r="N236" s="12">
        <f t="shared" si="36"/>
        <v>-2.0815293480726138E-2</v>
      </c>
    </row>
    <row r="237" spans="1:14">
      <c r="A237" s="15">
        <v>41906</v>
      </c>
      <c r="B237" s="14">
        <v>4026703.5</v>
      </c>
      <c r="C237" s="13">
        <v>-1804572.2400000002</v>
      </c>
      <c r="D237" s="27">
        <v>446995916.06000006</v>
      </c>
      <c r="E237" s="3">
        <f t="shared" si="35"/>
        <v>41906</v>
      </c>
      <c r="F237" s="12">
        <f t="shared" si="31"/>
        <v>4.9712562915266633E-3</v>
      </c>
      <c r="G237" s="25">
        <f t="shared" si="32"/>
        <v>2222131.2599999998</v>
      </c>
      <c r="H237" s="12">
        <f t="shared" si="33"/>
        <v>4.9712562915266633E-3</v>
      </c>
      <c r="I237" s="25">
        <f t="shared" si="34"/>
        <v>2222131.2599999998</v>
      </c>
      <c r="J237" s="11">
        <f t="shared" si="37"/>
        <v>0.16296290022009199</v>
      </c>
      <c r="K237" s="25">
        <f t="shared" si="38"/>
        <v>52749427.549999945</v>
      </c>
      <c r="L237" s="25">
        <f t="shared" si="40"/>
        <v>0</v>
      </c>
      <c r="M237" s="25">
        <f t="shared" si="39"/>
        <v>-7250572.4500000272</v>
      </c>
      <c r="N237" s="12">
        <f t="shared" si="36"/>
        <v>-1.6220668219766879E-2</v>
      </c>
    </row>
    <row r="238" spans="1:14">
      <c r="A238" s="15">
        <v>41907</v>
      </c>
      <c r="B238" s="14">
        <v>615559.53</v>
      </c>
      <c r="C238" s="13">
        <v>-780262.97</v>
      </c>
      <c r="D238" s="27">
        <v>441091572.24000007</v>
      </c>
      <c r="E238" s="3">
        <f t="shared" si="35"/>
        <v>41907</v>
      </c>
      <c r="F238" s="12">
        <f t="shared" si="31"/>
        <v>3.7339965296454133E-4</v>
      </c>
      <c r="G238" s="25">
        <f t="shared" si="32"/>
        <v>164703.43999999994</v>
      </c>
      <c r="H238" s="12">
        <f t="shared" si="33"/>
        <v>-3.7339965296454133E-4</v>
      </c>
      <c r="I238" s="25">
        <f t="shared" si="34"/>
        <v>-164703.43999999994</v>
      </c>
      <c r="J238" s="11">
        <f t="shared" si="37"/>
        <v>0.16258950056712745</v>
      </c>
      <c r="K238" s="25">
        <f t="shared" si="38"/>
        <v>52584724.109999947</v>
      </c>
      <c r="L238" s="25">
        <f t="shared" si="40"/>
        <v>0</v>
      </c>
      <c r="M238" s="25">
        <f t="shared" si="39"/>
        <v>-7415275.8900000267</v>
      </c>
      <c r="N238" s="12">
        <f t="shared" si="36"/>
        <v>-1.6811193767187507E-2</v>
      </c>
    </row>
    <row r="239" spans="1:14">
      <c r="A239" s="15">
        <v>41908</v>
      </c>
      <c r="B239" s="14">
        <v>1166433.73</v>
      </c>
      <c r="C239" s="13">
        <v>-2051821.51</v>
      </c>
      <c r="D239" s="27">
        <v>453215874.54000008</v>
      </c>
      <c r="E239" s="3">
        <f t="shared" si="35"/>
        <v>41908</v>
      </c>
      <c r="F239" s="12">
        <f t="shared" si="31"/>
        <v>1.9535674492837237E-3</v>
      </c>
      <c r="G239" s="25">
        <f t="shared" si="32"/>
        <v>885387.78</v>
      </c>
      <c r="H239" s="12">
        <f t="shared" si="33"/>
        <v>-1.9535674492837237E-3</v>
      </c>
      <c r="I239" s="25">
        <f t="shared" si="34"/>
        <v>-885387.78</v>
      </c>
      <c r="J239" s="11">
        <f t="shared" si="37"/>
        <v>0.16063593311784374</v>
      </c>
      <c r="K239" s="25">
        <f t="shared" si="38"/>
        <v>51699336.329999946</v>
      </c>
      <c r="L239" s="25">
        <f t="shared" si="40"/>
        <v>0</v>
      </c>
      <c r="M239" s="25">
        <f t="shared" si="39"/>
        <v>-8300663.6700000269</v>
      </c>
      <c r="N239" s="12">
        <f t="shared" si="36"/>
        <v>-1.8315032937504541E-2</v>
      </c>
    </row>
    <row r="240" spans="1:14">
      <c r="A240" s="15">
        <v>41911</v>
      </c>
      <c r="B240" s="14">
        <v>518834.31000000006</v>
      </c>
      <c r="C240" s="13">
        <v>-5831604.5999999996</v>
      </c>
      <c r="D240" s="27">
        <v>438794316.40000004</v>
      </c>
      <c r="E240" s="3">
        <f t="shared" si="35"/>
        <v>41911</v>
      </c>
      <c r="F240" s="12">
        <f t="shared" si="31"/>
        <v>1.2107655207541331E-2</v>
      </c>
      <c r="G240" s="25">
        <f t="shared" si="32"/>
        <v>5312770.2899999991</v>
      </c>
      <c r="H240" s="12">
        <f t="shared" si="33"/>
        <v>-1.2107655207541331E-2</v>
      </c>
      <c r="I240" s="25">
        <f t="shared" si="34"/>
        <v>-5312770.2899999991</v>
      </c>
      <c r="J240" s="11">
        <f t="shared" si="37"/>
        <v>0.1485282779103024</v>
      </c>
      <c r="K240" s="25">
        <f t="shared" si="38"/>
        <v>46386566.039999947</v>
      </c>
      <c r="L240" s="25">
        <f t="shared" si="40"/>
        <v>0</v>
      </c>
      <c r="M240" s="25">
        <f t="shared" si="39"/>
        <v>-13613433.960000027</v>
      </c>
      <c r="N240" s="12">
        <f t="shared" si="36"/>
        <v>-3.102463603377709E-2</v>
      </c>
    </row>
    <row r="241" spans="1:14">
      <c r="A241" s="15">
        <v>41912</v>
      </c>
      <c r="B241" s="14">
        <v>10412453.52</v>
      </c>
      <c r="C241" s="13">
        <v>-4238264.9399999995</v>
      </c>
      <c r="D241" s="27">
        <v>429380719.78999996</v>
      </c>
      <c r="E241" s="3">
        <f t="shared" si="35"/>
        <v>41912</v>
      </c>
      <c r="F241" s="12">
        <f t="shared" si="31"/>
        <v>1.4379286948467669E-2</v>
      </c>
      <c r="G241" s="25">
        <f t="shared" si="32"/>
        <v>6174188.5800000001</v>
      </c>
      <c r="H241" s="12">
        <f t="shared" si="33"/>
        <v>1.4379286948467669E-2</v>
      </c>
      <c r="I241" s="25">
        <f t="shared" si="34"/>
        <v>6174188.5800000001</v>
      </c>
      <c r="J241" s="11">
        <f t="shared" si="37"/>
        <v>0.16290756485877006</v>
      </c>
      <c r="K241" s="25">
        <f t="shared" si="38"/>
        <v>52560754.619999945</v>
      </c>
      <c r="L241" s="25">
        <f t="shared" si="40"/>
        <v>0</v>
      </c>
      <c r="M241" s="25">
        <f t="shared" si="39"/>
        <v>-7439245.3800000269</v>
      </c>
      <c r="N241" s="12">
        <f t="shared" si="36"/>
        <v>-1.7325522635572431E-2</v>
      </c>
    </row>
    <row r="242" spans="1:14">
      <c r="A242" s="15">
        <v>41913</v>
      </c>
      <c r="B242" s="14">
        <v>595359.06000000006</v>
      </c>
      <c r="C242" s="13">
        <v>-2328837.6199999996</v>
      </c>
      <c r="D242" s="27">
        <v>440765657.62</v>
      </c>
      <c r="E242" s="3">
        <f t="shared" si="35"/>
        <v>41913</v>
      </c>
      <c r="F242" s="12">
        <f t="shared" si="31"/>
        <v>3.932880273295916E-3</v>
      </c>
      <c r="G242" s="25">
        <f t="shared" si="32"/>
        <v>1733478.5599999996</v>
      </c>
      <c r="H242" s="12">
        <f t="shared" si="33"/>
        <v>-3.932880273295916E-3</v>
      </c>
      <c r="I242" s="25">
        <f t="shared" si="34"/>
        <v>-1733478.5599999996</v>
      </c>
      <c r="J242" s="11">
        <f t="shared" si="37"/>
        <v>0.15897468458547415</v>
      </c>
      <c r="K242" s="25">
        <f t="shared" si="38"/>
        <v>50827276.059999943</v>
      </c>
      <c r="L242" s="25">
        <f t="shared" si="40"/>
        <v>0</v>
      </c>
      <c r="M242" s="25">
        <f t="shared" si="39"/>
        <v>-9172723.9400000274</v>
      </c>
      <c r="N242" s="12">
        <f t="shared" si="36"/>
        <v>-2.0810886196374591E-2</v>
      </c>
    </row>
    <row r="243" spans="1:14">
      <c r="A243" s="10" t="s">
        <v>27</v>
      </c>
      <c r="B243" s="9">
        <v>846552427.58999956</v>
      </c>
      <c r="C243" s="8">
        <v>-795725151.53000009</v>
      </c>
      <c r="D243" s="7">
        <v>98428138095.489975</v>
      </c>
      <c r="E243" s="3"/>
      <c r="K243" s="25"/>
      <c r="M243" s="25"/>
      <c r="N243" s="12"/>
    </row>
    <row r="245" spans="1:14">
      <c r="D245" s="25"/>
    </row>
  </sheetData>
  <conditionalFormatting sqref="N3:N242">
    <cfRule type="cellIs" dxfId="1" priority="1" stopIfTrue="1" operator="notBetween">
      <formula>-0.02</formula>
      <formula>0.02</formula>
    </cfRule>
  </conditionalFormatting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Old Mutual Asset Managers (UK) Ltd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Castagna Matteo</dc:creator>
  <cp:lastModifiedBy>Castagna Matteo</cp:lastModifiedBy>
  <dcterms:created xsi:type="dcterms:W3CDTF">2014-10-30T18:04:50Z</dcterms:created>
  <dcterms:modified xsi:type="dcterms:W3CDTF">2014-11-12T16:34:07Z</dcterms:modified>
</cp:coreProperties>
</file>